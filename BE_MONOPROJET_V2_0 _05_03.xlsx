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5.xml" ContentType="application/vnd.openxmlformats-officedocument.spreadsheetml.query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queryTables/queryTable6.xml" ContentType="application/vnd.openxmlformats-officedocument.spreadsheetml.queryTable+xml"/>
  <Override PartName="/xl/tables/table16.xml" ContentType="application/vnd.openxmlformats-officedocument.spreadsheetml.table+xml"/>
  <Override PartName="/xl/queryTables/queryTable7.xml" ContentType="application/vnd.openxmlformats-officedocument.spreadsheetml.queryTable+xml"/>
  <Override PartName="/xl/tables/table17.xml" ContentType="application/vnd.openxmlformats-officedocument.spreadsheetml.table+xml"/>
  <Override PartName="/xl/queryTables/queryTable8.xml" ContentType="application/vnd.openxmlformats-officedocument.spreadsheetml.query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queryTables/queryTable9.xml" ContentType="application/vnd.openxmlformats-officedocument.spreadsheetml.queryTable+xml"/>
  <Override PartName="/xl/tables/table21.xml" ContentType="application/vnd.openxmlformats-officedocument.spreadsheetml.table+xml"/>
  <Override PartName="/xl/comments1.xml" ContentType="application/vnd.openxmlformats-officedocument.spreadsheetml.comments+xml"/>
  <Override PartName="/xl/tables/table22.xml" ContentType="application/vnd.openxmlformats-officedocument.spreadsheetml.table+xml"/>
  <Override PartName="/xl/queryTables/queryTable10.xml" ContentType="application/vnd.openxmlformats-officedocument.spreadsheetml.queryTable+xml"/>
  <Override PartName="/xl/tables/table23.xml" ContentType="application/vnd.openxmlformats-officedocument.spreadsheetml.table+xml"/>
  <Override PartName="/xl/queryTables/queryTable11.xml" ContentType="application/vnd.openxmlformats-officedocument.spreadsheetml.queryTable+xml"/>
  <Override PartName="/xl/tables/table24.xml" ContentType="application/vnd.openxmlformats-officedocument.spreadsheetml.table+xml"/>
  <Override PartName="/xl/queryTables/queryTable12.xml" ContentType="application/vnd.openxmlformats-officedocument.spreadsheetml.queryTable+xml"/>
  <Override PartName="/xl/tables/table25.xml" ContentType="application/vnd.openxmlformats-officedocument.spreadsheetml.table+xml"/>
  <Override PartName="/xl/queryTables/queryTable13.xml" ContentType="application/vnd.openxmlformats-officedocument.spreadsheetml.queryTable+xml"/>
  <Override PartName="/xl/tables/table26.xml" ContentType="application/vnd.openxmlformats-officedocument.spreadsheetml.table+xml"/>
  <Override PartName="/xl/queryTables/queryTable14.xml" ContentType="application/vnd.openxmlformats-officedocument.spreadsheetml.queryTable+xml"/>
  <Override PartName="/xl/tables/table27.xml" ContentType="application/vnd.openxmlformats-officedocument.spreadsheetml.table+xml"/>
  <Override PartName="/xl/queryTables/queryTable15.xml" ContentType="application/vnd.openxmlformats-officedocument.spreadsheetml.queryTable+xml"/>
  <Override PartName="/xl/tables/table28.xml" ContentType="application/vnd.openxmlformats-officedocument.spreadsheetml.table+xml"/>
  <Override PartName="/xl/queryTables/queryTable16.xml" ContentType="application/vnd.openxmlformats-officedocument.spreadsheetml.queryTable+xml"/>
  <Override PartName="/xl/tables/table29.xml" ContentType="application/vnd.openxmlformats-officedocument.spreadsheetml.table+xml"/>
  <Override PartName="/xl/queryTables/queryTable17.xml" ContentType="application/vnd.openxmlformats-officedocument.spreadsheetml.query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queryTables/queryTable18.xml" ContentType="application/vnd.openxmlformats-officedocument.spreadsheetml.queryTable+xml"/>
  <Override PartName="/xl/tables/table33.xml" ContentType="application/vnd.openxmlformats-officedocument.spreadsheetml.table+xml"/>
  <Override PartName="/xl/queryTables/queryTable19.xml" ContentType="application/vnd.openxmlformats-officedocument.spreadsheetml.queryTable+xml"/>
  <Override PartName="/xl/tables/table34.xml" ContentType="application/vnd.openxmlformats-officedocument.spreadsheetml.table+xml"/>
  <Override PartName="/xl/queryTables/queryTable20.xml" ContentType="application/vnd.openxmlformats-officedocument.spreadsheetml.queryTable+xml"/>
  <Override PartName="/xl/drawings/drawing1.xml" ContentType="application/vnd.openxmlformats-officedocument.drawing+xml"/>
  <Override PartName="/xl/tables/table35.xml" ContentType="application/vnd.openxmlformats-officedocument.spreadsheetml.table+xml"/>
  <Override PartName="/xl/queryTables/queryTable21.xml" ContentType="application/vnd.openxmlformats-officedocument.spreadsheetml.queryTable+xml"/>
  <Override PartName="/xl/tables/table36.xml" ContentType="application/vnd.openxmlformats-officedocument.spreadsheetml.table+xml"/>
  <Override PartName="/xl/queryTables/queryTable22.xml" ContentType="application/vnd.openxmlformats-officedocument.spreadsheetml.query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queryTables/queryTable23.xml" ContentType="application/vnd.openxmlformats-officedocument.spreadsheetml.queryTable+xml"/>
  <Override PartName="/xl/tables/table39.xml" ContentType="application/vnd.openxmlformats-officedocument.spreadsheetml.table+xml"/>
  <Override PartName="/xl/queryTables/queryTable24.xml" ContentType="application/vnd.openxmlformats-officedocument.spreadsheetml.queryTable+xml"/>
  <Override PartName="/xl/tables/table40.xml" ContentType="application/vnd.openxmlformats-officedocument.spreadsheetml.table+xml"/>
  <Override PartName="/xl/queryTables/queryTable25.xml" ContentType="application/vnd.openxmlformats-officedocument.spreadsheetml.queryTable+xml"/>
  <Override PartName="/xl/tables/table41.xml" ContentType="application/vnd.openxmlformats-officedocument.spreadsheetml.table+xml"/>
  <Override PartName="/xl/queryTables/queryTable26.xml" ContentType="application/vnd.openxmlformats-officedocument.spreadsheetml.queryTable+xml"/>
  <Override PartName="/xl/tables/table4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ffrey\Desktop\BE_PROJETS\CLAUDE\BE_MULTIPROJETS\01_MODELE_EXCEL\📁 ACTUEL\"/>
    </mc:Choice>
  </mc:AlternateContent>
  <xr:revisionPtr revIDLastSave="0" documentId="13_ncr:1_{003F8325-95BB-484B-BFE8-BAA3FF8ABBF9}" xr6:coauthVersionLast="47" xr6:coauthVersionMax="47" xr10:uidLastSave="{00000000-0000-0000-0000-000000000000}"/>
  <bookViews>
    <workbookView xWindow="-120" yWindow="-120" windowWidth="29040" windowHeight="15840" tabRatio="805" firstSheet="29" activeTab="32" xr2:uid="{39FA122D-D221-4F13-8A1E-DC993AC94EFE}"/>
  </bookViews>
  <sheets>
    <sheet name="DIM_FAM_METIER" sheetId="11" r:id="rId1"/>
    <sheet name="00_ARCHITECTURE" sheetId="4" r:id="rId2"/>
    <sheet name="---01_CONFIGURATION ---" sheetId="3" r:id="rId3"/>
    <sheet name="PARAM_GLOBAL" sheetId="88" r:id="rId4"/>
    <sheet name="T_PARAM_IMPORT" sheetId="84" r:id="rId5"/>
    <sheet name="00_POWER_QUERY" sheetId="5" r:id="rId6"/>
    <sheet name="CONFIG__MOTEUR_FORMULES" sheetId="6" r:id="rId7"/>
    <sheet name="00_CONFIG__T_PARAMETRES_ACTIVE" sheetId="7" r:id="rId8"/>
    <sheet name="00_CONFIG__T_PARAMETRES" sheetId="8" r:id="rId9"/>
    <sheet name="PARAM_PROJET_ID" sheetId="82" r:id="rId10"/>
    <sheet name="T_PROJET" sheetId="9" r:id="rId11"/>
    <sheet name="T_FAM_ARTICLE" sheetId="10" r:id="rId12"/>
    <sheet name="T_FAM_METIER" sheetId="12" r:id="rId13"/>
    <sheet name="T_BATIMENT" sheetId="13" r:id="rId14"/>
    <sheet name="T_MAPPING_DOMAINE_FAM" sheetId="43" r:id="rId15"/>
    <sheet name="---02_RAW---" sheetId="14" r:id="rId16"/>
    <sheet name="ANALYTICS_PARETO_IMPORT" sheetId="72" r:id="rId17"/>
    <sheet name="CLEAN_METRE_AGG" sheetId="71" r:id="rId18"/>
    <sheet name="RAW__METRE" sheetId="41" r:id="rId19"/>
    <sheet name="CLEAN__LOT" sheetId="94" r:id="rId20"/>
    <sheet name="RAW__LOT" sheetId="93" r:id="rId21"/>
    <sheet name="T_LOT" sheetId="92" r:id="rId22"/>
    <sheet name="T_RAW__LOT" sheetId="91" r:id="rId23"/>
    <sheet name="RAW_BPU_LOCAL" sheetId="15" r:id="rId24"/>
    <sheet name="TEST_COHERENCE_PRIX" sheetId="70" r:id="rId25"/>
    <sheet name="RAW_BPU_CHINE" sheetId="16" r:id="rId26"/>
    <sheet name="---03_CLEAN---" sheetId="17" r:id="rId27"/>
    <sheet name="CLEAN_METRE" sheetId="18" r:id="rId28"/>
    <sheet name="DIM_ARTICLE_BPU" sheetId="81" r:id="rId29"/>
    <sheet name="CLEAN_BPU_LOCAL" sheetId="19" r:id="rId30"/>
    <sheet name="CLEAN_BPU_CHINE" sheetId="20" r:id="rId31"/>
    <sheet name="---04_STAGING---" sheetId="21" r:id="rId32"/>
    <sheet name="STAGING" sheetId="97" r:id="rId33"/>
    <sheet name="Fonction appelée" sheetId="89" r:id="rId34"/>
    <sheet name="---05_FACT---" sheetId="23" r:id="rId35"/>
    <sheet name="DIM_LOT" sheetId="73" r:id="rId36"/>
    <sheet name="FACT_METRE" sheetId="24" r:id="rId37"/>
    <sheet name="--------06_DIM---------" sheetId="25" r:id="rId38"/>
    <sheet name="DIM_FAM_METIER " sheetId="26" r:id="rId39"/>
    <sheet name="DIM_FAM_ARTICLE" sheetId="27" r:id="rId40"/>
    <sheet name="DIM_NIVEAU" sheetId="30" r:id="rId41"/>
    <sheet name="DIM_BATIMENT" sheetId="31" r:id="rId42"/>
    <sheet name="05_DM_LOT" sheetId="32" r:id="rId43"/>
    <sheet name="05_DM_FAM_ARTICLE" sheetId="33" r:id="rId44"/>
    <sheet name="DIM_PROJET" sheetId="78" r:id="rId45"/>
    <sheet name="05_DM_PROJET" sheetId="34" r:id="rId46"/>
    <sheet name="-----06_ANALYTICS-------" sheetId="47" r:id="rId47"/>
    <sheet name="DOCUMENTATION_ANALYTCS" sheetId="67" r:id="rId48"/>
    <sheet name="DASHBOARD_HIERARCHIE" sheetId="66" r:id="rId49"/>
    <sheet name="DASHBOARD_BATIMENT" sheetId="64" r:id="rId50"/>
    <sheet name="FACT_METRE_AUDIT" sheetId="50" r:id="rId51"/>
    <sheet name="------------07_DASHOARD--------" sheetId="48" r:id="rId52"/>
    <sheet name="DASHBOARD_CHANTIER" sheetId="61" r:id="rId53"/>
    <sheet name="DASHBOARD_LOTS" sheetId="60" r:id="rId54"/>
    <sheet name="DASHBOARD_FAMILLES" sheetId="59" r:id="rId55"/>
    <sheet name="DASHBOARD_DIRECTION" sheetId="58" r:id="rId56"/>
    <sheet name="07_INTELLIGENCE__DECISION" sheetId="36" r:id="rId57"/>
    <sheet name="08_KPI__PROJET" sheetId="37" r:id="rId58"/>
    <sheet name="09_DM_MATRICE_GAIN_RISQUE" sheetId="38" r:id="rId59"/>
    <sheet name="10_DASHBOARD__DIRECTION" sheetId="39" r:id="rId60"/>
    <sheet name="RECAP_DASHBOARD" sheetId="40" r:id="rId61"/>
    <sheet name="AUDIT_04_ANALYSE_CHANTIER" sheetId="80" r:id="rId62"/>
  </sheets>
  <definedNames>
    <definedName name="_xlnm._FilterDatabase" localSheetId="56" hidden="1">'07_INTELLIGENCE__DECISION'!$A$2:$P$2</definedName>
    <definedName name="DonnéesExternes_1" localSheetId="30" hidden="1">'CLEAN_BPU_CHINE'!$A$1:$L$101</definedName>
    <definedName name="DonnéesExternes_1" localSheetId="29" hidden="1">'CLEAN_BPU_LOCAL'!$A$1:$K$189</definedName>
    <definedName name="DonnéesExternes_1" localSheetId="27" hidden="1">'CLEAN_METRE'!$A$1:$I$302</definedName>
    <definedName name="DonnéesExternes_1" localSheetId="17" hidden="1">'CLEAN_METRE_AGG'!$A$1:$H$301</definedName>
    <definedName name="DonnéesExternes_1" localSheetId="39" hidden="1">DIM_FAM_ARTICLE!$A$1:$G$18</definedName>
    <definedName name="DonnéesExternes_1" localSheetId="0" hidden="1">DIM_FAM_METIER!$A$1:$E$5</definedName>
    <definedName name="DonnéesExternes_1" localSheetId="38" hidden="1">'DIM_FAM_METIER '!$A$1:$D$5</definedName>
    <definedName name="DonnéesExternes_1" localSheetId="44" hidden="1">DIM_PROJET!$A$1:$H$2</definedName>
    <definedName name="DonnéesExternes_1" localSheetId="36" hidden="1">FACT_METRE!$A$1:$K$301</definedName>
    <definedName name="DonnéesExternes_1" localSheetId="33" hidden="1">'Fonction appelée'!$A$1:$A$2</definedName>
    <definedName name="DonnéesExternes_1" localSheetId="9" hidden="1">PARAM_PROJET_ID!$A$1:$A$2</definedName>
    <definedName name="DonnéesExternes_1" localSheetId="21" hidden="1">T_LOT!$A$1:$F$15</definedName>
    <definedName name="DonnéesExternes_1" localSheetId="4" hidden="1">T_PARAM_IMPORT!$A$1:$S$2</definedName>
    <definedName name="DonnéesExternes_1" localSheetId="24" hidden="1">TEST_COHERENCE_PRIX!$A$1:$M$302</definedName>
    <definedName name="DonnéesExternes_11" localSheetId="49" hidden="1">DASHBOARD_BATIMENT!$A$1:$H$3</definedName>
    <definedName name="DonnéesExternes_12" localSheetId="55" hidden="1">DASHBOARD_DIRECTION!$A$1:$H$2</definedName>
    <definedName name="DonnéesExternes_13" localSheetId="54" hidden="1">DASHBOARD_FAMILLES!$A$1:$G$14</definedName>
    <definedName name="DonnéesExternes_13" localSheetId="48" hidden="1">DASHBOARD_HIERARCHIE!$A$1:$J$48</definedName>
    <definedName name="DonnéesExternes_14" localSheetId="53" hidden="1">DASHBOARD_LOTS!$A$1:$G$14</definedName>
    <definedName name="DonnéesExternes_15" localSheetId="52" hidden="1">DASHBOARD_CHANTIER!$A$1:$G$14</definedName>
    <definedName name="DonnéesExternes_2" localSheetId="28" hidden="1">DIM_ARTICLE_BPU!$A$1:$T$189</definedName>
    <definedName name="DonnéesExternes_2" localSheetId="41" hidden="1">DIM_BATIMENT!$A$1:$E$4</definedName>
    <definedName name="DonnéesExternes_2" localSheetId="35" hidden="1">DIM_LOT!$A$1:$F$15</definedName>
    <definedName name="DonnéesExternes_2" localSheetId="20" hidden="1">'RAW__LOT'!$A$1:$F$15</definedName>
    <definedName name="DonnéesExternes_2" localSheetId="32" hidden="1">STAGING!$A$1:$Y$302</definedName>
    <definedName name="DonnéesExternes_3" localSheetId="19" hidden="1">'CLEAN__LOT'!$A$1:$F$15</definedName>
    <definedName name="DonnéesExternes_3" localSheetId="40" hidden="1">DIM_NIVEAU!$A$1:$E$14</definedName>
    <definedName name="DonnéesExternes_3" localSheetId="3" hidden="1">PARAM_GLOBAL!$A$1:$C$20</definedName>
    <definedName name="DonnéesExternes_3" localSheetId="18" hidden="1">RAW__METRE!$A$1:$I$302</definedName>
    <definedName name="DonnéesExternes_4" localSheetId="50" hidden="1">FACT_METRE_AUDIT!$A$1:$F$14</definedName>
    <definedName name="DonnéesExternes_6" localSheetId="23" hidden="1">RAW_BPU_LOCAL!$A$1:$K$189</definedName>
    <definedName name="SCENARIO_ACTIF">'00_CONFIG__T_PARAMETRES'!$H$2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80" l="1" a="1"/>
  <c r="D27" i="80" s="1"/>
  <c r="F29" i="40"/>
  <c r="E29" i="40"/>
  <c r="D29" i="40"/>
  <c r="F27" i="39"/>
  <c r="E27" i="39"/>
  <c r="D27" i="39"/>
  <c r="J19" i="32"/>
  <c r="I19" i="32"/>
  <c r="G19" i="32"/>
  <c r="F19" i="32"/>
  <c r="E19" i="32"/>
  <c r="D19" i="32"/>
  <c r="E17" i="7" l="1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A2" i="7"/>
  <c r="B23" i="6"/>
  <c r="B22" i="6"/>
  <c r="B21" i="6"/>
  <c r="B20" i="6"/>
  <c r="B1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Paterne</author>
  </authors>
  <commentList>
    <comment ref="E15" authorId="0" shapeId="0" xr:uid="{76E88E9B-A22F-464F-A666-3F42DA5B8195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FOB Chine moyen gamme ~5.5 USD/m2</t>
        </r>
      </text>
    </comment>
    <comment ref="E16" authorId="0" shapeId="0" xr:uid="{B3E4461D-EE56-44E1-8899-AFA3156C5AE5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FOB Chine moyen gamme ~0.60 USD/kg</t>
        </r>
      </text>
    </comment>
    <comment ref="E22" authorId="0" shapeId="0" xr:uid="{39B3503F-CB74-4B72-8947-E35AB40E3C13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Membrane bicouche Chine moyen gamme ~10 USD/m2 FOB</t>
        </r>
      </text>
    </comment>
    <comment ref="E23" authorId="0" shapeId="0" xr:uid="{61E6FA4C-C9A4-4E09-8E70-5D1F5B2377D3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Relevé étanchéité Chine moyen gamme ~5 USD/ml FOB</t>
        </r>
      </text>
    </comment>
    <comment ref="E25" authorId="0" shapeId="0" xr:uid="{896C6058-BBA8-452B-95BD-5C2FA402D0A3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Membrane monocouche Chine moyen gamme ~7.5 USD/m2 FOB</t>
        </r>
      </text>
    </comment>
    <comment ref="E26" authorId="0" shapeId="0" xr:uid="{7682D100-5099-475B-9078-3500E376882D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Relevé étanchéité Chine moyen gamme ~5 USD/ml FOB</t>
        </r>
      </text>
    </comment>
    <comment ref="E27" authorId="0" shapeId="0" xr:uid="{2D571681-7CF9-4F5A-AB0E-A1EAA1D6CC0D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Faïence murale Chine moyen gamme ~9 USD/m2 FOB</t>
        </r>
      </text>
    </comment>
    <comment ref="E28" authorId="0" shapeId="0" xr:uid="{8A7E7DD4-81D1-4CFF-99EE-4C4C4FF48CB7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Granite 60x60 Chine moyen gamme ~16.5 USD/m2 FOB</t>
        </r>
      </text>
    </comment>
    <comment ref="E29" authorId="0" shapeId="0" xr:uid="{FC7ECEA3-7964-4971-8781-5B1E40109627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Plinthe granite Chine moyen gamme ~4.5 USD/ml FOB</t>
        </r>
      </text>
    </comment>
    <comment ref="E30" authorId="0" shapeId="0" xr:uid="{0E741F80-0B81-4D47-8CA6-BA549D772A04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Plan de travail granite Chine moyen gamme ~70 USD/ml FOB</t>
        </r>
      </text>
    </comment>
    <comment ref="E31" authorId="0" shapeId="0" xr:uid="{C8B57940-3364-4F10-B194-C373A574F459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Baie vitrée alu Chine moyen gamme ~57.5 USD/m2 FOB</t>
        </r>
      </text>
    </comment>
    <comment ref="E32" authorId="0" shapeId="0" xr:uid="{991E5D9E-B0EE-47F1-B9F8-2B2D4AB53FB1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Garde-corps alu Chine moyen gamme ~42.5 USD/m2 FOB</t>
        </r>
      </text>
    </comment>
    <comment ref="E33" authorId="0" shapeId="0" xr:uid="{FB18B3AA-307D-4260-8815-1DA2F18A2EC9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Porte métallique Chine moyen gamme ~215 USD FOB</t>
        </r>
      </text>
    </comment>
    <comment ref="E34" authorId="0" shapeId="0" xr:uid="{FB2E2468-6CDB-415E-A7AF-92A8B679D86C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Grille protection Chine moyen gamme ~125 USD FOB</t>
        </r>
      </text>
    </comment>
    <comment ref="E35" authorId="0" shapeId="0" xr:uid="{9B31D066-DE75-44B8-989A-AAD75137AF73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Plateforme métal mezzanine Chine moyen gamme ~65 USD/m2 FOB</t>
        </r>
      </text>
    </comment>
    <comment ref="E36" authorId="0" shapeId="0" xr:uid="{ADC26128-0800-43A3-BA7E-F65E65D43B34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Escalier métallique Chine moyen gamme ~600 USD FOB</t>
        </r>
      </text>
    </comment>
    <comment ref="E37" authorId="0" shapeId="0" xr:uid="{2D1A0B56-1A2D-457A-991B-C15335C2CEAA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Garde-corps métal Chine moyen gamme ~37.5 USD/m2 FOB</t>
        </r>
      </text>
    </comment>
    <comment ref="E38" authorId="0" shapeId="0" xr:uid="{E6614C76-9720-4203-ABE5-D6F69F103127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Grillage protection Chine moyen gamme ~20 USD/m2 FOB</t>
        </r>
      </text>
    </comment>
    <comment ref="E39" authorId="0" shapeId="0" xr:uid="{B7E7EA89-5A0C-4EE5-8176-200ADD2A32D3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Placard bois Chine moyen gamme ~250 USD FOB</t>
        </r>
      </text>
    </comment>
    <comment ref="E40" authorId="0" shapeId="0" xr:uid="{F3603CF7-298C-4CFE-B2CD-58159E69491D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Porte MDF 90x220 Chine moyen gamme ~57.5 USD FOB</t>
        </r>
      </text>
    </comment>
    <comment ref="E41" authorId="0" shapeId="0" xr:uid="{4DCD55ED-6785-4001-B2BC-5D13A471A79E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Étagère cuisine sup Chine moyen gamme ~67.5 USD/ml FOB</t>
        </r>
      </text>
    </comment>
    <comment ref="E42" authorId="0" shapeId="0" xr:uid="{E1508F0B-B5EC-4FA6-8A77-29F7A32C1617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Étagère cuisine inf Chine moyen gamme ~77.5 USD/ml FOB</t>
        </r>
      </text>
    </comment>
    <comment ref="E43" authorId="0" shapeId="0" xr:uid="{FE3D2D19-ACA9-4CEC-AD96-7046C4086B87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Étagère vaissellerie sup Chine moyen gamme ~77.5 USD/ml FOB</t>
        </r>
      </text>
    </comment>
    <comment ref="E44" authorId="0" shapeId="0" xr:uid="{01A1AB8E-9CA6-4A05-BD4B-98DEC35D30A5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Étagère vaissellerie inf Chine moyen gamme ~77.5 USD/ml FOB</t>
        </r>
      </text>
    </comment>
    <comment ref="E45" authorId="0" shapeId="0" xr:uid="{4358F2A5-870C-4324-A58A-BCFDB5C0FFA2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Dalle LED 60x60 40W Chine moyen gamme ~12 USD FOB</t>
        </r>
      </text>
    </comment>
    <comment ref="E46" authorId="0" shapeId="0" xr:uid="{5C14FB57-F36A-4F2A-8A4A-6D21B2D2E38C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Réglette 4x14W Chine moyen gamme ~8.5 USD FOB</t>
        </r>
      </text>
    </comment>
    <comment ref="E47" authorId="0" shapeId="0" xr:uid="{17F621D6-7BD3-48D2-8934-C2F70BCD76D5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Réglette étanche 2x20W Chine moyen gamme ~10 USD FOB</t>
        </r>
      </text>
    </comment>
    <comment ref="E48" authorId="0" shapeId="0" xr:uid="{F0D7C791-0EA0-4E19-80CB-2B48FB543299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Panel LED 120x30 Chine moyen gamme ~12.5 USD FOB</t>
        </r>
      </text>
    </comment>
    <comment ref="E49" authorId="0" shapeId="0" xr:uid="{1EA97B7E-BB6F-4E5D-8C62-29B253D2EA8C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Applique sanitaire Chine moyen gamme ~4 USD FOB</t>
        </r>
      </text>
    </comment>
    <comment ref="E50" authorId="0" shapeId="0" xr:uid="{EE5E94B8-50D1-4750-9C6B-84C49C87E95D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Applique murale Chine moyen gamme ~5.5 USD FOB</t>
        </r>
      </text>
    </comment>
    <comment ref="E51" authorId="0" shapeId="0" xr:uid="{ED2C650F-D672-4977-97A1-EA0538181E07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Applique murale étanche Chine moyen gamme ~8 USD FOB</t>
        </r>
      </text>
    </comment>
    <comment ref="E52" authorId="0" shapeId="0" xr:uid="{44A520E7-8BEB-451E-A12D-5FBA47EF7183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Spot halogène G5.3 Chine moyen gamme ~4.5 USD FOB</t>
        </r>
      </text>
    </comment>
    <comment ref="E53" authorId="0" shapeId="0" xr:uid="{B90BBB70-2DAB-44B2-B224-903D4A9B3B3B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Spot LED 18W Chine moyen gamme ~4 USD FOB</t>
        </r>
      </text>
    </comment>
    <comment ref="E54" authorId="0" shapeId="0" xr:uid="{8F9CF89C-EDE8-461A-B27C-3C21E8289321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Spot LED 22W Chine moyen gamme ~5 USD FOB</t>
        </r>
      </text>
    </comment>
    <comment ref="E55" authorId="0" shapeId="0" xr:uid="{9D38EC52-87E2-40F9-8E9D-FD635CE8F72E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Spot LED 14W Chine moyen gamme ~2.75 USD FOB</t>
        </r>
      </text>
    </comment>
    <comment ref="E56" authorId="0" shapeId="0" xr:uid="{F19B3AE9-94D7-492B-A4B5-7AA840678CB8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BAES Ambiance Chine moyen gamme ~23 USD FOB</t>
        </r>
      </text>
    </comment>
    <comment ref="E57" authorId="0" shapeId="0" xr:uid="{50F7604F-6DDF-4A8C-89E5-A291AD20C8E6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BAES Direction Chine moyen gamme ~16 USD FOB</t>
        </r>
      </text>
    </comment>
    <comment ref="E58" authorId="0" shapeId="0" xr:uid="{08C97B6A-FF3C-4F06-B994-D9126301349E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Interrupteur simple Chine moyen gamme ~0.95 USD FOB</t>
        </r>
      </text>
    </comment>
    <comment ref="E59" authorId="0" shapeId="0" xr:uid="{7A313F98-5ADF-4C59-8DB2-87BE4A797E66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Interrupteur VA-VV Chine moyen gamme ~1.05 USD FOB</t>
        </r>
      </text>
    </comment>
    <comment ref="E60" authorId="0" shapeId="0" xr:uid="{8B7A8C74-2C25-4B60-8F86-67CCF83E56C8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Bouton poussoir Chine moyen gamme ~1.4 USD FOB</t>
        </r>
      </text>
    </comment>
    <comment ref="E61" authorId="0" shapeId="0" xr:uid="{54C19F98-7EC0-4847-9048-6D56B08A489A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Détecteur présence Chine moyen gamme ~7 USD FOB</t>
        </r>
      </text>
    </comment>
    <comment ref="E62" authorId="0" shapeId="0" xr:uid="{CEA90BEB-7FFC-41CB-A45C-47B8344A1439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Inverseur auto triphasé Chine moyen gamme ~1000 USD FOB</t>
        </r>
      </text>
    </comment>
    <comment ref="E63" authorId="0" shapeId="0" xr:uid="{7AB32E4B-4A5D-4471-96E9-F1C72055FC74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Prise mosaïque blanc Chine moyen gamme ~0.8 USD FOB</t>
        </r>
      </text>
    </comment>
    <comment ref="E64" authorId="0" shapeId="0" xr:uid="{28AB3F20-57BD-41FC-B4E3-DD4EFA2D487B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Prise mosaïque rouge Chine moyen gamme ~1.05 USD FOB</t>
        </r>
      </text>
    </comment>
    <comment ref="E65" authorId="0" shapeId="0" xr:uid="{65CA9F48-3DDA-4830-878C-8CCA3460E891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Prise RJ45 Chine moyen gamme ~1.5 USD FOB</t>
        </r>
      </text>
    </comment>
    <comment ref="E66" authorId="0" shapeId="0" xr:uid="{8ACFD66D-FB40-4B17-AC1D-262A1A9F523D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Prise téléphone Chine moyen gamme ~1.15 USD FOB</t>
        </r>
      </text>
    </comment>
    <comment ref="E67" authorId="0" shapeId="0" xr:uid="{6F4B8138-1C26-4BCB-9370-2AAD1FCE667E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Prise TV Chine moyen gamme ~1.15 USD FOB</t>
        </r>
      </text>
    </comment>
    <comment ref="E68" authorId="0" shapeId="0" xr:uid="{AFC68E8E-A077-4823-AB67-0FDFC0628A21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Prise étanche Chine moyen gamme ~1.6 USD FOB</t>
        </r>
      </text>
    </comment>
    <comment ref="E69" authorId="0" shapeId="0" xr:uid="{AB22E92D-2E0E-4033-AEAE-9BA62A784832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Unité ext. multi-split Chine moyen gamme ~750 USD FOB</t>
        </r>
      </text>
    </comment>
    <comment ref="E70" authorId="0" shapeId="0" xr:uid="{7FE0292E-70AD-4993-8C0A-8EC8CBB6848D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UI gainable 1.5CV Chine moyen gamme ~150 USD FOB</t>
        </r>
      </text>
    </comment>
    <comment ref="E71" authorId="0" shapeId="0" xr:uid="{BB27C9E4-B666-4131-A08A-09C84F506081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UI gainable 2CV Chine moyen gamme ~195 USD FOB</t>
        </r>
      </text>
    </comment>
    <comment ref="E72" authorId="0" shapeId="0" xr:uid="{8E6269C8-C0CC-4EDF-A074-B089E322C084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UI gainable 3CV Chine moyen gamme ~250 USD FOB</t>
        </r>
      </text>
    </comment>
    <comment ref="E73" authorId="0" shapeId="0" xr:uid="{8B7ADED0-AA7F-4F0C-A22A-9010C0E27D35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Télécommande IR Chine moyen gamme ~4.5 USD FOB</t>
        </r>
      </text>
    </comment>
    <comment ref="E74" authorId="0" shapeId="0" xr:uid="{FB71C6EC-F740-423F-95EE-201B0D05B2C0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Grille soufflage 600x150 Chine moyen gamme ~8 USD FOB</t>
        </r>
      </text>
    </comment>
    <comment ref="E75" authorId="0" shapeId="0" xr:uid="{9B5E42BA-BBE3-43CF-92B0-F1F4FBA7803D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Grille soufflage 800x150 Chine moyen gamme ~10.5 USD FOB</t>
        </r>
      </text>
    </comment>
    <comment ref="E76" authorId="0" shapeId="0" xr:uid="{48DABB6A-877E-4A08-B3AE-815B321592DE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Grille soufflage 1000x150 Chine moyen gamme ~13 USD FOB</t>
        </r>
      </text>
    </comment>
    <comment ref="E77" authorId="0" shapeId="0" xr:uid="{C317C0F7-0F49-456A-9525-EB9C23DB9317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Détecteur fumée Chine moyen gamme ~11.5 USD FOB</t>
        </r>
      </text>
    </comment>
    <comment ref="E78" authorId="0" shapeId="0" xr:uid="{F1ABE3D1-80E7-4D8E-A80A-889C9E2FCD6B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Détecteur thermo Chine moyen gamme ~14 USD FOB</t>
        </r>
      </text>
    </comment>
    <comment ref="E79" authorId="0" shapeId="0" xr:uid="{91B2C9A2-C0C6-4D5D-93CF-24C8D6D68A9E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Détecteur flamme Chine moyen gamme ~35 USD FOB</t>
        </r>
      </text>
    </comment>
    <comment ref="E80" authorId="0" shapeId="0" xr:uid="{5935A426-CDE3-4CDF-AF24-347DDFE02142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Déclencheur manuel Chine moyen gamme ~11.5 USD FOB</t>
        </r>
      </text>
    </comment>
    <comment ref="E81" authorId="0" shapeId="0" xr:uid="{F9B6ED74-7DFE-4F40-A950-29C1F571C958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Déclencheur autonome Chine moyen gamme ~8.5 USD FOB</t>
        </r>
      </text>
    </comment>
    <comment ref="E82" authorId="0" shapeId="0" xr:uid="{DCCD23C7-AD04-4FCD-A7E1-6D7B2EF12529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Extincteur ABC 6kg Chine moyen gamme ~14 USD FOB</t>
        </r>
      </text>
    </comment>
    <comment ref="E83" authorId="0" shapeId="0" xr:uid="{F19D742F-728B-45DE-B6C0-66171A1286A0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Extincteur CO2 5kg Chine moyen gamme ~27.5 USD FOB</t>
        </r>
      </text>
    </comment>
    <comment ref="E84" authorId="0" shapeId="0" xr:uid="{45D5E4F3-A7E9-4BE8-A5C3-E9CED5749875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Bac à sable 100L Chine moyen gamme ~20 USD FOB</t>
        </r>
      </text>
    </comment>
    <comment ref="E85" authorId="0" shapeId="0" xr:uid="{5D655F75-1131-4B87-B5DF-5C42680DE99D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Caméra ext. IP Chine moyen gamme ~40 USD FOB</t>
        </r>
      </text>
    </comment>
    <comment ref="E86" authorId="0" shapeId="0" xr:uid="{0D0684B5-C630-4DC9-AE7C-7890D41321D5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Caméra dôme int. Chine moyen gamme ~30 USD FOB</t>
        </r>
      </text>
    </comment>
    <comment ref="E87" authorId="0" shapeId="0" xr:uid="{E14C75E6-0BA5-4B4C-9E0C-DEA592D45332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NVR Chine moyen gamme ~160 USD FOB</t>
        </r>
      </text>
    </comment>
    <comment ref="E88" authorId="0" shapeId="0" xr:uid="{4E45A864-580D-49DB-B7E0-4FF8BD46C91B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Moniteur LCD Chine moyen gamme ~105 USD FOB</t>
        </r>
      </text>
    </comment>
    <comment ref="E89" authorId="0" shapeId="0" xr:uid="{73FBF189-104E-467A-8273-8184BF18E64D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Kit contrôle accès Chine moyen gamme ~55 USD FOB</t>
        </r>
      </text>
    </comment>
    <comment ref="E90" authorId="0" shapeId="0" xr:uid="{96680A72-11C1-4B49-AE2F-45210FFCBA91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WC anglaise complet Chine moyen gamme ~45 USD FOB</t>
        </r>
      </text>
    </comment>
    <comment ref="E91" authorId="0" shapeId="0" xr:uid="{6609B22B-C040-4A13-BA83-556E3F361007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Receveur douche Chine moyen gamme ~40 USD FOB</t>
        </r>
      </text>
    </comment>
    <comment ref="E92" authorId="0" shapeId="0" xr:uid="{13F96972-191F-4527-8EE5-0785923E2EF5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Lavabo/vasque Chine moyen gamme ~22.5 USD FOB</t>
        </r>
      </text>
    </comment>
    <comment ref="E93" authorId="0" shapeId="0" xr:uid="{556131FF-A350-4867-BDD4-FFE4DEB1386C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Évier Chine moyen gamme ~26.5 USD FOB</t>
        </r>
      </text>
    </comment>
    <comment ref="E94" authorId="0" shapeId="0" xr:uid="{A32154F8-201B-4B88-853C-3743866AE40E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Chauffe-eau 50L Chine moyen gamme ~52.5 USD FOB</t>
        </r>
      </text>
    </comment>
    <comment ref="E95" authorId="0" shapeId="0" xr:uid="{EA36B856-69AD-446D-96E8-CF2E7C255F01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Chauffe-eau 75L Chine moyen gamme ~67.5 USD FOB</t>
        </r>
      </text>
    </comment>
    <comment ref="E96" authorId="0" shapeId="0" xr:uid="{0BA62BA2-5A47-4BEF-9B97-9625C716AB85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Chauffe-eau 100L Chine moyen gamme ~80 USD FOB</t>
        </r>
      </text>
    </comment>
    <comment ref="E97" authorId="0" shapeId="0" xr:uid="{49C4F64A-495C-4937-A8E6-59E0319D71F1}">
      <text>
        <r>
          <rPr>
            <b/>
            <sz val="9"/>
            <color indexed="81"/>
            <rFont val="Tahoma"/>
            <family val="2"/>
          </rPr>
          <t>Paterne:</t>
        </r>
        <r>
          <rPr>
            <sz val="9"/>
            <color indexed="81"/>
            <rFont val="Tahoma"/>
            <family val="2"/>
          </rPr>
          <t xml:space="preserve">
Panneau ACP Alucobond Chine moyen gamme ~16 USD/m2 FOB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5087C1-0BA6-4E53-BF08-BD94B330748D}" keepAlive="1" name="Requête - ANALYTICS_BATIMENT" description="Connexion à la requête « ANALYTICS_BATIMENT » dans le classeur." type="5" refreshedVersion="8" background="1" saveData="1">
    <dbPr connection="Provider=Microsoft.Mashup.OleDb.1;Data Source=$Workbook$;Location=ANALYTICS_BATIMENT;Extended Properties=&quot;&quot;" command="SELECT * FROM [ANALYTICS_BATIMENT]"/>
  </connection>
  <connection id="2" xr16:uid="{03E85D4D-F93B-4B15-BA25-7A311C93CCD6}" keepAlive="1" name="Requête - ANALYTICS_BATIMENT_NIVEAU" description="Connexion à la requête « ANALYTICS_BATIMENT_NIVEAU » dans le classeur." type="5" refreshedVersion="8" background="1" saveData="1">
    <dbPr connection="Provider=Microsoft.Mashup.OleDb.1;Data Source=$Workbook$;Location=ANALYTICS_BATIMENT_NIVEAU;Extended Properties=&quot;&quot;" command="SELECT * FROM [ANALYTICS_BATIMENT_NIVEAU]"/>
  </connection>
  <connection id="3" xr16:uid="{25B44B5B-5481-4D63-8596-4C031615AC81}" keepAlive="1" name="Requête - ANALYTICS_DECISION_MATRIX" description="Connexion à la requête « ANALYTICS_DECISION_MATRIX » dans le classeur." type="5" refreshedVersion="8" background="1" saveData="1">
    <dbPr connection="Provider=Microsoft.Mashup.OleDb.1;Data Source=$Workbook$;Location=ANALYTICS_DECISION_MATRIX;Extended Properties=&quot;&quot;" command="SELECT * FROM [ANALYTICS_DECISION_MATRIX]"/>
  </connection>
  <connection id="4" xr16:uid="{3456AD62-D16A-48BC-A8EC-A5A45BC81614}" keepAlive="1" name="Requête - ANALYTICS_DETAIL_LOT" description="Connexion à la requête « ANALYTICS_DETAIL_LOT » dans le classeur." type="5" refreshedVersion="8" background="1" saveData="1">
    <dbPr connection="Provider=Microsoft.Mashup.OleDb.1;Data Source=$Workbook$;Location=ANALYTICS_DETAIL_LOT;Extended Properties=&quot;&quot;" command="SELECT * FROM [ANALYTICS_DETAIL_LOT]"/>
  </connection>
  <connection id="5" xr16:uid="{598F12E1-4891-49B7-B785-A17BCA397C4B}" keepAlive="1" name="Requête - ANALYTICS_DIAGNOSTIC_FAM" description="Connexion à la requête « ANALYTICS_DIAGNOSTIC_FAM » dans le classeur." type="5" refreshedVersion="8" background="1" saveData="1">
    <dbPr connection="Provider=Microsoft.Mashup.OleDb.1;Data Source=$Workbook$;Location=ANALYTICS_DIAGNOSTIC_FAM;Extended Properties=&quot;&quot;" command="SELECT * FROM [ANALYTICS_DIAGNOSTIC_FAM]"/>
  </connection>
  <connection id="6" xr16:uid="{4AD5A213-6386-415F-AD34-1E28DA58FD45}" keepAlive="1" name="Requête - ANALYTICS_HIERARCHIE" description="Connexion à la requête « ANALYTICS_HIERARCHIE » dans le classeur." type="5" refreshedVersion="8" background="1" saveData="1">
    <dbPr connection="Provider=Microsoft.Mashup.OleDb.1;Data Source=$Workbook$;Location=ANALYTICS_HIERARCHIE;Extended Properties=&quot;&quot;" command="SELECT * FROM [ANALYTICS_HIERARCHIE]"/>
  </connection>
  <connection id="7" xr16:uid="{616759B1-3579-4965-A5E8-A8DCFBBD8DA2}" keepAlive="1" name="Requête - ANALYTICS_IPI_FAM" description="Connexion à la requête « ANALYTICS_IPI_FAM » dans le classeur." type="5" refreshedVersion="8" background="1" saveData="1">
    <dbPr connection="Provider=Microsoft.Mashup.OleDb.1;Data Source=$Workbook$;Location=ANALYTICS_IPI_FAM;Extended Properties=&quot;&quot;" command="SELECT * FROM [ANALYTICS_IPI_FAM]"/>
  </connection>
  <connection id="8" xr16:uid="{4CC5F46E-326A-44C1-A193-3322CF2E49CB}" keepAlive="1" name="Requête - ANALYTICS_IPI_PROJET" description="Connexion à la requête « ANALYTICS_IPI_PROJET » dans le classeur." type="5" refreshedVersion="8" background="1" saveData="1">
    <dbPr connection="Provider=Microsoft.Mashup.OleDb.1;Data Source=$Workbook$;Location=ANALYTICS_IPI_PROJET;Extended Properties=&quot;&quot;" command="SELECT * FROM [ANALYTICS_IPI_PROJET]"/>
  </connection>
  <connection id="9" xr16:uid="{A81121E0-192D-4905-87C9-A6E414698422}" keepAlive="1" name="Requête - ANALYTICS_PARETO_IMPORT" description="Connexion à la requête « ANALYTICS_PARETO_IMPORT » dans le classeur." type="5" refreshedVersion="8" background="1" saveData="1">
    <dbPr connection="Provider=Microsoft.Mashup.OleDb.1;Data Source=$Workbook$;Location=ANALYTICS_PARETO_IMPORT;Extended Properties=&quot;&quot;" command="SELECT * FROM [ANALYTICS_PARETO_IMPORT]"/>
  </connection>
  <connection id="10" xr16:uid="{8E3E6EFB-D0DF-4B0F-BA51-E92CF295AF30}" keepAlive="1" name="Requête - ANALYTICS_SCORE_GLOBAL" description="Connexion à la requête « ANALYTICS_SCORE_GLOBAL » dans le classeur." type="5" refreshedVersion="8" background="1" saveData="1">
    <dbPr connection="Provider=Microsoft.Mashup.OleDb.1;Data Source=$Workbook$;Location=ANALYTICS_SCORE_GLOBAL;Extended Properties=&quot;&quot;" command="SELECT * FROM [ANALYTICS_SCORE_GLOBAL]"/>
  </connection>
  <connection id="11" xr16:uid="{2068BEA4-D5A5-43C6-93B6-4223C853DCB8}" keepAlive="1" name="Requête - ANALYTICS_SYNTHESE_LOT" description="Connexion à la requête « ANALYTICS_SYNTHESE_LOT » dans le classeur." type="5" refreshedVersion="8" background="1" saveData="1">
    <dbPr connection="Provider=Microsoft.Mashup.OleDb.1;Data Source=$Workbook$;Location=ANALYTICS_SYNTHESE_LOT;Extended Properties=&quot;&quot;" command="SELECT * FROM [ANALYTICS_SYNTHESE_LOT]"/>
  </connection>
  <connection id="12" xr16:uid="{0923BDFA-3BE9-428E-ADF2-456F85022511}" keepAlive="1" name="Requête - ANALYTICS_SYNTHESE_PROJET" description="Connexion à la requête « ANALYTICS_SYNTHESE_PROJET » dans le classeur." type="5" refreshedVersion="8" background="1" saveData="1">
    <dbPr connection="Provider=Microsoft.Mashup.OleDb.1;Data Source=$Workbook$;Location=ANALYTICS_SYNTHESE_PROJET;Extended Properties=&quot;&quot;" command="SELECT * FROM [ANALYTICS_SYNTHESE_PROJET]"/>
  </connection>
  <connection id="13" xr16:uid="{BAFC6505-B5F6-4AE2-9B0D-E8ABE99A9D1E}" keepAlive="1" name="Requête - ANALYTICS_VUE_CHANTIER" description="Connexion à la requête « ANALYTICS_VUE_CHANTIER » dans le classeur." type="5" refreshedVersion="8" background="1" saveData="1">
    <dbPr connection="Provider=Microsoft.Mashup.OleDb.1;Data Source=$Workbook$;Location=ANALYTICS_VUE_CHANTIER;Extended Properties=&quot;&quot;" command="SELECT * FROM [ANALYTICS_VUE_CHANTIER]"/>
  </connection>
  <connection id="14" xr16:uid="{63DB3512-79A4-49BA-91E8-08DC7FFFAB77}" keepAlive="1" name="Requête - CLEAN__LOT" description="Connexion à la requête « CLEAN__LOT » dans le classeur." type="5" refreshedVersion="8" background="1" saveData="1">
    <dbPr connection="Provider=Microsoft.Mashup.OleDb.1;Data Source=$Workbook$;Location=CLEAN__LOT;Extended Properties=&quot;&quot;" command="SELECT * FROM [CLEAN__LOT]"/>
  </connection>
  <connection id="15" xr16:uid="{576DD773-8582-44A9-8FED-6A25A736A6FF}" keepAlive="1" name="Requête - CLEAN_BPU_CHINE" description="Connexion à la requête « CLEAN_BPU_CHINE » dans le classeur." type="5" refreshedVersion="8" background="1" saveData="1">
    <dbPr connection="Provider=Microsoft.Mashup.OleDb.1;Data Source=$Workbook$;Location=CLEAN_BPU_CHINE;Extended Properties=&quot;&quot;" command="SELECT * FROM [CLEAN_BPU_CHINE]"/>
  </connection>
  <connection id="16" xr16:uid="{E5F6928C-58C2-4985-B310-70D814BAA516}" keepAlive="1" name="Requête - CLEAN_BPU_LOCAL" description="Connexion à la requête « CLEAN_BPU_LOCAL » dans le classeur." type="5" refreshedVersion="8" background="1" saveData="1">
    <dbPr connection="Provider=Microsoft.Mashup.OleDb.1;Data Source=$Workbook$;Location=CLEAN_BPU_LOCAL;Extended Properties=&quot;&quot;" command="SELECT * FROM [CLEAN_BPU_LOCAL]"/>
  </connection>
  <connection id="17" xr16:uid="{1685A5C7-ED52-417C-99DB-BCA540719D6A}" keepAlive="1" name="Requête - CLEAN_METRE" description="Connexion à la requête « CLEAN_METRE » dans le classeur." type="5" refreshedVersion="8" background="1" saveData="1">
    <dbPr connection="Provider=Microsoft.Mashup.OleDb.1;Data Source=$Workbook$;Location=CLEAN_METRE;Extended Properties=&quot;&quot;" command="SELECT * FROM [CLEAN_METRE]"/>
  </connection>
  <connection id="18" xr16:uid="{63201A5B-D045-47FE-B33E-460722A1C8AE}" keepAlive="1" name="Requête - CLEAN_METRE_AGG" description="Connexion à la requête « CLEAN_METRE_AGG » dans le classeur." type="5" refreshedVersion="8" background="1" saveData="1">
    <dbPr connection="Provider=Microsoft.Mashup.OleDb.1;Data Source=$Workbook$;Location=CLEAN_METRE_AGG;Extended Properties=&quot;&quot;" command="SELECT * FROM [CLEAN_METRE_AGG]"/>
  </connection>
  <connection id="19" xr16:uid="{314D9DCE-0D20-4489-9427-E1C7CEB9D2E8}" keepAlive="1" name="Requête - DASHBOARD_BATIMENT" description="Connexion à la requête « DASHBOARD_BATIMENT » dans le classeur." type="5" refreshedVersion="8" background="1" saveData="1">
    <dbPr connection="Provider=Microsoft.Mashup.OleDb.1;Data Source=$Workbook$;Location=DASHBOARD_BATIMENT;Extended Properties=&quot;&quot;" command="SELECT * FROM [DASHBOARD_BATIMENT]"/>
  </connection>
  <connection id="20" xr16:uid="{D4C1E7A6-CC18-40E2-A502-D6935AEF0F4F}" keepAlive="1" name="Requête - DASHBOARD_CHANTIER" description="Connexion à la requête « DASHBOARD_CHANTIER » dans le classeur." type="5" refreshedVersion="8" background="1" saveData="1">
    <dbPr connection="Provider=Microsoft.Mashup.OleDb.1;Data Source=$Workbook$;Location=DASHBOARD_CHANTIER;Extended Properties=&quot;&quot;" command="SELECT * FROM [DASHBOARD_CHANTIER]"/>
  </connection>
  <connection id="21" xr16:uid="{E2826D61-7A00-4790-B4AB-C266DE20FF17}" keepAlive="1" name="Requête - DASHBOARD_DIRECTION" description="Connexion à la requête « DASHBOARD_DIRECTION » dans le classeur." type="5" refreshedVersion="8" background="1" saveData="1">
    <dbPr connection="Provider=Microsoft.Mashup.OleDb.1;Data Source=$Workbook$;Location=DASHBOARD_DIRECTION;Extended Properties=&quot;&quot;" command="SELECT * FROM [DASHBOARD_DIRECTION]"/>
  </connection>
  <connection id="22" xr16:uid="{B43DE20E-7B74-499E-961A-DC5676D22752}" keepAlive="1" name="Requête - DASHBOARD_FAMILLES" description="Connexion à la requête « DASHBOARD_FAMILLES » dans le classeur." type="5" refreshedVersion="8" background="1" saveData="1">
    <dbPr connection="Provider=Microsoft.Mashup.OleDb.1;Data Source=$Workbook$;Location=DASHBOARD_FAMILLES;Extended Properties=&quot;&quot;" command="SELECT * FROM [DASHBOARD_FAMILLES]"/>
  </connection>
  <connection id="23" xr16:uid="{0905B7FE-DB8C-427B-95D0-CFE0B519C510}" keepAlive="1" name="Requête - DASHBOARD_HIERARCHIE" description="Connexion à la requête « DASHBOARD_HIERARCHIE » dans le classeur." type="5" refreshedVersion="8" background="1" saveData="1">
    <dbPr connection="Provider=Microsoft.Mashup.OleDb.1;Data Source=$Workbook$;Location=DASHBOARD_HIERARCHIE;Extended Properties=&quot;&quot;" command="SELECT * FROM [DASHBOARD_HIERARCHIE]"/>
  </connection>
  <connection id="24" xr16:uid="{FD48CB28-1CC4-485B-9533-735F9E4F38AD}" keepAlive="1" name="Requête - DASHBOARD_LOTS" description="Connexion à la requête « DASHBOARD_LOTS » dans le classeur." type="5" refreshedVersion="8" background="1" saveData="1">
    <dbPr connection="Provider=Microsoft.Mashup.OleDb.1;Data Source=$Workbook$;Location=DASHBOARD_LOTS;Extended Properties=&quot;&quot;" command="SELECT * FROM [DASHBOARD_LOTS]"/>
  </connection>
  <connection id="25" xr16:uid="{126574E4-CFB1-48C5-BDB9-C4B7B104B499}" keepAlive="1" name="Requête - DIM_ARTICLE_BPU" description="Connexion à la requête « DIM_ARTICLE_BPU » dans le classeur." type="5" refreshedVersion="8" background="1" saveData="1">
    <dbPr connection="Provider=Microsoft.Mashup.OleDb.1;Data Source=$Workbook$;Location=DIM_ARTICLE_BPU;Extended Properties=&quot;&quot;" command="SELECT * FROM [DIM_ARTICLE_BPU]"/>
  </connection>
  <connection id="26" xr16:uid="{493C71B6-B0FC-4ECB-8A82-098E9C0FE830}" keepAlive="1" name="Requête - DIM_BATIMENT" description="Connexion à la requête « DIM_BATIMENT » dans le classeur." type="5" refreshedVersion="8" background="1" saveData="1">
    <dbPr connection="Provider=Microsoft.Mashup.OleDb.1;Data Source=$Workbook$;Location=DIM_BATIMENT;Extended Properties=&quot;&quot;" command="SELECT * FROM [DIM_BATIMENT]"/>
  </connection>
  <connection id="27" xr16:uid="{73227509-5D8F-499F-8268-FEE6235412FF}" keepAlive="1" name="Requête - DIM_FAM_ARTICLE" description="Connexion à la requête « DIM_FAM_ARTICLE » dans le classeur." type="5" refreshedVersion="0" background="1">
    <dbPr connection="Provider=Microsoft.Mashup.OleDb.1;Data Source=$Workbook$;Location=DIM_FAM_ARTICLE;Extended Properties=&quot;&quot;" command="SELECT * FROM [DIM_FAM_ARTICLE]"/>
  </connection>
  <connection id="28" xr16:uid="{5252056A-668F-45E7-9DD9-7A0FDFEA95A8}" keepAlive="1" name="Requête - DIM_FAM_METIER" description="Connexion à la requête « DIM_FAM_METIER » dans le classeur." type="5" refreshedVersion="8" background="1" saveData="1">
    <dbPr connection="Provider=Microsoft.Mashup.OleDb.1;Data Source=$Workbook$;Location=DIM_FAM_METIER;Extended Properties=&quot;&quot;" command="SELECT * FROM [DIM_FAM_METIER]"/>
  </connection>
  <connection id="29" xr16:uid="{712A3ED8-1748-4BA0-BEE5-5EA2BDB68D5F}" keepAlive="1" name="Requête - DIM_LOT" description="Connexion à la requête « DIM_LOT » dans le classeur." type="5" refreshedVersion="8" background="1" saveData="1">
    <dbPr connection="Provider=Microsoft.Mashup.OleDb.1;Data Source=$Workbook$;Location=DIM_LOT;Extended Properties=&quot;&quot;" command="SELECT * FROM [DIM_LOT]"/>
  </connection>
  <connection id="30" xr16:uid="{2F9A5147-3A2E-43F6-81EE-3C80E1C64D4D}" keepAlive="1" name="Requête - DIM_NIVEAU" description="Connexion à la requête « DIM_NIVEAU » dans le classeur." type="5" refreshedVersion="8" background="1" saveData="1">
    <dbPr connection="Provider=Microsoft.Mashup.OleDb.1;Data Source=$Workbook$;Location=DIM_NIVEAU;Extended Properties=&quot;&quot;" command="SELECT * FROM [DIM_NIVEAU]"/>
  </connection>
  <connection id="31" xr16:uid="{376B5D9C-957E-4655-82C7-D18B7C7AC8ED}" keepAlive="1" name="Requête - DIM_PROJET" description="Connexion à la requête « DIM_PROJET » dans le classeur." type="5" refreshedVersion="8" background="1" saveData="1">
    <dbPr connection="Provider=Microsoft.Mashup.OleDb.1;Data Source=$Workbook$;Location=DIM_PROJET;Extended Properties=&quot;&quot;" command="SELECT * FROM [DIM_PROJET]"/>
  </connection>
  <connection id="32" xr16:uid="{DFFA1135-328F-4895-8635-6FF3431FC29E}" keepAlive="1" name="Requête - FACT_METRE" description="Connexion à la requête « FACT_METRE » dans le classeur." type="5" refreshedVersion="8" background="1" saveData="1">
    <dbPr connection="Provider=Microsoft.Mashup.OleDb.1;Data Source=$Workbook$;Location=FACT_METRE;Extended Properties=&quot;&quot;" command="SELECT * FROM [FACT_METRE]"/>
  </connection>
  <connection id="33" xr16:uid="{C1928E25-A9DC-4050-BB01-7A4F3CCD46AC}" keepAlive="1" name="Requête - Fonction appelée" description="Connexion à la requête « Fonction appelée » dans le classeur." type="5" refreshedVersion="8" background="1" saveData="1">
    <dbPr connection="Provider=Microsoft.Mashup.OleDb.1;Data Source=$Workbook$;Location=&quot;Fonction appelée&quot;;Extended Properties=&quot;&quot;" command="SELECT * FROM [Fonction appelée]"/>
  </connection>
  <connection id="34" xr16:uid="{70540440-BEFE-42CD-9071-B17391AA0565}" keepAlive="1" name="Requête - Fonction appelée1" description="Connexion à la requête « Fonction appelée » dans le classeur." type="5" refreshedVersion="8" background="1" saveData="1">
    <dbPr connection="Provider=Microsoft.Mashup.OleDb.1;Data Source=$Workbook$;Location=&quot;Fonction appelée&quot;;Extended Properties=&quot;&quot;" command="SELECT * FROM [Fonction appelée]"/>
  </connection>
  <connection id="35" xr16:uid="{131050E3-90A3-4862-8543-23963601F961}" keepAlive="1" name="Requête - fxGetParam" description="Connexion à la requête « fxGetParam » dans le classeur." type="5" refreshedVersion="0" background="1">
    <dbPr connection="Provider=Microsoft.Mashup.OleDb.1;Data Source=$Workbook$;Location=fxGetParam;Extended Properties=&quot;&quot;" command="SELECT * FROM [fxGetParam]"/>
  </connection>
  <connection id="36" xr16:uid="{60EEC4EC-8311-4FF2-BD92-649D02C58DA4}" keepAlive="1" name="Requête - fxGetProjetID" description="Connexion à la requête « fxGetProjetID » dans le classeur." type="5" refreshedVersion="0" background="1">
    <dbPr connection="Provider=Microsoft.Mashup.OleDb.1;Data Source=$Workbook$;Location=fxGetProjetID;Extended Properties=&quot;&quot;" command="SELECT * FROM [fxGetProjetID]"/>
  </connection>
  <connection id="37" xr16:uid="{90D6DDC5-35A1-409E-9A46-E8B0C3D193C2}" keepAlive="1" name="Requête - PARAM_GLOBAL(1)" description="Connexion à la requête « PARAM_GLOBAL » dans le classeur." type="5" refreshedVersion="8" background="1" saveData="1">
    <dbPr connection="Provider=Microsoft.Mashup.OleDb.1;Data Source=$Workbook$;Location=PARAM_GLOBAL;Extended Properties=&quot;&quot;" command="SELECT * FROM [PARAM_GLOBAL]"/>
  </connection>
  <connection id="38" xr16:uid="{D2E87C18-51F2-4BB7-BD29-A307187404EA}" keepAlive="1" name="Requête - PARAM_PROJET" description="Connexion à la requête « PARAM_PROJET » dans le classeur." type="5" refreshedVersion="0" background="1">
    <dbPr connection="Provider=Microsoft.Mashup.OleDb.1;Data Source=$Workbook$;Location=PARAM_PROJET;Extended Properties=&quot;&quot;" command="SELECT * FROM [PARAM_PROJET]"/>
  </connection>
  <connection id="39" xr16:uid="{03B01F2D-E3A4-4217-BD45-BBF6F2740D5C}" keepAlive="1" name="Requête - PARAM_PROJET_ID" description="Connexion à la requête « PARAM_PROJET_ID » dans le classeur." type="5" refreshedVersion="8" background="1" saveData="1">
    <dbPr connection="Provider=Microsoft.Mashup.OleDb.1;Data Source=$Workbook$;Location=PARAM_PROJET_ID;Extended Properties=&quot;&quot;" command="SELECT * FROM [PARAM_PROJET_ID]"/>
  </connection>
  <connection id="40" xr16:uid="{3D6B0F7B-96B9-4A02-84D2-D74AA1F04D6A}" keepAlive="1" name="Requête - RAW__LOT" description="Connexion à la requête « RAW__LOT » dans le classeur." type="5" refreshedVersion="8" background="1" saveData="1">
    <dbPr connection="Provider=Microsoft.Mashup.OleDb.1;Data Source=$Workbook$;Location=RAW__LOT;Extended Properties=&quot;&quot;" command="SELECT * FROM [RAW__LOT]"/>
  </connection>
  <connection id="41" xr16:uid="{6AB42473-31B2-4C95-B718-7637C7851EA1}" keepAlive="1" name="Requête - RAW_BPU_CHINE" description="Connexion à la requête « RAW_BPU_CHINE » dans le classeur." type="5" refreshedVersion="0" background="1">
    <dbPr connection="Provider=Microsoft.Mashup.OleDb.1;Data Source=$Workbook$;Location=RAW_BPU_CHINE;Extended Properties=&quot;&quot;" command="SELECT * FROM [RAW_BPU_CHINE]"/>
  </connection>
  <connection id="42" xr16:uid="{05670301-0551-4897-8358-8B37D1553854}" keepAlive="1" name="Requête - RAW_BPU_LOCAL" description="Connexion à la requête « RAW_BPU_LOCAL » dans le classeur." type="5" refreshedVersion="0" background="1">
    <dbPr connection="Provider=Microsoft.Mashup.OleDb.1;Data Source=$Workbook$;Location=RAW_BPU_LOCAL;Extended Properties=&quot;&quot;" command="SELECT * FROM [RAW_BPU_LOCAL]"/>
  </connection>
  <connection id="43" xr16:uid="{74BB87A3-D484-45BA-8BD3-9639D8EC3AEA}" keepAlive="1" name="Requête - RAW_METRE" description="Connexion à la requête « RAW_METRE » dans le classeur." type="5" refreshedVersion="8" background="1" saveData="1">
    <dbPr connection="Provider=Microsoft.Mashup.OleDb.1;Data Source=$Workbook$;Location=RAW_METRE;Extended Properties=&quot;&quot;" command="SELECT * FROM [RAW_METRE]"/>
  </connection>
  <connection id="44" xr16:uid="{6D4497E2-8A59-46F8-877C-005365BAF670}" keepAlive="1" name="Requête - Source_ExcelFichier" description="Connexion à la requête « Source_ExcelFichier » dans le classeur." type="5" refreshedVersion="0" background="1">
    <dbPr connection="Provider=Microsoft.Mashup.OleDb.1;Data Source=$Workbook$;Location=Source_ExcelFichier;Extended Properties=&quot;&quot;" command="SELECT * FROM [Source_ExcelFichier]"/>
  </connection>
  <connection id="45" xr16:uid="{ED174F35-3BF4-4D6E-892F-603EF4183ACF}" keepAlive="1" name="Requête - STAGING(1)" description="Connexion à la requête « STAGING » dans le classeur." type="5" refreshedVersion="8" background="1" saveData="1">
    <dbPr connection="Provider=Microsoft.Mashup.OleDb.1;Data Source=$Workbook$;Location=STAGING;Extended Properties=&quot;&quot;" command="SELECT * FROM [STAGING]"/>
  </connection>
  <connection id="46" xr16:uid="{DF70ED82-6072-41AA-B8BE-395104B78C46}" keepAlive="1" name="Requête - STAGING01" description="Connexion à la requête « STAGING01 » dans le classeur." type="5" refreshedVersion="8" background="1" saveData="1">
    <dbPr connection="Provider=Microsoft.Mashup.OleDb.1;Data Source=$Workbook$;Location=STAGING01;Extended Properties=&quot;&quot;" command="SELECT * FROM [STAGING01]"/>
  </connection>
  <connection id="47" xr16:uid="{F1FD3E54-D663-486F-9BC8-96081C7B8669}" keepAlive="1" name="Requête - T_BATIMENT" description="Connexion à la requête « T_BATIMENT » dans le classeur." type="5" refreshedVersion="0" background="1">
    <dbPr connection="Provider=Microsoft.Mashup.OleDb.1;Data Source=$Workbook$;Location=T_BATIMENT;Extended Properties=&quot;&quot;" command="SELECT * FROM [T_BATIMENT]"/>
  </connection>
  <connection id="48" xr16:uid="{F7A1D1CA-BBB0-42D9-ADEB-24F7596725E9}" keepAlive="1" name="Requête - T_FAM_ARTICLE" description="Connexion à la requête « T_FAM_ARTICLE » dans le classeur." type="5" refreshedVersion="0" background="1">
    <dbPr connection="Provider=Microsoft.Mashup.OleDb.1;Data Source=$Workbook$;Location=T_FAM_ARTICLE;Extended Properties=&quot;&quot;" command="SELECT * FROM [T_FAM_ARTICLE]"/>
  </connection>
  <connection id="49" xr16:uid="{E74F9709-97B5-404B-9809-4585FC8E1B8E}" keepAlive="1" name="Requête - T_FAM_METIER" description="Connexion à la requête « T_FAM_METIER » dans le classeur." type="5" refreshedVersion="0" background="1">
    <dbPr connection="Provider=Microsoft.Mashup.OleDb.1;Data Source=$Workbook$;Location=T_FAM_METIER;Extended Properties=&quot;&quot;" command="SELECT * FROM [T_FAM_METIER]"/>
  </connection>
  <connection id="50" xr16:uid="{91423654-5F7A-474D-96C6-4307730DC2D4}" keepAlive="1" name="Requête - T_LOT" description="Connexion à la requête « T_LOT » dans le classeur." type="5" refreshedVersion="8" background="1" saveData="1">
    <dbPr connection="Provider=Microsoft.Mashup.OleDb.1;Data Source=$Workbook$;Location=T_LOT;Extended Properties=&quot;&quot;" command="SELECT * FROM [T_LOT]"/>
  </connection>
  <connection id="51" xr16:uid="{E308EAE6-4F64-4648-B7F3-A6C0B4965ACA}" keepAlive="1" name="Requête - T_MAPPING_DOMAINE_FAM" description="Connexion à la requête « T_MAPPING_DOMAINE_FAM » dans le classeur." type="5" refreshedVersion="8" background="1" saveData="1">
    <dbPr connection="Provider=Microsoft.Mashup.OleDb.1;Data Source=$Workbook$;Location=T_MAPPING_DOMAINE_FAM;Extended Properties=&quot;&quot;" command="SELECT * FROM [T_MAPPING_DOMAINE_FAM]"/>
  </connection>
  <connection id="52" xr16:uid="{07ABD259-06FA-4F13-A9B7-F2D7FBD202AA}" keepAlive="1" name="Requête - T_PARAM_IMPORT" description="Connexion à la requête « T_PARAM_IMPORT » dans le classeur." type="5" refreshedVersion="8" background="1" saveData="1">
    <dbPr connection="Provider=Microsoft.Mashup.OleDb.1;Data Source=$Workbook$;Location=T_PARAM_IMPORT;Extended Properties=&quot;&quot;" command="SELECT * FROM [T_PARAM_IMPORT]"/>
  </connection>
  <connection id="53" xr16:uid="{C3274213-E756-4221-9E4B-5FD254797E02}" keepAlive="1" name="Requête - T_PARAM_SCENARIO_IMPORT" description="Connexion à la requête « T_PARAM_SCENARIO_IMPORT » dans le classeur." type="5" refreshedVersion="8" background="1" saveData="1">
    <dbPr connection="Provider=Microsoft.Mashup.OleDb.1;Data Source=$Workbook$;Location=T_PARAM_SCENARIO_IMPORT;Extended Properties=&quot;&quot;" command="SELECT * FROM [T_PARAM_SCENARIO_IMPORT]"/>
  </connection>
  <connection id="54" xr16:uid="{CA100E8A-DDD4-40DB-A52A-2BCCE4214261}" keepAlive="1" name="Requête - T_PARAMETRES" description="Connexion à la requête « T_PARAMETRES » dans le classeur." type="5" refreshedVersion="0" background="1">
    <dbPr connection="Provider=Microsoft.Mashup.OleDb.1;Data Source=$Workbook$;Location=T_PARAMETRES;Extended Properties=&quot;&quot;" command="SELECT * FROM [T_PARAMETRES]"/>
  </connection>
  <connection id="55" xr16:uid="{AD492EEB-E599-46C0-9D81-B77CC55B7A0A}" keepAlive="1" name="Requête - T_PARAMETRES_ACTIVE" description="Connexion à la requête « T_PARAMETRES_ACTIVE » dans le classeur." type="5" refreshedVersion="0" background="1">
    <dbPr connection="Provider=Microsoft.Mashup.OleDb.1;Data Source=$Workbook$;Location=T_PARAMETRES_ACTIVE;Extended Properties=&quot;&quot;" command="SELECT * FROM [T_PARAMETRES_ACTIVE]"/>
  </connection>
  <connection id="56" xr16:uid="{F7027DE7-B37F-4E1D-A498-E9CD92D50727}" keepAlive="1" name="Requête - TEST_COHERENCE_PRIX" description="Connexion à la requête « TEST_COHERENCE_PRIX » dans le classeur." type="5" refreshedVersion="8" background="1" saveData="1">
    <dbPr connection="Provider=Microsoft.Mashup.OleDb.1;Data Source=$Workbook$;Location=TEST_COHERENCE_PRIX;Extended Properties=&quot;&quot;" command="SELECT * FROM [TEST_COHERENCE_PRIX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<sst xmlns="http://schemas.openxmlformats.org/spreadsheetml/2006/main" count="22763" uniqueCount="2235">
  <si>
    <t>🏗️  ARCHITECTURE OFFICIELLE — MOTEUR DÉCISIONNEL CHANTIER V2.0</t>
  </si>
  <si>
    <t>⚙️  COUCHE CONFIG</t>
  </si>
  <si>
    <t xml:space="preserve">    → 00_CONFIG__T_PARAMETRES_ACTIVE</t>
  </si>
  <si>
    <t xml:space="preserve">    → 00_CONFIG__T_PARAMETRES (scénarios)</t>
  </si>
  <si>
    <t xml:space="preserve">    → T_PROJET</t>
  </si>
  <si>
    <t>ℹ️  Pilote tout le moteur — paramètres dynamiques — simulation scénarios</t>
  </si>
  <si>
    <t>📐  COUCHE DIMENSIONS</t>
  </si>
  <si>
    <t xml:space="preserve">    → DIM_FAM_METIER</t>
  </si>
  <si>
    <t xml:space="preserve">    → DIM_FAM_ARTICLE (17 familles)</t>
  </si>
  <si>
    <t xml:space="preserve">    → DIM_LOT (17 lots)</t>
  </si>
  <si>
    <t>ℹ️  Tables stables — modèle étoile Power BI — référentiels analytiques</t>
  </si>
  <si>
    <t>📥  COUCHE RAW — Données Brutes</t>
  </si>
  <si>
    <t xml:space="preserve">    → 01_RAW__METRE (318 articles)</t>
  </si>
  <si>
    <t xml:space="preserve">    → 01_RAW__BPU_LOCAL</t>
  </si>
  <si>
    <t xml:space="preserve">    → 01_RAW__BPU_CHINE</t>
  </si>
  <si>
    <t>ℹ️  Source immuable — jamais modifiée — traçabilité garantie</t>
  </si>
  <si>
    <t>🧹  COUCHE CLEAN — Données Nettoyées</t>
  </si>
  <si>
    <t xml:space="preserve">    → 02_CLEAN__T_METRE</t>
  </si>
  <si>
    <t xml:space="preserve">    → 02_CLEAN__BPU_LOCAL</t>
  </si>
  <si>
    <t xml:space="preserve">    → 02_CLEAN__BPU_CHINE</t>
  </si>
  <si>
    <t>ℹ️  Harmonisation unités — suppression erreurs — normalisation texte</t>
  </si>
  <si>
    <t>⚡  COUCHE STAGING — Cœur Décisionnel</t>
  </si>
  <si>
    <t xml:space="preserve">    → 03_STAGING__METRE_ENRICHI</t>
  </si>
  <si>
    <t xml:space="preserve">    → → PU_LOCAL + PU_IMPORT_NET</t>
  </si>
  <si>
    <t xml:space="preserve">    → → TAUX_ECONOMIE + DECISION_IMPORT</t>
  </si>
  <si>
    <t>ℹ️  Jointures + calculs — 163 IMPORT | 142 LOCAL | 13 ARBITRAGE</t>
  </si>
  <si>
    <t>📊  COUCHE FACT — Table Consolidée</t>
  </si>
  <si>
    <t xml:space="preserve">    → 04_FACT_METRE (318 lignes)</t>
  </si>
  <si>
    <t>ℹ️  Table économique finale — base de toutes les agrégations</t>
  </si>
  <si>
    <t>🗄️  COUCHE DATAMART — Agrégations</t>
  </si>
  <si>
    <t xml:space="preserve">    → 05_DM_LOT (17 lots)</t>
  </si>
  <si>
    <t xml:space="preserve">    → 05_DM_FAM_ARTICLE (17 familles)</t>
  </si>
  <si>
    <t xml:space="preserve">    → 05_DM_PROJET (KPIs globaux)</t>
  </si>
  <si>
    <t>ℹ️  Optimisé Power BI — granularités LOT / FAM / PROJET</t>
  </si>
  <si>
    <t>🧠  COUCHE ANALYTICS — Intelligence</t>
  </si>
  <si>
    <t xml:space="preserve">    → 06_ANALYTICS__SCORE_STRATEGIQUE</t>
  </si>
  <si>
    <t xml:space="preserve">    → 07_INTELLIGENCE__DECISION</t>
  </si>
  <si>
    <t xml:space="preserve">    → 09_DM_MATRICE_GAIN_RISQUE</t>
  </si>
  <si>
    <t>ℹ️  Scores multicritères — IPI — quadrant stratégique — classe A/B/C</t>
  </si>
  <si>
    <t>📋  COUCHE DASHBOARD — Direction</t>
  </si>
  <si>
    <t xml:space="preserve">    → 08_KPI__PROJET</t>
  </si>
  <si>
    <t xml:space="preserve">    → 10_DASHBOARD__DIRECTION</t>
  </si>
  <si>
    <t xml:space="preserve">    → RECAP_DASHBOARD</t>
  </si>
  <si>
    <t>ℹ️  Vue exécutive — top opportunités — alertes risque — KPIs clés</t>
  </si>
  <si>
    <t>⚡  MOTEUR POWER QUERY M — Centre Médical Pointe Noire</t>
  </si>
  <si>
    <t>Version</t>
  </si>
  <si>
    <t>2.0 — Formules dynamiques · Scénarios OPTIMISTE / RÉALISTE / STRESS · 318 articles · 17 lots</t>
  </si>
  <si>
    <t>Architecture</t>
  </si>
  <si>
    <t>CONFIG → DIMENSIONS → RAW → CLEAN → STAGING → FACT → DATAMART → ANALYTICS</t>
  </si>
  <si>
    <t>Clé de jointure</t>
  </si>
  <si>
    <t>CODE_BPU — relie METRE ↔ BPU_LOCAL ↔ BPU_CHINE (ex : "2.1", "7.A.3")</t>
  </si>
  <si>
    <t>Levier scénario</t>
  </si>
  <si>
    <t>Changer H2 dans T_PARAMETRES → tous les calculs STAGING se mettent à jour</t>
  </si>
  <si>
    <t>📐  ARCHITECTURE DU FLUX DE DONNÉES</t>
  </si>
  <si>
    <t xml:space="preserve">  00_CONFIG</t>
  </si>
  <si>
    <t>T_PARAMETRES  →  H2 = scénario actif → T_PARAMETRES_ACTIVE → STAGING</t>
  </si>
  <si>
    <t xml:space="preserve">  DIMENSIONS</t>
  </si>
  <si>
    <t>DIM_LOT / DIM_FAM_*  →  Tables de référence stables — enrichissent STAGING</t>
  </si>
  <si>
    <t xml:space="preserve">  01_RAW</t>
  </si>
  <si>
    <t>METRE / BPU_LOCAL / BPU_CHINE  →  Sources brutes immuables — ne jamais modifier</t>
  </si>
  <si>
    <t xml:space="preserve">  02_CLEAN</t>
  </si>
  <si>
    <t>CLEAN_METRE / CLEAN_BPU_LOCAL / CLEAN_BPU_CHINE  →  Nettoyage + contrôle qualité</t>
  </si>
  <si>
    <t xml:space="preserve">  03_STAGING</t>
  </si>
  <si>
    <t>METRE_ENRICHI  →  ★ CŒUR — Jointures + calculs économiques dynamiques</t>
  </si>
  <si>
    <t xml:space="preserve">  04_FACT</t>
  </si>
  <si>
    <t>FACT_METRE  →  Table de faits finale — 318 lignes × 14 colonnes</t>
  </si>
  <si>
    <t xml:space="preserve">  05_DM</t>
  </si>
  <si>
    <t>DM_LOT / DM_FAM / DM_PROJET  →  Agrégations par lot, famille, projet</t>
  </si>
  <si>
    <t xml:space="preserve">  06-07 ANALYTICS</t>
  </si>
  <si>
    <t>SCORE + INTELLIGENCE  →  Scoring multicritères + matrice décisionnelle</t>
  </si>
  <si>
    <t xml:space="preserve">  08-10 DASH</t>
  </si>
  <si>
    <t>KPI + MATRICE + DASHBOARD  →  Synthèse exécutive</t>
  </si>
  <si>
    <t>═══  COUCHE 0 — CONNEXION SOURCE  ═══</t>
  </si>
  <si>
    <t xml:space="preserve">  Source_ExcelFichier  —  Connexion centralisée au classeur</t>
  </si>
  <si>
    <t xml:space="preserve">  🎯 Rôle : Point d'entrée unique vers BE_MONOPROJET_V2_PNMC.xlsx. Toutes les requêtes référencent Source_ExcelFichier — changer le chemin ici suffit pour pointer vers un autre fichier.</t>
  </si>
  <si>
    <t xml:space="preserve">  🏷  CONNEXION · PARAMÈTRE · SOURCE</t>
  </si>
  <si>
    <t>// Source_ExcelFichier.pq  |  Power Query M Language</t>
  </si>
  <si>
    <t>// ─────────────────────────────────────────────────────────────────────────</t>
  </si>
  <si>
    <t>// CONNEXION CENTRALISÉE AU FICHIER EXCEL SOURCE</t>
  </si>
  <si>
    <t>// Modifier UNIQUEMENT ici pour changer le chemin du fichier.</t>
  </si>
  <si>
    <t>let</t>
  </si>
  <si>
    <t xml:space="preserve">    // ⚠️  ADAPTER CE CHEMIN À VOTRE ENVIRONNEMENT :</t>
  </si>
  <si>
    <t xml:space="preserve">    //   • Local Windows : "C:\\Projets\\PNMC\\BE_MONOPROJET_V2_PNMC.xlsx"</t>
  </si>
  <si>
    <t xml:space="preserve">    //   • SharePoint   : Excel.Workbook(Web.Contents("https://..."))</t>
  </si>
  <si>
    <t xml:space="preserve">    CheminFichier = "C:\\Projets\\PNMC\\BE_MONOPROJET_V2_PNMC.xlsx",</t>
  </si>
  <si>
    <t xml:space="preserve">    // Excel.Workbook(source, useHeaders, delayTypes)</t>
  </si>
  <si>
    <t xml:space="preserve">    //   useHeaders = true  → 1ère ligne = noms de colonnes auto</t>
  </si>
  <si>
    <t xml:space="preserve">    //   delayTypes  = true → ne pas inférer les types tout de suite (+ rapide)</t>
  </si>
  <si>
    <t xml:space="preserve">    Source = Excel.Workbook(</t>
  </si>
  <si>
    <t>// ← Point de départ de TOUTES les requêtes</t>
  </si>
  <si>
    <t xml:space="preserve">        File.Contents(CheminFichier),</t>
  </si>
  <si>
    <t xml:space="preserve">        true,   // useHeaders</t>
  </si>
  <si>
    <t xml:space="preserve">        true    // delayTypes</t>
  </si>
  <si>
    <t xml:space="preserve">    )</t>
  </si>
  <si>
    <t>in</t>
  </si>
  <si>
    <t xml:space="preserve">    Source</t>
  </si>
  <si>
    <t>═══  COUCHE 00_CONFIG — SCÉNARIOS &amp; PARAMÈTRES  ═══</t>
  </si>
  <si>
    <t xml:space="preserve">  T_PARAMETRES  —  Table des 3 scénarios — OPTIMISTE / RÉALISTE / STRESS</t>
  </si>
  <si>
    <t xml:space="preserve">  🎯 Rôle : Lit les 14 paramètres projet (marges, taux transport/douane, seuil décision, poids multicritères) sous forme de 3 colonnes scénarios. Source de vérité de TOUT le modèle financier.</t>
  </si>
  <si>
    <t xml:space="preserve">  🏷  CONFIG · SCÉNARIOS · PARAMÈTRES · SOURCE_VÉRITÉ</t>
  </si>
  <si>
    <t>// T_PARAMETRES.pq  |  Power Query M Language</t>
  </si>
  <si>
    <t>// ─── STRUCTURE DE L'ONGLET EXCEL 00_CONFIG__T_PARAMETRES ───────────────────</t>
  </si>
  <si>
    <t>//   R1 : Titre fusionné (ignoré)</t>
  </si>
  <si>
    <t>//   R2 : En-têtes  [CATEGORIE | PARAMETRE | OPTIMISTE | RÉALISTE | STRESS | DESCRIPTION | (vide) | SCÉNARIO_ACTIF]</t>
  </si>
  <si>
    <t>//   R3-R16 : 14 paramètres                  H2 = scénario actif (ex : "RÉALISTE")</t>
  </si>
  <si>
    <t>// ─────────────────────────────────────────────────────────────────────────────</t>
  </si>
  <si>
    <t xml:space="preserve">    Source = Source_ExcelFichier,</t>
  </si>
  <si>
    <t xml:space="preserve">    // Charger l'onglet brut (avec headers automatiques car useHeaders=true)</t>
  </si>
  <si>
    <t xml:space="preserve">    Onglet = Source{[Item="00_CONFIG__T_PARAMETRES", Kind="Sheet"]}[Data],</t>
  </si>
  <si>
    <t xml:space="preserve">    // La ligne 1 (titre fusionné) devient une ligne de données dans PQ</t>
  </si>
  <si>
    <t xml:space="preserve">    // La ligne 2 (en-têtes réels) a été capturée comme noms de colonnes</t>
  </si>
  <si>
    <t xml:space="preserve">    // → PQ a donc bien reconnu CATEGORIE, PARAMETRE, OPTIMISTE, etc.</t>
  </si>
  <si>
    <t xml:space="preserve">    // MAIS Column7 (vide) et Column8 (SCÉNARIO_ACTIF) existent aussi</t>
  </si>
  <si>
    <t xml:space="preserve">    // Supprimer la ligne fantôme R1 (titre fusionné devenu donnée)</t>
  </si>
  <si>
    <t xml:space="preserve">    SupprimerTitre = Table.Skip(Onglet, 1),</t>
  </si>
  <si>
    <t>// Sauter 1 ligne</t>
  </si>
  <si>
    <t xml:space="preserve">    // Supprimer les colonnes inutiles pour cette requête</t>
  </si>
  <si>
    <t xml:space="preserve">    SupprimerColonnesVides = Table.SelectColumns(SupprimerTitre, {</t>
  </si>
  <si>
    <t xml:space="preserve">        "CATEGORIE", "PARAMETRE", "OPTIMISTE", "RÉALISTE", "STRESS", "DESCRIPTION"</t>
  </si>
  <si>
    <t xml:space="preserve">    }),</t>
  </si>
  <si>
    <t xml:space="preserve">    // Filtrer les lignes sans PARAMETRE (lignes vides en bas de feuille)</t>
  </si>
  <si>
    <t xml:space="preserve">    SupprimerVides = Table.SelectRows(SupprimerColonnesVides,</t>
  </si>
  <si>
    <t xml:space="preserve">        each [PARAMETRE] &lt;&gt; null and [PARAMETRE] &lt;&gt; ""</t>
  </si>
  <si>
    <t>// Exclure vides</t>
  </si>
  <si>
    <t xml:space="preserve">    ),</t>
  </si>
  <si>
    <t xml:space="preserve">    // Typer les colonnes</t>
  </si>
  <si>
    <t xml:space="preserve">    // "any" pour les colonnes valeurs : mixte texte (Nom_Projet) + nombres (0.15)</t>
  </si>
  <si>
    <t xml:space="preserve">    Resultat = Table.TransformColumnTypes(SupprimerVides, {</t>
  </si>
  <si>
    <t xml:space="preserve">        {"CATEGORIE",   type text},</t>
  </si>
  <si>
    <t xml:space="preserve">        {"PARAMETRE",   type text},</t>
  </si>
  <si>
    <t xml:space="preserve">        {"OPTIMISTE",   type any},  // Mixte : "PNMC" ou 0.12</t>
  </si>
  <si>
    <t xml:space="preserve">        {"RÉALISTE",    type any},</t>
  </si>
  <si>
    <t xml:space="preserve">        {"STRESS",      type any},</t>
  </si>
  <si>
    <t xml:space="preserve">        {"DESCRIPTION", type text}</t>
  </si>
  <si>
    <t xml:space="preserve">    })</t>
  </si>
  <si>
    <t xml:space="preserve">    Resultat</t>
  </si>
  <si>
    <t xml:space="preserve">  T_PARAMETRES_ACTIVE  —  Extraction des valeurs du scénario actif</t>
  </si>
  <si>
    <t xml:space="preserve">  🎯 Rôle : Lit H2 de T_PARAMETRES (OPTIMISTE/RÉALISTE/STRESS), sélectionne la colonne correspondante, expose les 14 valeurs paramétriques. Toute modification de H2 + Actualiser Power BI recalcule l'intégralité du modèle.</t>
  </si>
  <si>
    <t xml:space="preserve">  🏷  CONFIG · DYNAMIQUE · SCÉNARIO · RÉFÉRENCE_STAGING</t>
  </si>
  <si>
    <t>// T_PARAMETRES_ACTIVE.pq  |  Power Query M Language</t>
  </si>
  <si>
    <t>// ─── PRINCIPE DU SCÉNARIO ACTIF ────────────────────────────────────────────</t>
  </si>
  <si>
    <t>//   La cellule H2 de T_PARAMETRES contient "OPTIMISTE", "RÉALISTE" ou "STRESS"</t>
  </si>
  <si>
    <t>//   Cette requête lit H2, sélectionne la bonne colonne, et expose les valeurs</t>
  </si>
  <si>
    <t>//   que STAGING utilisera pour tous ses calculs.</t>
  </si>
  <si>
    <t>//</t>
  </si>
  <si>
    <t>//   Exemple RÉALISTE :</t>
  </si>
  <si>
    <t>//     Taux_Transport    → 0.08  (8%)</t>
  </si>
  <si>
    <t>//     Taux_Douane       → 0.15  (15%)</t>
  </si>
  <si>
    <t>//     Taux_Marge_Chine  → 0.10  (10%)</t>
  </si>
  <si>
    <t>//     Taux_Marge_Local  → 0.15  (15%)</t>
  </si>
  <si>
    <t>//     Seuil_Decision    → 0.05  (5% min pour importer)</t>
  </si>
  <si>
    <t xml:space="preserve">    // ── ÉTAPE 1 : Lire le scénario actif depuis H2 de T_PARAMETRES ─────────</t>
  </si>
  <si>
    <t xml:space="preserve">    //   On charge l'onglet brut SANS headers pour cibler la ligne exacte</t>
  </si>
  <si>
    <t xml:space="preserve">    OngletBrut = Source_ExcelFichier{[Item="00_CONFIG__T_PARAMETRES", Kind="Sheet"]}[Data],</t>
  </si>
  <si>
    <t xml:space="preserve">    //   H2 = index ligne 1 (0-based), colonne 8 (Column8 car headers=true n'est pas utilisé ici)</t>
  </si>
  <si>
    <t xml:space="preserve">    ScenarioActif = OngletBrut{1}[Column8],</t>
  </si>
  <si>
    <t xml:space="preserve">    //   → Résultat attendu : "RÉALISTE" (valeur par défaut dans H2)</t>
  </si>
  <si>
    <t xml:space="preserve">    // ── ÉTAPE 2 : Charger T_PARAMETRES (requête précédente) ─────────────────</t>
  </si>
  <si>
    <t xml:space="preserve">    ParamsTable = T_PARAMETRES,</t>
  </si>
  <si>
    <t xml:space="preserve">    // ── ÉTAPE 3 : Ajouter la colonne VALEUR_ACTIVE ──────────────────────────</t>
  </si>
  <si>
    <t xml:space="preserve">    //   Switch sur le nom du scénario pour choisir la bonne colonne</t>
  </si>
  <si>
    <t xml:space="preserve">    AjouterValeur = Table.AddColumn(ParamsTable, "VALEUR_ACTIVE", each</t>
  </si>
  <si>
    <t xml:space="preserve">        if   ScenarioActif = "OPTIMISTE" then [OPTIMISTE]</t>
  </si>
  <si>
    <t xml:space="preserve">        else if ScenarioActif = "STRESS"    then [STRESS]</t>
  </si>
  <si>
    <t xml:space="preserve">        else [RÉALISTE]   // Défaut : RÉALISTE (scénario nominal)</t>
  </si>
  <si>
    <t xml:space="preserve">    // ── ÉTAPE 4 : Ajouter le nom du scénario pour traçabilité ───────────────</t>
  </si>
  <si>
    <t xml:space="preserve">    AjouterScenario = Table.AddColumn(AjouterValeur, "SCENARIO", each ScenarioActif, type text),</t>
  </si>
  <si>
    <t xml:space="preserve">    // ── ÉTAPE 5 : Garder uniquement les colonnes utiles ─────────────────────</t>
  </si>
  <si>
    <t xml:space="preserve">    Resultat = Table.SelectColumns(AjouterScenario,</t>
  </si>
  <si>
    <t xml:space="preserve">        {"CATEGORIE", "PARAMETRE", "VALEUR_ACTIVE", "SCENARIO", "DESCRIPTION"}</t>
  </si>
  <si>
    <t>// ─── COMMENT LIRE UN PARAMÈTRE DEPUIS STAGING ───────────────────────────────</t>
  </si>
  <si>
    <t>// Utiliser fxGetParam (requête suivante) :</t>
  </si>
  <si>
    <t>//   fxGetParam("Taux_Transport")       → 0.08</t>
  </si>
  <si>
    <t>//   fxGetParam("Seuil_Decision_Import")→ 0.05</t>
  </si>
  <si>
    <t>//   fxGetParam("Poids_Prix")           → 0.40</t>
  </si>
  <si>
    <t xml:space="preserve">  fxGetParam  —  Fonction helper — lecture d'un paramètre actif</t>
  </si>
  <si>
    <t xml:space="preserve">  🎯 Rôle : Encapsule la lecture de T_PARAMETRES_ACTIVE. Évite la répétition du pattern Table.SelectRows dans chaque requête. Retourne une erreur explicite si le paramètre est inconnu.</t>
  </si>
  <si>
    <t xml:space="preserve">  🏷  FONCTION · HELPER · RÉUTILISABLE</t>
  </si>
  <si>
    <t>// fxGetParam.pq  |  Power Query M Language</t>
  </si>
  <si>
    <t>// ─── FONCTION HELPER ─────────────────────────────────────────────────────────</t>
  </si>
  <si>
    <t>//   Signature : fxGetParam(NomParametre as text) as any</t>
  </si>
  <si>
    <t>//   Usage dans STAGING :</t>
  </si>
  <si>
    <t>//     T = fxGetParam("Taux_Transport")    → 0.08</t>
  </si>
  <si>
    <t>//     M = fxGetParam("Taux_Marge_Chine")  → 0.10</t>
  </si>
  <si>
    <t>//     S = fxGetParam("Seuil_Decision_Import") → 0.05</t>
  </si>
  <si>
    <t xml:space="preserve">    fxGetParam = (NomParametre as text) as any =&gt;</t>
  </si>
  <si>
    <t xml:space="preserve">    let</t>
  </si>
  <si>
    <t xml:space="preserve">        // Filtrer T_PARAMETRES_ACTIVE sur le paramètre demandé</t>
  </si>
  <si>
    <t xml:space="preserve">        Filtre = Table.SelectRows(T_PARAMETRES_ACTIVE,</t>
  </si>
  <si>
    <t xml:space="preserve">            each [PARAMETRE] = NomParametre</t>
  </si>
  <si>
    <t xml:space="preserve">        ),</t>
  </si>
  <si>
    <t xml:space="preserve">        // Vérification défensive : paramètre inconnu → erreur explicite</t>
  </si>
  <si>
    <t xml:space="preserve">        // (évite les erreurs silencieuses qui fausseraient les calculs)</t>
  </si>
  <si>
    <t xml:space="preserve">        Valeur = if Table.RowCount(Filtre) &gt; 0</t>
  </si>
  <si>
    <t xml:space="preserve">                 then Table.First(Filtre)[VALEUR_ACTIVE]</t>
  </si>
  <si>
    <t xml:space="preserve">                 else error "Paramètre introuvable dans T_PARAMETRES_ACTIVE : " &amp; NomParametre</t>
  </si>
  <si>
    <t xml:space="preserve">    in</t>
  </si>
  <si>
    <t xml:space="preserve">        Valeur</t>
  </si>
  <si>
    <t xml:space="preserve">    fxGetParam</t>
  </si>
  <si>
    <t>═══  COUCHE DIMENSIONS — TABLES DE RÉFÉRENCE  ═══</t>
  </si>
  <si>
    <t xml:space="preserve">  DIM_FAM_METIER  —  Dimension des 4 grands métiers BTP</t>
  </si>
  <si>
    <t xml:space="preserve">  🎯 Rôle : Table de référence stable : Structure (FM_01), Enveloppe (FM_02), Second Œuvre (FM_03), Lots Techniques (FM_04). Niveau hiérarchique le plus haut.</t>
  </si>
  <si>
    <t xml:space="preserve">  🏷  DIMENSION · MÉTIER · RÉFÉRENCE</t>
  </si>
  <si>
    <t>// DIM_FAM_METIER.pq  |  Power Query M Language</t>
  </si>
  <si>
    <t>// ─── HIÉRARCHIE ARTICLE ─────────────────────────────────────────────────────</t>
  </si>
  <si>
    <t>//   FAM_METIER (FM_01..FM_04) → FAM_ARTICLE (FA_001..FA_017) → LOT → ARTICLE</t>
  </si>
  <si>
    <t>//   FM_01 STRUCTURE      → FA_001 Gros Œuvre (IMPORTABLE=0)</t>
  </si>
  <si>
    <t>//   FM_02 ENVELOPPE      → FA_002 Étanchéité, FA_003 Alucobond</t>
  </si>
  <si>
    <t>//   FM_03 SECOND_OEUVRE  → FA_004..007, FA_012, FA_014</t>
  </si>
  <si>
    <t>//   FM_04 LOTS_TECHNIQUES→ FA_008..011, FA_013, FA_015..017</t>
  </si>
  <si>
    <t xml:space="preserve">    Onglet = Source{[Item="DIM_FAM_METIER", Kind="Sheet"]}[Data],</t>
  </si>
  <si>
    <t xml:space="preserve">    // Filtrer les lignes sans ID (lignes vides Excel)</t>
  </si>
  <si>
    <t xml:space="preserve">    SupprimerVides = Table.SelectRows(Onglet,</t>
  </si>
  <si>
    <t xml:space="preserve">        each [FAM_METIER_ID] &lt;&gt; null and [FAM_METIER_ID] &lt;&gt; ""</t>
  </si>
  <si>
    <t xml:space="preserve">        {"FAM_METIER_ID",      type text},</t>
  </si>
  <si>
    <t xml:space="preserve">        {"CODE_FAM_METIER",    type text},</t>
  </si>
  <si>
    <t xml:space="preserve">        {"LIBELLE_FAM_METIER", type text},</t>
  </si>
  <si>
    <t xml:space="preserve">        {"ACTIF",              Int64.Type}   // 1 = actif, 0 = désactivé</t>
  </si>
  <si>
    <t xml:space="preserve">  DIM_FAM_ARTICLE  —  Dimension des 17 familles d'articles</t>
  </si>
  <si>
    <t xml:space="preserve">  🎯 Rôle : Chaque famille définit l'importabilité et le niveau de risque logistique de ses articles. FA_001 (Gros Œuvre) est le seul avec IMPORTABLE=0 : le béton coulé sur place ne peut pas être sourcé en Chine.</t>
  </si>
  <si>
    <t xml:space="preserve">  🏷  DIMENSION · FAMILLE · IMPORTABILITÉ · RISQUE</t>
  </si>
  <si>
    <t>// DIM_FAM_ARTICLE.pq  |  Power Query M Language</t>
  </si>
  <si>
    <t>// ─── COLONNES CLÉS ──────────────────────────────────────────────────────────</t>
  </si>
  <si>
    <t>//   IMPORTABLE      : 0 = jamais importable (ex: FA_001 Gros Œuvre = béton coulé)</t>
  </si>
  <si>
    <t>//   TAUX_MAIN_OEUVRE: 0.4 = 40% main d'œuvre → non importable par nature</t>
  </si>
  <si>
    <t>//   RISQUE_IMPORT   : score 0-5 (3=critique, ≥3 → plan mitigation requis)</t>
  </si>
  <si>
    <t xml:space="preserve">    Onglet = Source{[Item="DIM_FAM_ARTICLE", Kind="Sheet"]}[Data],</t>
  </si>
  <si>
    <t xml:space="preserve">    SupprimerVides = Table.SelectRows(Onglet, each [FAM_ARTICLE_ID] &lt;&gt; null),</t>
  </si>
  <si>
    <t xml:space="preserve">        {"FAM_ARTICLE_ID",       type text},</t>
  </si>
  <si>
    <t xml:space="preserve">        {"CODE_FAM_ARTICLE",     type text},</t>
  </si>
  <si>
    <t xml:space="preserve">        {"LIBELLE_FAM_ARTICLE",  type text},</t>
  </si>
  <si>
    <t xml:space="preserve">        {"FAM_METIER_ID",        type text},    // Jointure → DIM_FAM_METIER</t>
  </si>
  <si>
    <t xml:space="preserve">        {"IMPORTABLE",           Int64.Type},   // 0 ou 1</t>
  </si>
  <si>
    <t xml:space="preserve">        {"TAUX_MAIN_OEUVRE",     type number},  // 0.0 – 1.0</t>
  </si>
  <si>
    <t xml:space="preserve">        {"RISQUE_IMPORT",        type number}   // 0 – 5</t>
  </si>
  <si>
    <t xml:space="preserve">  DIM_LOT  —  Dimension des 17 lots du projet</t>
  </si>
  <si>
    <t xml:space="preserve">  🎯 Rôle : Table de dimension des lots avec leurs totaux économiques pré-calculés. Lot 1 = Gros Œuvre (142 articles, non importable). Lot 13 = Alucobond (meilleure économie absolue : 103 M FCFA).</t>
  </si>
  <si>
    <t xml:space="preserve">  🏷  DIMENSION · LOT · TOTAUX · JOINTURE_STAGING</t>
  </si>
  <si>
    <t>// DIM_LOT.pq  |  Power Query M Language</t>
  </si>
  <si>
    <t>// ─── 17 LOTS DU PROJET ─────────────────────────────────────────────────────</t>
  </si>
  <si>
    <t>//   Lot 1  : Gros Œuvre (142 art.) — non importable — 209 M FCFA</t>
  </si>
  <si>
    <t>//   Lot 2  : Étanchéité (2 art.)   — IMPORT 60.3% gain</t>
  </si>
  <si>
    <t>//   ...</t>
  </si>
  <si>
    <t>//   Lot 13 : Alucobond Façade (2 art.) — meilleure économie absolue: 103 M FCFA</t>
  </si>
  <si>
    <t xml:space="preserve">    Onglet = Source{[Item="DIM_LOT", Kind="Sheet"]}[Data],</t>
  </si>
  <si>
    <t xml:space="preserve">    SupprimerVides = Table.SelectRows(Onglet, each [LOT_ID] &lt;&gt; null),</t>
  </si>
  <si>
    <t xml:space="preserve">        {"LOT_ID",         type text},</t>
  </si>
  <si>
    <t xml:space="preserve">        {"CODE_LOT",       type text},</t>
  </si>
  <si>
    <t xml:space="preserve">        {"NOM_LOT",        type text},</t>
  </si>
  <si>
    <t xml:space="preserve">        {"FAM_ARTICLE_ID", type text},    // Jointure → DIM_FAM_ARTICLE</t>
  </si>
  <si>
    <t xml:space="preserve">        {"IMPORTABLE",     Int64.Type},   // 0 = Lot 1 (Gros Œuvre)</t>
  </si>
  <si>
    <t xml:space="preserve">        {"NB_ARTICLES",    Int64.Type},</t>
  </si>
  <si>
    <t xml:space="preserve">        {"TOTAL_LOCAL",    type number},  // CAPEX 100% local (FCFA)</t>
  </si>
  <si>
    <t xml:space="preserve">        {"TOTAL_CHINE",    type number},  // CAPEX 100% import (FCFA)</t>
  </si>
  <si>
    <t xml:space="preserve">        {"GAIN",           type number},  // TOTAL_LOCAL - TOTAL_CHINE</t>
  </si>
  <si>
    <t xml:space="preserve">        {"GAIN_PCT",       type number}   // Taux économie brut (0-1)</t>
  </si>
  <si>
    <t>═══  COUCHE 01_RAW — SOURCES BRUTES IMMUABLES  ═══</t>
  </si>
  <si>
    <t xml:space="preserve">  RAW_METRE  —  Métré DQE brut — quantités par article (318 lignes)</t>
  </si>
  <si>
    <t xml:space="preserve">  🎯 Rôle : Source brute immuable du Descriptif Quantitatif Estimatif. Contient les quantités par article. Pas de prix : c'est la jointure avec BPU_LOCAL et BPU_CHINE (via CODE_BPU) qui valorise chaque ligne.</t>
  </si>
  <si>
    <t xml:space="preserve">  🏷  RAW · IMMUABLE · METRE · DQE · CODE_BPU</t>
  </si>
  <si>
    <t>// RAW_METRE.pq  |  Power Query M Language</t>
  </si>
  <si>
    <t>// ─── RÈGLE RAW : NE JAMAIS MODIFIER CES DONNÉES ───────────────────────────</t>
  </si>
  <si>
    <t>//   RAW = snapshot immuable des données sources.</t>
  </si>
  <si>
    <t>//   Toute correction de données doit se faire EN AMONT (dans le fichier source)</t>
  </si>
  <si>
    <t>//   ou dans la couche CLEAN — jamais directement dans RAW.</t>
  </si>
  <si>
    <t>//   STRUCTURE (319 lignes = 1 header + 318 articles DQE) :</t>
  </si>
  <si>
    <t>//   [PROJET_ID | CODE_BPU | LOT | BATIMENT_ID | NIVEAU_ID | UNITE | QTE | DATE_MAJ]</t>
  </si>
  <si>
    <t>//   CODE_BPU = clé universelle — format : N°LOT.TYPE.N°ART (ex : "7.A.3")</t>
  </si>
  <si>
    <t>//   QTE = quantité du métré — chiffre fondateur de TOUS les montants</t>
  </si>
  <si>
    <t xml:space="preserve">    Onglet = Source{[Item="01_RAW__METRE", Kind="Sheet"]}[Data],</t>
  </si>
  <si>
    <t xml:space="preserve">    // Éliminer les lignes sans CODE_BPU (lignes vides de fin de feuille)</t>
  </si>
  <si>
    <t xml:space="preserve">        each [CODE_BPU] &lt;&gt; null and [CODE_BPU] &lt;&gt; ""</t>
  </si>
  <si>
    <t xml:space="preserve">        {"PROJET_ID",   type text},</t>
  </si>
  <si>
    <t xml:space="preserve">        {"CODE_BPU",    type text},   // ← CLÉ PRIMAIRE de jointure</t>
  </si>
  <si>
    <t xml:space="preserve">        {"LOT",         type text},</t>
  </si>
  <si>
    <t xml:space="preserve">        {"BATIMENT_ID", type text},</t>
  </si>
  <si>
    <t xml:space="preserve">        {"NIVEAU_ID",   type text},</t>
  </si>
  <si>
    <t xml:space="preserve">        {"UNITE",       type text},</t>
  </si>
  <si>
    <t xml:space="preserve">        {"QTE",         type number}, // ← Quantité DQE</t>
  </si>
  <si>
    <t xml:space="preserve">        {"DATE_MAJ",    type text}    // Texte : "2026-02-28"</t>
  </si>
  <si>
    <t xml:space="preserve">  RAW_BPU_LOCAL  —  BPU Local brut — prix du marché congolais (318 lignes)</t>
  </si>
  <si>
    <t xml:space="preserve">  🎯 Rôle : Bordereau de Prix Unitaires local. PU_LOCAL = prix fournisseur BRUT sans marge. La marge (Taux_Marge_Local) est appliquée dynamiquement dans STAGING selon le scénario actif.</t>
  </si>
  <si>
    <t xml:space="preserve">  🏷  RAW · IMMUABLE · BPU · PRIX_LOCAL · CODE_BPU</t>
  </si>
  <si>
    <t>// RAW_BPU_LOCAL.pq  |  Power Query M Language</t>
  </si>
  <si>
    <t>// ─── BPU LOCAL : Prix du marché congolais ───────────────────────────────────</t>
  </si>
  <si>
    <t>//   PU_LOCAL = prix fournisseur brut SANS marge entreprise</t>
  </si>
  <si>
    <t>//   La marge est appliquée dans STAGING : PU_LOCAL_MARGE = PU_LOCAL × (1 + Taux_Marge_Local)</t>
  </si>
  <si>
    <t>//   ACTIF = 1 → prix validé et actif</t>
  </si>
  <si>
    <t>//   ACTIF = 0 → prix estimé non confirmé (filtré en CLEAN)</t>
  </si>
  <si>
    <t xml:space="preserve">    Onglet = Source{[Item="01_RAW__BPU_LOCAL", Kind="Sheet"]}[Data],</t>
  </si>
  <si>
    <t xml:space="preserve">    SupprimerVides = Table.SelectRows(Onglet, each [CODE_BPU] &lt;&gt; null),</t>
  </si>
  <si>
    <t xml:space="preserve">        {"PROJET_ID",      type text},</t>
  </si>
  <si>
    <t xml:space="preserve">        {"CODE_BPU",       type text},    // Jointure → METRE, BPU_CHINE</t>
  </si>
  <si>
    <t xml:space="preserve">        {"DESIGNATION",    type text},    // Libellé article</t>
  </si>
  <si>
    <t xml:space="preserve">        {"LOT",            type text},</t>
  </si>
  <si>
    <t xml:space="preserve">        {"UNITE",          type text},</t>
  </si>
  <si>
    <t xml:space="preserve">        {"PU_LOCAL",       type number},  // Prix unitaire local FCFA (brut)</t>
  </si>
  <si>
    <t xml:space="preserve">        {"TYPE_COUT",      type text},    // "MATERIAU", "MAIN_OEUVRE", "MIXTE"</t>
  </si>
  <si>
    <t xml:space="preserve">        {"DATE_REFERENCE", type text},</t>
  </si>
  <si>
    <t xml:space="preserve">        {"ACTIF",          Int64.Type}    // 0 ou 1</t>
  </si>
  <si>
    <t xml:space="preserve">  RAW_BPU_CHINE  —  BPU Chine brut — prix FOB départ usine (318 lignes)</t>
  </si>
  <si>
    <t xml:space="preserve">  🎯 Rôle : Prix unitaires FOB Chine. Pour les non-importables (Lot 1), PU_CHINE_FOB = PU_LOCAL par convention — le flag IMPORTABLE filtre ces cas dans STAGING. La colonne PU_IMPORT_NET existante est remplacée dynamiquement dans STAGING.</t>
  </si>
  <si>
    <t xml:space="preserve">  🏷  RAW · IMMUABLE · BPU · PRIX_FOB · CHINE · CODE_BPU</t>
  </si>
  <si>
    <t>// RAW_BPU_CHINE.pq  |  Power Query M Language</t>
  </si>
  <si>
    <t>// ─── BPU CHINE : Prix FOB départ usine Chine ────────────────────────────────</t>
  </si>
  <si>
    <t>//   PU_CHINE_FOB = prix usine Chine en FCFA équivalent, SANS frais logistiques</t>
  </si>
  <si>
    <t>//   FOB = Free On Board (port de chargement Chine)</t>
  </si>
  <si>
    <t>//   Pour les articles NON importables (Lot 1) :</t>
  </si>
  <si>
    <t>//     PU_CHINE_FOB = PU_LOCAL (fallback) — SOURCE = "BPU Local"</t>
  </si>
  <si>
    <t>//     → Le flag IMPORTABLE = 0 dans STAGING force la décision "LOCAL"</t>
  </si>
  <si>
    <t>//   Calcul du prix import net (effectué dans STAGING) :</t>
  </si>
  <si>
    <t>//     PU_IMPORT_NET = PU_CHINE_FOB × (1 + Taux_Transport + Taux_Douane) × (1 + Taux_Marge_Chine)</t>
  </si>
  <si>
    <t>//     Exemple RÉALISTE : 4 143 × (1+0.08+0.15) × (1+0.10) = 5 605 FCFA</t>
  </si>
  <si>
    <t xml:space="preserve">    Onglet = Source{[Item="01_RAW__BPU_CHINE", Kind="Sheet"]}[Data],</t>
  </si>
  <si>
    <t xml:space="preserve">        {"PROJET_ID",        type text},</t>
  </si>
  <si>
    <t xml:space="preserve">        {"CODE_BPU",         type text},   // Jointure → METRE, BPU_LOCAL</t>
  </si>
  <si>
    <t xml:space="preserve">        {"DESIGNATION",      type text},</t>
  </si>
  <si>
    <t xml:space="preserve">        {"LOT",              type text},</t>
  </si>
  <si>
    <t xml:space="preserve">        {"UNITE",            type text},</t>
  </si>
  <si>
    <t xml:space="preserve">        {"FAM_ARTICLE_ID",   type text},</t>
  </si>
  <si>
    <t xml:space="preserve">        {"PU_CHINE_FOB",     type number}, // Prix FOB Chine (FCFA éq.) — brut</t>
  </si>
  <si>
    <t xml:space="preserve">        {"PU_IMPORT_NET",    type number}, // Colonne historique — recalculée dans STAGING</t>
  </si>
  <si>
    <t xml:space="preserve">        {"TYPE_COUT",        type text},</t>
  </si>
  <si>
    <t xml:space="preserve">        {"SOURCE",           type text},   // "DQE Phase1 + PDF" ou "BPU Local" (non-importable)</t>
  </si>
  <si>
    <t xml:space="preserve">        {"DATE_VALIDATION",  type text},</t>
  </si>
  <si>
    <t xml:space="preserve">        {"STATUT",           type text}    // "Validé", "Estimé", "À confirmer"</t>
  </si>
  <si>
    <t>═══  COUCHE 02_CLEAN — NETTOYAGE &amp; CONTRÔLE QUALITÉ  ═══</t>
  </si>
  <si>
    <t xml:space="preserve">  CLEAN_METRE  —  Nettoyage du Métré — QC + Trim + Validation</t>
  </si>
  <si>
    <t xml:space="preserve">  🎯 Rôle : Nettoie RAW_METRE : trim des clés de jointure (CODE_BPU), filtrage des quantités invalides, ajout d'un flag QC_STATUT. CRITIQUE : un espace invisible dans CODE_BPU fait rater silencieusement toutes les jointures en aval.</t>
  </si>
  <si>
    <t xml:space="preserve">  🏷  CLEAN · QUALITÉ · TRIM · VALIDATION</t>
  </si>
  <si>
    <t>// CLEAN_METRE.pq  |  Power Query M Language</t>
  </si>
  <si>
    <t>// ─── NETTOYAGES CRITIQUES ────────────────────────────────────────────────────</t>
  </si>
  <si>
    <t>//   1. Trim CODE_BPU : "2.1 " ≠ "2.1" → jointure ratée silencieusement !</t>
  </si>
  <si>
    <t>//   2. QTE &gt; 0 : éliminer les articles sans quantité (annulés ou oubliés)</t>
  </si>
  <si>
    <t>//   3. QC_STATUT : flag de contrôle qualité par ligne</t>
  </si>
  <si>
    <t xml:space="preserve">    Source = RAW_METRE,   // ← Référence à la couche RAW</t>
  </si>
  <si>
    <t xml:space="preserve">    // ── ÉTAPE 1 : Trim des identifiants texte ──────────────────────────────</t>
  </si>
  <si>
    <t xml:space="preserve">    //   CRITIQUE : Un espace invisible dans CODE_BPU fait rater TOUTES</t>
  </si>
  <si>
    <t xml:space="preserve">    //   les jointures en aval (STAGING, FACT, DM) sans aucun message d'erreur</t>
  </si>
  <si>
    <t xml:space="preserve">    TrimTextes = Table.TransformColumns(Source, {</t>
  </si>
  <si>
    <t xml:space="preserve">        {"CODE_BPU",    Text.Trim},</t>
  </si>
  <si>
    <t xml:space="preserve">        {"PROJET_ID",   Text.Trim},</t>
  </si>
  <si>
    <t xml:space="preserve">        {"LOT",         Text.Trim},</t>
  </si>
  <si>
    <t xml:space="preserve">        {"BATIMENT_ID", Text.Trim},</t>
  </si>
  <si>
    <t xml:space="preserve">        {"NIVEAU_ID",   Text.Trim},</t>
  </si>
  <si>
    <t xml:space="preserve">        {"UNITE",       Text.Upper}  // Normaliser en majuscules</t>
  </si>
  <si>
    <t xml:space="preserve">    // ── ÉTAPE 2 : Filtrer les quantités invalides ───────────────────────────</t>
  </si>
  <si>
    <t xml:space="preserve">    FiltrerQte = Table.SelectRows(TrimTextes,</t>
  </si>
  <si>
    <t xml:space="preserve">        each [QTE] &lt;&gt; null and [QTE] &gt; 0   // Éliminer QTE=0 (article annulé)</t>
  </si>
  <si>
    <t xml:space="preserve">    // ── ÉTAPE 3 : Contrôle qualité — flag QC_STATUT ─────────────────────────</t>
  </si>
  <si>
    <t xml:space="preserve">    //   Utile pour identifier les lignes incomplètes avant chargement</t>
  </si>
  <si>
    <t xml:space="preserve">    AjouterQC = Table.AddColumn(FiltrerQte, "QC_STATUT", each</t>
  </si>
  <si>
    <t xml:space="preserve">        if   [CODE_BPU] = null or [CODE_BPU] = "" then "ERR: CODE_BPU manquant"</t>
  </si>
  <si>
    <t xml:space="preserve">        else if [LOT]    = null or [LOT] = ""      then "ERR: LOT manquant"</t>
  </si>
  <si>
    <t xml:space="preserve">        else if [UNITE]  = null or [UNITE] = ""    then "ERR: UNITE manquante"</t>
  </si>
  <si>
    <t xml:space="preserve">        else "OK"</t>
  </si>
  <si>
    <t xml:space="preserve">    , type text),</t>
  </si>
  <si>
    <t xml:space="preserve">    // ── ÉTAPE 4 : Extraire l'année pour filtrage temporel ──────────────────</t>
  </si>
  <si>
    <t xml:space="preserve">    Resultat = Table.AddColumn(AjouterQC, "ANNEE_MAJ", each</t>
  </si>
  <si>
    <t xml:space="preserve">        try Number.From(Text.Start([DATE_MAJ], 4)) otherwise null</t>
  </si>
  <si>
    <t xml:space="preserve">    , Int64.Type)</t>
  </si>
  <si>
    <t xml:space="preserve">    // ⚠️  Vérification : Table.RowCount(CLEAN_METRE) doit = 318</t>
  </si>
  <si>
    <t xml:space="preserve">  CLEAN_BPU_LOCAL  —  Nettoyage BPU Local — Validation + Fiabilité</t>
  </si>
  <si>
    <t xml:space="preserve">  🎯 Rôle : Filtre les prix locaux invalides (ACTIF=0, PU=0) et classifie leur fiabilité selon l'ancienneté. Seuls les prix ACTIF=1 alimentent STAGING.</t>
  </si>
  <si>
    <t xml:space="preserve">  🏷  CLEAN · BPU · LOCAL · FIABILITÉ · VALIDATION</t>
  </si>
  <si>
    <t>// CLEAN_BPU_LOCAL.pq  |  Power Query M Language</t>
  </si>
  <si>
    <t>// ─── RÈGLES BPU LOCAL ────────────────────────────────────────────────────────</t>
  </si>
  <si>
    <t>//   • Ne garder que ACTIF = 1 (prix confirmés par le maître d'œuvre)</t>
  </si>
  <si>
    <t>//   • PU_LOCAL &gt; 0 obligatoire (prix nul = donnée manquante)</t>
  </si>
  <si>
    <t>//   • Classifier la fiabilité selon l'ancienneté du prix</t>
  </si>
  <si>
    <t xml:space="preserve">    Source = RAW_BPU_LOCAL,</t>
  </si>
  <si>
    <t xml:space="preserve">    // Trim des clés de jointure</t>
  </si>
  <si>
    <t xml:space="preserve">        {"CODE_BPU",       Text.Trim},</t>
  </si>
  <si>
    <t xml:space="preserve">        {"DESIGNATION",    Text.Trim},</t>
  </si>
  <si>
    <t xml:space="preserve">        {"LOT",            Text.Trim},</t>
  </si>
  <si>
    <t xml:space="preserve">        {"FAM_ARTICLE_ID", Text.Trim}</t>
  </si>
  <si>
    <t xml:space="preserve">    // Garder uniquement prix positifs et validés (ACTIF=1)</t>
  </si>
  <si>
    <t xml:space="preserve">    FiltrerValides = Table.SelectRows(TrimTextes,</t>
  </si>
  <si>
    <t xml:space="preserve">        each [PU_LOCAL] &lt;&gt; null and [PU_LOCAL] &gt; 0 and [ACTIF] = 1</t>
  </si>
  <si>
    <t xml:space="preserve">    // Marqueur de source (utile lors de l'union Local + Chine)</t>
  </si>
  <si>
    <t xml:space="preserve">    AjouterSource = Table.AddColumn(FiltrerValides, "SOURCE_TYPE", each "LOCAL", type text),</t>
  </si>
  <si>
    <t xml:space="preserve">    // Fiabilité du prix selon ancienneté</t>
  </si>
  <si>
    <t xml:space="preserve">    Resultat = Table.AddColumn(AjouterSource, "FIABILITE_PRIX", each</t>
  </si>
  <si>
    <t xml:space="preserve">        let Ecart = 2026 - try Number.From(Text.Start([DATE_REFERENCE], 4)) otherwise 2020</t>
  </si>
  <si>
    <t xml:space="preserve">        in  if Ecart &lt;= 1 then "FIABLE"</t>
  </si>
  <si>
    <t xml:space="preserve">            else if Ecart &lt;= 2 then "A_VERIFIER"</t>
  </si>
  <si>
    <t xml:space="preserve">            else "OBSOLETE"</t>
  </si>
  <si>
    <t xml:space="preserve">    , type text)</t>
  </si>
  <si>
    <t xml:space="preserve">  CLEAN_BPU_CHINE  —  Nettoyage BPU Chine — Identification vrais prix FOB</t>
  </si>
  <si>
    <t xml:space="preserve">  🎯 Rôle : Filtre et qualifie les prix Chine. Ajoute un flag EST_VRAIMENT_CHINE pour distinguer les vrais prix FOB des fallback (non-importables). Réduit les colonnes au strict nécessaire pour la jointure dans STAGING.</t>
  </si>
  <si>
    <t xml:space="preserve">  🏷  CLEAN · BPU · CHINE · FOB · QUALITÉ</t>
  </si>
  <si>
    <t>// CLEAN_BPU_CHINE.pq  |  Power Query M Language</t>
  </si>
  <si>
    <t>// ─── RÈGLES BPU CHINE ────────────────────────────────────────────────────────</t>
  </si>
  <si>
    <t>//   • Identifier les vrais prix Chine vs les fallback PU_LOCAL</t>
  </si>
  <si>
    <t>//   • Ne garder que PU_CHINE_FOB &gt; 0</t>
  </si>
  <si>
    <t>//   • Réduire au strict nécessaire pour la jointure dans STAGING</t>
  </si>
  <si>
    <t xml:space="preserve">    Source = RAW_BPU_CHINE,</t>
  </si>
  <si>
    <t xml:space="preserve">        each [PU_CHINE_FOB] &lt;&gt; null and [PU_CHINE_FOB] &gt; 0</t>
  </si>
  <si>
    <t xml:space="preserve">    // Flag : vrai prix Chine (différent du fallback PU_LOCAL)</t>
  </si>
  <si>
    <t xml:space="preserve">    // Les non-importables ont PU_CHINE_FOB = PU_LOCAL (SOURCE = "BPU Local")</t>
  </si>
  <si>
    <t xml:space="preserve">    AjouterFlag = Table.AddColumn(FiltrerValides, "EST_VRAIMENT_CHINE", each</t>
  </si>
  <si>
    <t xml:space="preserve">        [SOURCE] &lt;&gt; "BPU Local"   // Si source ≠ BPU Local → vrai prix Chine</t>
  </si>
  <si>
    <t xml:space="preserve">    , type logical),</t>
  </si>
  <si>
    <t xml:space="preserve">    // Ne conserver que les colonnes utiles pour STAGING</t>
  </si>
  <si>
    <t xml:space="preserve">    Resultat = Table.SelectColumns(AjouterFlag, {</t>
  </si>
  <si>
    <t xml:space="preserve">        "CODE_BPU",         // Clé de jointure avec STAGING</t>
  </si>
  <si>
    <t xml:space="preserve">        "PU_CHINE_FOB",     // Prix FOB brut</t>
  </si>
  <si>
    <t xml:space="preserve">        "FAM_ARTICLE_ID",   // Pour vérification</t>
  </si>
  <si>
    <t xml:space="preserve">        "STATUT",           // "Validé", "Estimé", "À confirmer"</t>
  </si>
  <si>
    <t xml:space="preserve">        "SOURCE",           // Origine du prix</t>
  </si>
  <si>
    <t xml:space="preserve">        "EST_VRAIMENT_CHINE"</t>
  </si>
  <si>
    <t>═══  COUCHE 03_STAGING — CŒUR DU MOTEUR DÉCISIONNEL  ═══</t>
  </si>
  <si>
    <t xml:space="preserve">  STAGING  —  ★ CŒUR — Jointures + 7 calculs économiques dynamiques</t>
  </si>
  <si>
    <t xml:space="preserve">  🎯 Rôle : Table centrale du modèle : 3 jointures (METRE ↔ BPU_LOCAL ↔ BPU_CHINE ↔ DIM) puis 7 colonnes calculées dynamiquement via T_PARAMETRES_ACTIVE. Changer le scénario dans H2 (T_PARAMETRES) et actualiser recalcule tout. 318 lignes × 22 colonnes.</t>
  </si>
  <si>
    <t xml:space="preserve">  🏷  STAGING · CŒUR · JOINTURES · DYNAMIQUE · SCÉNARIOS · DÉCISION</t>
  </si>
  <si>
    <t>// STAGING.pq  |  Power Query M Language</t>
  </si>
  <si>
    <t>// ╔══════════════════════════════════════════════════════════════════════════╗</t>
  </si>
  <si>
    <t>// ║  STAGING = CŒUR DU MODÈLE — 7 formules dynamiques branchées sur        ║</t>
  </si>
  <si>
    <t>// ║  T_PARAMETRES_ACTIVE. Changer le scénario recalcule TOUT.              ║</t>
  </si>
  <si>
    <t>// ╠══════════════════════════════════════════════════════════════════════════╣</t>
  </si>
  <si>
    <t>// ║  PARAMÈTRES LUS DEPUIS T_PARAMETRES_ACTIVE (scénario RÉALISTE) :       ║</t>
  </si>
  <si>
    <t>// ║    T_MARGE_LOCAL  = 0.15  (Taux_Marge_Local)                           ║</t>
  </si>
  <si>
    <t>// ║    T_MARGE_CHINE  = 0.10  (Taux_Marge_Chine)                           ║</t>
  </si>
  <si>
    <t>// ║    T_TRANSPORT    = 0.08  (Taux_Transport)                              ║</t>
  </si>
  <si>
    <t>// ║    T_DOUANE       = 0.15  (Taux_Douane)                                 ║</t>
  </si>
  <si>
    <t>// ║    SEUIL          = 0.05  (Seuil_Decision_Import)                       ║</t>
  </si>
  <si>
    <t>// ║  JOINTURES (toutes sur CODE_BPU) :                                      ║</t>
  </si>
  <si>
    <t>// ║    CLEAN_METRE ← leftjoin → CLEAN_BPU_LOCAL  (PU_LOCAL, DESIGNATION)   ║</t>
  </si>
  <si>
    <t>// ║    CLEAN_METRE ← leftjoin → CLEAN_BPU_CHINE  (PU_CHINE_FOB)            ║</t>
  </si>
  <si>
    <t>// ║    CLEAN_METRE ← leftjoin → DIM_FAM_ARTICLE  (IMPORTABLE, RISQUE)      ║</t>
  </si>
  <si>
    <t>// ║  FORMULES DYNAMIQUES (7 colonnes calculées) :                           ║</t>
  </si>
  <si>
    <t>// ║    M. PU_CHINE_FOB   → lookup CLEAN_BPU_CHINE, fallback PU_LOCAL        ║</t>
  </si>
  <si>
    <t>// ║    N. PU_IMPORT_NET  → FOB × (1+Transport+Douane) × (1+Marge_Chine)    ║</t>
  </si>
  <si>
    <t>// ║    O. PU_LOCAL_MARGE → PU_LOCAL × (1 + Marge_Local)                    ║</t>
  </si>
  <si>
    <t>// ║    P. MONTANT_LOCAL  → QTE × PU_LOCAL_MARGE                            ║</t>
  </si>
  <si>
    <t>// ║    Q. MONTANT_IMPORT → QTE × PU_IMPORT_NET                             ║</t>
  </si>
  <si>
    <t>// ║    R. ECONOMIE_NETTE → MONTANT_LOCAL - MONTANT_IMPORT                  ║</t>
  </si>
  <si>
    <t>// ║    S. TAUX_ECONOMIE  → ECONOMIE_NETTE / MONTANT_LOCAL                  ║</t>
  </si>
  <si>
    <t>// ║    V. DECISION       → LOCAL / IMPORT / ARBITRAGE                       ║</t>
  </si>
  <si>
    <t>// ╚══════════════════════════════════════════════════════════════════════════╝</t>
  </si>
  <si>
    <t xml:space="preserve">    // ── LECTURE DES PARAMÈTRES ACTIFS ────────────────────────────────────────</t>
  </si>
  <si>
    <t xml:space="preserve">    //   Une seule lecture en tête de requête pour tous les calculs</t>
  </si>
  <si>
    <t xml:space="preserve">    //   → meilleure lisibilité, pas de répétition fxGetParam dans chaque colonne</t>
  </si>
  <si>
    <t xml:space="preserve">    T_MARGE_LOCAL = fxGetParam("Taux_Marge_Local"),    // 0.15 RÉALISTE</t>
  </si>
  <si>
    <t xml:space="preserve">    T_MARGE_CHINE = fxGetParam("Taux_Marge_Chine"),    // 0.10</t>
  </si>
  <si>
    <t xml:space="preserve">    T_TRANSPORT   = fxGetParam("Taux_Transport"),       // 0.08</t>
  </si>
  <si>
    <t xml:space="preserve">    T_DOUANE      = fxGetParam("Taux_Douane"),          // 0.15</t>
  </si>
  <si>
    <t xml:space="preserve">    SEUIL         = fxGetParam("Seuil_Decision_Import"),// 0.05</t>
  </si>
  <si>
    <t xml:space="preserve">    // ── JOINTURE 1 : METRE ← CLEAN_BPU_LOCAL ────────────────────────────────</t>
  </si>
  <si>
    <t xml:space="preserve">    //   Left join = on garde TOUTES les lignes du métré</t>
  </si>
  <si>
    <t xml:space="preserve">    //   Apporte : DESIGNATION, FAM_ARTICLE_ID, PU_LOCAL, TYPE_COUT</t>
  </si>
  <si>
    <t xml:space="preserve">    Join1 = Table.NestedJoin(</t>
  </si>
  <si>
    <t xml:space="preserve">        CLEAN_METRE,       "CODE_BPU",  // Table gauche</t>
  </si>
  <si>
    <t xml:space="preserve">        CLEAN_BPU_LOCAL,   "CODE_BPU",  // Table droite</t>
  </si>
  <si>
    <t xml:space="preserve">        "BPU_LOCAL_TMP",               // Nom de la colonne imbriquée</t>
  </si>
  <si>
    <t xml:space="preserve">        JoinKind.LeftOuter             // Left outer : garder toutes lignes METRE</t>
  </si>
  <si>
    <t xml:space="preserve">    ExpandBPU1 = Table.ExpandTableColumn(Join1, "BPU_LOCAL_TMP", {</t>
  </si>
  <si>
    <t xml:space="preserve">        "DESIGNATION", "FAM_ARTICLE_ID", "PU_LOCAL", "TYPE_COUT"</t>
  </si>
  <si>
    <t xml:space="preserve">    // ── JOINTURE 2 : + CLEAN_BPU_CHINE ──────────────────────────────────────</t>
  </si>
  <si>
    <t xml:space="preserve">    //   Apporte : PU_CHINE_FOB (sera null pour les non-importables)</t>
  </si>
  <si>
    <t xml:space="preserve">    Join2 = Table.NestedJoin(</t>
  </si>
  <si>
    <t xml:space="preserve">        ExpandBPU1,       "CODE_BPU",</t>
  </si>
  <si>
    <t xml:space="preserve">        CLEAN_BPU_CHINE,  "CODE_BPU",</t>
  </si>
  <si>
    <t xml:space="preserve">        "BPU_CHINE_TMP",</t>
  </si>
  <si>
    <t xml:space="preserve">        JoinKind.LeftOuter</t>
  </si>
  <si>
    <t xml:space="preserve">    ExpandBPU2 = Table.ExpandTableColumn(Join2, "BPU_CHINE_TMP", {"PU_CHINE_FOB"}),</t>
  </si>
  <si>
    <t xml:space="preserve">    // ── JOINTURE 3 : + DIM_FAM_ARTICLE ──────────────────────────────────────</t>
  </si>
  <si>
    <t xml:space="preserve">    //   Apporte : IMPORTABLE (0/1), RISQUE_IMPORT (0-5)</t>
  </si>
  <si>
    <t xml:space="preserve">    Join3 = Table.NestedJoin(</t>
  </si>
  <si>
    <t xml:space="preserve">        ExpandBPU2,       "FAM_ARTICLE_ID",</t>
  </si>
  <si>
    <t xml:space="preserve">        DIM_FAM_ARTICLE,  "FAM_ARTICLE_ID",</t>
  </si>
  <si>
    <t xml:space="preserve">        "DIM_FAM_TMP",</t>
  </si>
  <si>
    <t xml:space="preserve">    ExpandDIM = Table.ExpandTableColumn(Join3, "DIM_FAM_TMP", {</t>
  </si>
  <si>
    <t xml:space="preserve">        "IMPORTABLE", "RISQUE_IMPORT"</t>
  </si>
  <si>
    <t xml:space="preserve">    // ── CALCUL M : PU_CHINE_FOB_ENRICHI ────────────────────────────────────</t>
  </si>
  <si>
    <t xml:space="preserve">    //   Fallback vers PU_LOCAL si pas de prix Chine</t>
  </si>
  <si>
    <t xml:space="preserve">    //   Équivalent Excel : =IFERROR(VLOOKUP(CODE_BPU, RAW_BPU_CHINE!B:H, 6, FALSE), PU_LOCAL)</t>
  </si>
  <si>
    <t xml:space="preserve">    CalcFOB = Table.AddColumn(ExpandDIM, "PU_CHINE_FOB_ENRICHI", each</t>
  </si>
  <si>
    <t xml:space="preserve">        if [PU_CHINE_FOB] &lt;&gt; null and [PU_CHINE_FOB] &gt; 0</t>
  </si>
  <si>
    <t xml:space="preserve">        then [PU_CHINE_FOB]</t>
  </si>
  <si>
    <t xml:space="preserve">        else [PU_LOCAL]   // Fallback = prix local si pas de cot. Chine</t>
  </si>
  <si>
    <t xml:space="preserve">    , type number),</t>
  </si>
  <si>
    <t xml:space="preserve">    // ── CALCUL N : PU_IMPORT_NET ─────────────────────────────────────────────</t>
  </si>
  <si>
    <t xml:space="preserve">    //   Prix import net = FOB × (1 + frais logistiques) × (1 + marge Chine)</t>
  </si>
  <si>
    <t xml:space="preserve">    //</t>
  </si>
  <si>
    <t xml:space="preserve">    //   Décomposition :</t>
  </si>
  <si>
    <t xml:space="preserve">    //     Frais logistiques = Transport (8%) + Douane (15%)</t>
  </si>
  <si>
    <t xml:space="preserve">    //     Marge Chine       = 10% appliquée SUR le total Transport+Douane</t>
  </si>
  <si>
    <t xml:space="preserve">    //   Exemple RÉALISTE :</t>
  </si>
  <si>
    <t xml:space="preserve">    //     FOB = 4 143 FCFA</t>
  </si>
  <si>
    <t xml:space="preserve">    //     Étape 1 : 4 143 × (1 + 0.08 + 0.15) = 5 095.89</t>
  </si>
  <si>
    <t xml:space="preserve">    //     Étape 2 : 5 095.89 × (1 + 0.10) = 5 605.48 FCFA</t>
  </si>
  <si>
    <t xml:space="preserve">    //   Équivalent Excel :</t>
  </si>
  <si>
    <t xml:space="preserve">    //   =M4*(1+T_PARAM_ACTIVE!$B$9+T_PARAM_ACTIVE!$B$10)*(1+T_PARAM_ACTIVE!$B$8)</t>
  </si>
  <si>
    <t xml:space="preserve">    CalcNET = Table.AddColumn(CalcFOB, "PU_IMPORT_NET", each</t>
  </si>
  <si>
    <t xml:space="preserve">        [PU_CHINE_FOB_ENRICHI] * (1 + T_TRANSPORT + T_DOUANE) * (1 + T_MARGE_CHINE)</t>
  </si>
  <si>
    <t xml:space="preserve">    // ── CALCUL O : PU_LOCAL_MARGE ────────────────────────────────────────────</t>
  </si>
  <si>
    <t xml:space="preserve">    //   Prix local avec marge entreprise</t>
  </si>
  <si>
    <t xml:space="preserve">    //   Équivalent Excel : =L4*(1+T_PARAM_ACTIVE!$B$7)</t>
  </si>
  <si>
    <t xml:space="preserve">    CalcLOCALMARGE = Table.AddColumn(CalcNET, "PU_LOCAL_MARGE", each</t>
  </si>
  <si>
    <t xml:space="preserve">        [PU_LOCAL] * (1 + T_MARGE_LOCAL)</t>
  </si>
  <si>
    <t xml:space="preserve">    // ── CALCUL P : MONTANT_LOCAL ─────────────────────────────────────────────</t>
  </si>
  <si>
    <t xml:space="preserve">    //   Équivalent Excel : =J4*O4</t>
  </si>
  <si>
    <t xml:space="preserve">    CalcMTL = Table.AddColumn(CalcLOCALMARGE, "MONTANT_LOCAL", each</t>
  </si>
  <si>
    <t xml:space="preserve">        [QTE] * [PU_LOCAL_MARGE]</t>
  </si>
  <si>
    <t xml:space="preserve">    // ── CALCUL Q : MONTANT_IMPORT ────────────────────────────────────────────</t>
  </si>
  <si>
    <t xml:space="preserve">    //   Équivalent Excel : =J4*N4</t>
  </si>
  <si>
    <t xml:space="preserve">    CalcMTI = Table.AddColumn(CalcMTL, "MONTANT_IMPORT", each</t>
  </si>
  <si>
    <t xml:space="preserve">        [QTE] * [PU_IMPORT_NET]</t>
  </si>
  <si>
    <t xml:space="preserve">    // ── CALCUL R : ECONOMIE_NETTE ────────────────────────────────────────────</t>
  </si>
  <si>
    <t xml:space="preserve">    //   Économie absolue en FCFA (peut être négative = pas intéressant d'importer)</t>
  </si>
  <si>
    <t xml:space="preserve">    //   Équivalent Excel : =P4-Q4</t>
  </si>
  <si>
    <t xml:space="preserve">    CalcECO = Table.AddColumn(CalcMTI, "ECONOMIE_NETTE", each</t>
  </si>
  <si>
    <t xml:space="preserve">        [MONTANT_LOCAL] - [MONTANT_IMPORT]</t>
  </si>
  <si>
    <t xml:space="preserve">    // ── CALCUL S : TAUX_ECONOMIE ─────────────────────────────────────────────</t>
  </si>
  <si>
    <t xml:space="preserve">    //   Taux de réduction du CAPEX par rapport au prix local marché</t>
  </si>
  <si>
    <t xml:space="preserve">    //   Protection contre division par zéro (articles à coût nul)</t>
  </si>
  <si>
    <t xml:space="preserve">    //   Équivalent Excel : =IF(P4=0,0,R4/P4)</t>
  </si>
  <si>
    <t xml:space="preserve">    CalcTAUX = Table.AddColumn(CalcECO, "TAUX_ECONOMIE", each</t>
  </si>
  <si>
    <t xml:space="preserve">        if [MONTANT_LOCAL] = 0 or [MONTANT_LOCAL] = null then 0</t>
  </si>
  <si>
    <t xml:space="preserve">        else [ECONOMIE_NETTE] / [MONTANT_LOCAL]</t>
  </si>
  <si>
    <t xml:space="preserve">    // ── CALCUL V : DECISION ──────────────────────────────────────────────────</t>
  </si>
  <si>
    <t xml:space="preserve">    //   Règle de décision à 3 issues :</t>
  </si>
  <si>
    <t xml:space="preserve">    //   1. LOCAL    : IMPORTABLE = 0 (ex: Gros Œuvre — béton coulé sur place)</t>
  </si>
  <si>
    <t xml:space="preserve">    //                 → Pas de choix possible, exécution locale obligatoire</t>
  </si>
  <si>
    <t xml:space="preserve">    //   2. IMPORT   : IMPORTABLE = 1 ET TAUX_ECONOMIE &gt; SEUIL (5%)</t>
  </si>
  <si>
    <t xml:space="preserve">    //                 → Gain suffisant pour justifier risques logistiques</t>
  </si>
  <si>
    <t xml:space="preserve">    //   3. ARBITRAGE: IMPORTABLE = 1 ET TAUX_ECONOMIE ≤ SEUIL</t>
  </si>
  <si>
    <t xml:space="preserve">    //                 → Gain insuffisant, décision à affiner selon le contexte</t>
  </si>
  <si>
    <t xml:space="preserve">    //                 → Peut devenir IMPORT ou LOCAL selon priorités</t>
  </si>
  <si>
    <t xml:space="preserve">    //   Impact scénario STRESS (seuil passe de 5% à 8%) :</t>
  </si>
  <si>
    <t xml:space="preserve">    //   → Certains articles "IMPORT" en RÉALISTE deviennent "ARBITRAGE" en STRESS</t>
  </si>
  <si>
    <t xml:space="preserve">    //   =IF(T4=0,"LOCAL",IF(S4&gt;T_PARAM_ACTIVE!$B$13,"IMPORT","ARBITRAGE"))</t>
  </si>
  <si>
    <t xml:space="preserve">    CalcDECISION = Table.AddColumn(CalcTAUX, "DECISION", each</t>
  </si>
  <si>
    <t xml:space="preserve">        if   [IMPORTABLE] = 0                  then "LOCAL"</t>
  </si>
  <si>
    <t xml:space="preserve">        else if [TAUX_ECONOMIE] &gt; SEUIL        then "IMPORT"</t>
  </si>
  <si>
    <t xml:space="preserve">        else                                         "ARBITRAGE"</t>
  </si>
  <si>
    <t xml:space="preserve">    // ── SÉLECTION ET ORDRE DES COLONNES FINALES ─────────────────────────────</t>
  </si>
  <si>
    <t xml:space="preserve">    //   Miroir exact de STAGING__METRE_ENRICHI dans Excel (22 colonnes)</t>
  </si>
  <si>
    <t xml:space="preserve">    SelectColonnes = Table.SelectColumns(CalcDECISION, {</t>
  </si>
  <si>
    <t xml:space="preserve">        "PROJET_ID",          // A — Clé projet</t>
  </si>
  <si>
    <t xml:space="preserve">        "CODE_BPU",           // B — Clé article (jointure universelle)</t>
  </si>
  <si>
    <t xml:space="preserve">        "DESIGNATION",        // C — Libellé article</t>
  </si>
  <si>
    <t xml:space="preserve">        "LOT",                // D — Lot</t>
  </si>
  <si>
    <t xml:space="preserve">        "FAM_ARTICLE_ID",     // E — Famille article</t>
  </si>
  <si>
    <t xml:space="preserve">        "TYPE_COUT",          // F — MATERIAU / MAIN_OEUVRE / MIXTE</t>
  </si>
  <si>
    <t xml:space="preserve">        "BATIMENT_ID",        // G — Bâtiment</t>
  </si>
  <si>
    <t xml:space="preserve">        "NIVEAU_ID",          // H — Niveau</t>
  </si>
  <si>
    <t xml:space="preserve">        "UNITE",              // I — Unité</t>
  </si>
  <si>
    <t xml:space="preserve">        "QTE",                // J — Quantité DQE</t>
  </si>
  <si>
    <t xml:space="preserve">        "DATE_MAJ",           // K — Date MAJ</t>
  </si>
  <si>
    <t xml:space="preserve">        "PU_LOCAL",           // L — Prix local brut (FCFA)</t>
  </si>
  <si>
    <t xml:space="preserve">        "PU_CHINE_FOB_ENRICHI",// M — Prix FOB Chine (ou fallback local)</t>
  </si>
  <si>
    <t xml:space="preserve">        "PU_IMPORT_NET",      // N — Prix import net avec marges (dynamique)</t>
  </si>
  <si>
    <t xml:space="preserve">        "PU_LOCAL_MARGE",     // O — Prix local avec marge (dynamique)</t>
  </si>
  <si>
    <t xml:space="preserve">        "MONTANT_LOCAL",      // P — QTE × PU_LOCAL_MARGE</t>
  </si>
  <si>
    <t xml:space="preserve">        "MONTANT_IMPORT",     // Q — QTE × PU_IMPORT_NET</t>
  </si>
  <si>
    <t xml:space="preserve">        "ECONOMIE_NETTE",     // R — MONTANT_LOCAL - MONTANT_IMPORT</t>
  </si>
  <si>
    <t xml:space="preserve">        "TAUX_ECONOMIE",      // S — ECONOMIE / MONTANT_LOCAL</t>
  </si>
  <si>
    <t xml:space="preserve">        "IMPORTABLE",         // T — 0=Non importable, 1=Importable</t>
  </si>
  <si>
    <t xml:space="preserve">        "RISQUE_IMPORT",      // U — Score risque 0-5</t>
  </si>
  <si>
    <t xml:space="preserve">        "DECISION"            // V — LOCAL / IMPORT / ARBITRAGE</t>
  </si>
  <si>
    <t xml:space="preserve">    SelectColonnes</t>
  </si>
  <si>
    <t>═══  COUCHE 04_FACT — TABLE DE FAITS FINALE  ═══</t>
  </si>
  <si>
    <t xml:space="preserve">  FACT_METRE  —  Table de faits finale — 318 articles × 14 indicateurs</t>
  </si>
  <si>
    <t xml:space="preserve">  🎯 Rôle : Table de faits finale prête pour Power BI. 1 ligne = 1 article DQE avec tous ses indicateurs économiques calculés dynamiquement. Alimente tous les visuels et les couches DataMart.</t>
  </si>
  <si>
    <t xml:space="preserve">  🏷  FACT · TABLE_FAITS · POWERBI · 318_LIGNES</t>
  </si>
  <si>
    <t>// FACT_METRE.pq  |  Power Query M Language</t>
  </si>
  <si>
    <t>// ─── TABLE DE FAITS — 318 lignes × 14 colonnes ─────────────────────────────</t>
  </si>
  <si>
    <t>//   1 ligne = 1 article DQE avec tous ses indicateurs économiques finaux</t>
  </si>
  <si>
    <t>//   C'est cette table qui alimente Power BI visuels et les DataMart</t>
  </si>
  <si>
    <t xml:space="preserve">    // Partir du STAGING (toutes jointures + calculs déjà effectués)</t>
  </si>
  <si>
    <t xml:space="preserve">    Source = STAGING,</t>
  </si>
  <si>
    <t xml:space="preserve">    // Ajouter TOTAL_LOCAL et TOTAL_IMPORT (alias propres pour les DM)</t>
  </si>
  <si>
    <t xml:space="preserve">    AjouterTotaux = Table.AddColumn(Source, "TOTAL_LOCAL", each [MONTANT_LOCAL], type number),</t>
  </si>
  <si>
    <t xml:space="preserve">    AjouterTotaux2 = Table.AddColumn(AjouterTotaux, "TOTAL_IMPORT", each [MONTANT_IMPORT], type number),</t>
  </si>
  <si>
    <t xml:space="preserve">    // Ajouter GAIN = TOTAL_LOCAL - TOTAL_IMPORT</t>
  </si>
  <si>
    <t xml:space="preserve">    AjouterGain = Table.AddColumn(AjouterTotaux2, "GAIN", each [ECONOMIE_NETTE], type number),</t>
  </si>
  <si>
    <t xml:space="preserve">    // Ajouter TAUX_GAIN = TAUX_ECONOMIE (alias pour cohérence avec DIM_LOT)</t>
  </si>
  <si>
    <t xml:space="preserve">    AjouterTauxGain = Table.AddColumn(AjouterGain, "TAUX_GAIN", each [TAUX_ECONOMIE], type number),</t>
  </si>
  <si>
    <t xml:space="preserve">    // Renommer DECISION → DECISION_IMPORT pour clarté</t>
  </si>
  <si>
    <t xml:space="preserve">    RenommerDecision = Table.RenameColumns(AjouterTauxGain, {{"DECISION", "DECISION_IMPORT"}}),</t>
  </si>
  <si>
    <t xml:space="preserve">    // Ajouter SOURCE (origine du prix Chine)</t>
  </si>
  <si>
    <t xml:space="preserve">    // Left join avec CLEAN_BPU_CHINE pour récupérer SOURCE</t>
  </si>
  <si>
    <t xml:space="preserve">    JoinSource = Table.NestedJoin(</t>
  </si>
  <si>
    <t xml:space="preserve">        RenommerDecision, "CODE_BPU",</t>
  </si>
  <si>
    <t xml:space="preserve">        "SRC_TMP", JoinKind.LeftOuter</t>
  </si>
  <si>
    <t xml:space="preserve">    ExpandSource = Table.ExpandTableColumn(JoinSource, "SRC_TMP", {"SOURCE"}),</t>
  </si>
  <si>
    <t xml:space="preserve">    // Sélection finale — 14 colonnes miroir de 04_FACT_METRE Excel</t>
  </si>
  <si>
    <t xml:space="preserve">    Resultat = Table.SelectColumns(ExpandSource, {</t>
  </si>
  <si>
    <t xml:space="preserve">        "CODE_BPU",          // Clé article</t>
  </si>
  <si>
    <t xml:space="preserve">        "DESIGNATION",       // Libellé</t>
  </si>
  <si>
    <t xml:space="preserve">        "LOT",               // Lot</t>
  </si>
  <si>
    <t xml:space="preserve">        "FAM_ARTICLE_ID",    // Famille</t>
  </si>
  <si>
    <t xml:space="preserve">        "UNITE",             // Unité</t>
  </si>
  <si>
    <t xml:space="preserve">        "QTE",               // Quantité</t>
  </si>
  <si>
    <t xml:space="preserve">        "PU_LOCAL",          // Prix unitaire local brut</t>
  </si>
  <si>
    <t xml:space="preserve">        "PU_IMPORT_NET",     // Prix unitaire import net</t>
  </si>
  <si>
    <t xml:space="preserve">        "TOTAL_LOCAL",       // Montant local total</t>
  </si>
  <si>
    <t xml:space="preserve">        "TOTAL_IMPORT",      // Montant import total</t>
  </si>
  <si>
    <t xml:space="preserve">        "GAIN",              // Économie FCFA</t>
  </si>
  <si>
    <t xml:space="preserve">        "TAUX_GAIN",         // Taux économie</t>
  </si>
  <si>
    <t xml:space="preserve">        "DECISION_IMPORT",   // LOCAL / IMPORT / ARBITRAGE</t>
  </si>
  <si>
    <t xml:space="preserve">        "SOURCE"             // Origine prix Chine</t>
  </si>
  <si>
    <t>═══  COUCHE 05_DM — AGRÉGATIONS DATAMART  ═══</t>
  </si>
  <si>
    <t xml:space="preserve">  DM_LOT  —  DataMart par Lot — 17 lignes d'agrégation</t>
  </si>
  <si>
    <t xml:space="preserve">  🎯 Rôle : Agrège FACT_METRE par lot : totaux financiers (TOTAL_LOCAL, TOTAL_IMPORT, GAIN), comptage des décisions (NB_IMPORT, NB_LOCAL, NB_ARBITRAGE), taux d'économie. Alimente les visuels par lot.</t>
  </si>
  <si>
    <t xml:space="preserve">  🏷  DATAMART · LOT · AGRÉGATION · 17_LIGNES</t>
  </si>
  <si>
    <t>// DM_LOT.pq  |  Power Query M Language</t>
  </si>
  <si>
    <t>// ─── AGRÉGATION PAR LOT ─────────────────────────────────────────────────────</t>
  </si>
  <si>
    <t>//   17 lignes (1 par lot) — indicateurs financiers et répartition des décisions</t>
  </si>
  <si>
    <t xml:space="preserve">    Source = FACT_METRE,</t>
  </si>
  <si>
    <t xml:space="preserve">    // Regrouper par LOT avec toutes les métriques</t>
  </si>
  <si>
    <t xml:space="preserve">    Groupe = Table.Group(Source, {"LOT"}, {</t>
  </si>
  <si>
    <t xml:space="preserve">        {"NB_ARTICLES",  each Table.RowCount(_),         Int64.Type},</t>
  </si>
  <si>
    <t xml:space="preserve">        {"TOTAL_LOCAL",  each List.Sum([TOTAL_LOCAL]),   type number},</t>
  </si>
  <si>
    <t xml:space="preserve">        {"TOTAL_IMPORT", each List.Sum([TOTAL_IMPORT]),  type number},</t>
  </si>
  <si>
    <t xml:space="preserve">        {"GAIN",         each List.Sum([GAIN]),          type number},</t>
  </si>
  <si>
    <t xml:space="preserve">        // NB décisions par type</t>
  </si>
  <si>
    <t xml:space="preserve">        {"NB_IMPORT",    each List.Count(List.Select([DECISION_IMPORT], each _ = "IMPORT")),   Int64.Type},</t>
  </si>
  <si>
    <t xml:space="preserve">        {"NB_LOCAL",     each List.Count(List.Select([DECISION_IMPORT], each _ = "LOCAL")),    Int64.Type},</t>
  </si>
  <si>
    <t xml:space="preserve">        {"NB_ARBITRAGE", each List.Count(List.Select([DECISION_IMPORT], each _ = "ARBITRAGE")),Int64.Type}</t>
  </si>
  <si>
    <t xml:space="preserve">    // Ajouter TAUX_GAIN et TAUX_IMPORT calculés</t>
  </si>
  <si>
    <t xml:space="preserve">    AjouterTaux = Table.AddColumn(Groupe, "TAUX_GAIN", each</t>
  </si>
  <si>
    <t xml:space="preserve">        if [TOTAL_LOCAL] = 0 then 0 else [GAIN] / [TOTAL_LOCAL]</t>
  </si>
  <si>
    <t xml:space="preserve">    AjouterTauxImport = Table.AddColumn(AjouterTaux, "TAUX_IMPORT", each</t>
  </si>
  <si>
    <t xml:space="preserve">        if [NB_ARTICLES] = 0 then 0 else [NB_IMPORT] / [NB_ARTICLES]</t>
  </si>
  <si>
    <t xml:space="preserve">    // Jointure avec DIM_LOT pour récupérer NOM_LOT et FAM_ARTICLE_ID</t>
  </si>
  <si>
    <t xml:space="preserve">    JoinDim = Table.NestedJoin(</t>
  </si>
  <si>
    <t xml:space="preserve">        AjouterTauxImport, "LOT",</t>
  </si>
  <si>
    <t xml:space="preserve">        DIM_LOT,           "CODE_LOT",  // ⚠️ DIM_LOT.CODE_LOT = "LOT_1"... "LOT_17"</t>
  </si>
  <si>
    <t xml:space="preserve">        "DIM_TMP", JoinKind.LeftOuter   //    FACT.LOT = "Lot 1"... attention casse</t>
  </si>
  <si>
    <t xml:space="preserve">    // ⚠️ IMPORTANT : Si la jointure ne remonte rien, vérifier que</t>
  </si>
  <si>
    <t xml:space="preserve">    //   DIM_LOT.CODE_LOT ("LOT_1") correspond bien à FACT.LOT ("Lot 1")</t>
  </si>
  <si>
    <t xml:space="preserve">    //   Ajuster la clé de jointure si nécessaire</t>
  </si>
  <si>
    <t xml:space="preserve">    ExpandDim = Table.ExpandTableColumn(JoinDim, "DIM_TMP", {"NOM_LOT", "FAM_ARTICLE_ID"}),</t>
  </si>
  <si>
    <t xml:space="preserve">    Resultat = Table.SelectColumns(ExpandDim, {</t>
  </si>
  <si>
    <t xml:space="preserve">        "LOT", "NOM_LOT", "FAM_ARTICLE_ID",</t>
  </si>
  <si>
    <t xml:space="preserve">        "NB_ARTICLES", "TOTAL_LOCAL", "TOTAL_IMPORT", "GAIN", "TAUX_GAIN",</t>
  </si>
  <si>
    <t xml:space="preserve">        "NB_IMPORT", "NB_LOCAL", "NB_ARBITRAGE", "TAUX_IMPORT"</t>
  </si>
  <si>
    <t xml:space="preserve">  DM_FAM_ARTICLE  —  DataMart par Famille d'article — 17 familles</t>
  </si>
  <si>
    <t xml:space="preserve">  🎯 Rôle : Agrège FACT_METRE par famille d'article. Permet l'analyse par nature d'article (Étanchéité, Électricité, etc.) indépendamment des lots.</t>
  </si>
  <si>
    <t xml:space="preserve">  🏷  DATAMART · FAMILLE · AGRÉGATION</t>
  </si>
  <si>
    <t>// DM_FAM_ARTICLE.pq  |  Power Query M Language</t>
  </si>
  <si>
    <t xml:space="preserve">    // Regrouper par FAM_ARTICLE_ID</t>
  </si>
  <si>
    <t xml:space="preserve">    Groupe = Table.Group(Source, {"FAM_ARTICLE_ID"}, {</t>
  </si>
  <si>
    <t xml:space="preserve">        {"NB_ARTICLES",  each Table.RowCount(_),        Int64.Type},</t>
  </si>
  <si>
    <t xml:space="preserve">        {"TOTAL_LOCAL",  each List.Sum([TOTAL_LOCAL]),  type number},</t>
  </si>
  <si>
    <t xml:space="preserve">        {"TOTAL_IMPORT", each List.Sum([TOTAL_IMPORT]), type number},</t>
  </si>
  <si>
    <t xml:space="preserve">        {"GAIN",         each List.Sum([GAIN]),         type number}</t>
  </si>
  <si>
    <t xml:space="preserve">    // Enrichir avec DIM_FAM_ARTICLE (libellé, métier, risque)</t>
  </si>
  <si>
    <t xml:space="preserve">        AjouterTaux, "FAM_ARTICLE_ID",</t>
  </si>
  <si>
    <t xml:space="preserve">        DIM_FAM_ARTICLE, "FAM_ARTICLE_ID",</t>
  </si>
  <si>
    <t xml:space="preserve">        "DIM_TMP", JoinKind.LeftOuter</t>
  </si>
  <si>
    <t xml:space="preserve">    Resultat = Table.ExpandTableColumn(JoinDim, "DIM_TMP", {</t>
  </si>
  <si>
    <t xml:space="preserve">        "CODE_FAM_ARTICLE", "LIBELLE_FAM_ARTICLE", "FAM_METIER_ID", "RISQUE_IMPORT"</t>
  </si>
  <si>
    <t xml:space="preserve">  DM_PROJET  —  DataMart Projet — 1 ligne de synthèse globale</t>
  </si>
  <si>
    <t xml:space="preserve">  🎯 Rôle : Synthèse globale du projet : CAPEX_LOCAL=813.6M, CAPEX_IMPORT=533.9M, ECONOMIE=279.7M (34.4%), 163 IMPORT, 142 LOCAL, 13 ARBITRAGE. Varie dynamiquement selon le scénario.</t>
  </si>
  <si>
    <t xml:space="preserve">  🏷  DATAMART · PROJET · SYNTHÈSE · KPI</t>
  </si>
  <si>
    <t>// DM_PROJET.pq  |  Power Query M Language</t>
  </si>
  <si>
    <t>// ─── SYNTHÈSE PROJET — 1 LIGNE ─────────────────────────────────────────────</t>
  </si>
  <si>
    <t>//   Tous les KPIs du projet consolidés en 1 enregistrement</t>
  </si>
  <si>
    <t>//   Résultat référence :</t>
  </si>
  <si>
    <t>//     CAPEX_LOCAL    = 813.6 M FCFA</t>
  </si>
  <si>
    <t>//     CAPEX_IMPORT   = 533.9 M FCFA</t>
  </si>
  <si>
    <t>//     ECONOMIE       = 279.7 M FCFA (34.4%)</t>
  </si>
  <si>
    <t>//     NB_IMPORT      = 163 articles</t>
  </si>
  <si>
    <t>//     NB_LOCAL       = 142 articles</t>
  </si>
  <si>
    <t>//     NB_ARBITRAGE   = 13 articles</t>
  </si>
  <si>
    <t xml:space="preserve">    // Agréger en 1 seule ligne</t>
  </si>
  <si>
    <t xml:space="preserve">    Agg = Table.Group(Source, {}, {</t>
  </si>
  <si>
    <t xml:space="preserve">        {"CAPEX_LOCAL",       each List.Sum([TOTAL_LOCAL]),                 type number},</t>
  </si>
  <si>
    <t xml:space="preserve">        {"CAPEX_IMPORT",      each List.Sum([TOTAL_IMPORT]),                type number},</t>
  </si>
  <si>
    <t xml:space="preserve">        {"ECONOMIE_GLOBALE",  each List.Sum([GAIN]),                        type number},</t>
  </si>
  <si>
    <t xml:space="preserve">        {"NB_TOTAL",          each Table.RowCount(_),                       Int64.Type},</t>
  </si>
  <si>
    <t xml:space="preserve">        {"NB_IMPORT",         each List.Count(List.Select([DECISION_IMPORT], each _ = "IMPORT")),    Int64.Type},</t>
  </si>
  <si>
    <t xml:space="preserve">        {"NB_LOCAL",          each List.Count(List.Select([DECISION_IMPORT], each _ = "LOCAL")),     Int64.Type},</t>
  </si>
  <si>
    <t xml:space="preserve">        {"NB_ARBITRAGE",      each List.Count(List.Select([DECISION_IMPORT], each _ = "ARBITRAGE")), Int64.Type},</t>
  </si>
  <si>
    <t xml:space="preserve">        {"RISQUE_MOYEN",      each List.Average([RISQUE_IMPORT] ?? {0}),    type number}</t>
  </si>
  <si>
    <t xml:space="preserve">    AjouterTaux = Table.AddColumn(Agg, "TAUX_ECONOMIE", each</t>
  </si>
  <si>
    <t xml:space="preserve">        if [CAPEX_LOCAL] = 0 then 0 else [ECONOMIE_GLOBALE] / [CAPEX_LOCAL]</t>
  </si>
  <si>
    <t xml:space="preserve">    AjouterTauxLignes = Table.AddColumn(AjouterTaux, "TAUX_IMPORT_LIGNES", each</t>
  </si>
  <si>
    <t xml:space="preserve">        if [NB_TOTAL] = 0 then 0 else [NB_IMPORT] / [NB_TOTAL]</t>
  </si>
  <si>
    <t xml:space="preserve">    // Ajouter le ROI : ECONOMIE / CAPEX_IMPORT</t>
  </si>
  <si>
    <t xml:space="preserve">    AjouterROI = Table.AddColumn(AjouterTauxLignes, "ROI_IMPORT", each</t>
  </si>
  <si>
    <t xml:space="preserve">        if [CAPEX_IMPORT] = 0 then 0 else [ECONOMIE_GLOBALE] / [CAPEX_IMPORT]</t>
  </si>
  <si>
    <t xml:space="preserve">    // Enrichir avec infos projet</t>
  </si>
  <si>
    <t xml:space="preserve">    JoinProjet = Table.NestedJoin(</t>
  </si>
  <si>
    <t xml:space="preserve">        AjouterROI, {},</t>
  </si>
  <si>
    <t xml:space="preserve">        T_PROJET,   {},</t>
  </si>
  <si>
    <t xml:space="preserve">        "PROJ_TMP", JoinKind.LeftOuter</t>
  </si>
  <si>
    <t xml:space="preserve">    Resultat = Table.ExpandTableColumn(JoinProjet, "PROJ_TMP",</t>
  </si>
  <si>
    <t xml:space="preserve">        {"PROJET_ID", "NOM_PROJET", "DEVISE"}</t>
  </si>
  <si>
    <t>═══  COUCHES 06-07 — ANALYTICS &amp; INTELLIGENCE DÉCISIONNELLE  ═══</t>
  </si>
  <si>
    <t xml:space="preserve">  ANALYTICS_SCORE_STRATEGIQUE  —  Scoring multicritères pondéré — classification A/B/C par lot</t>
  </si>
  <si>
    <t xml:space="preserve">  🎯 Rôle : Calcule un score stratégique composite sur 5 critères pondérés (Finance, ROI, Poids projet, Importabilité, Risque). Les poids sont lus dynamiquement depuis T_PARAMETRES_ACTIVE. Classe chaque lot A/B/C. Lot 11 (Faux Plafonds) = meilleur score global.</t>
  </si>
  <si>
    <t xml:space="preserve">  🏷  ANALYTICS · SCORING · MULTICRITÈRES · PONDÉRATION · DYNAMIQUE</t>
  </si>
  <si>
    <t>// ANALYTICS_SCORE_STRATEGIQUE.pq  |  Power Query M Language</t>
  </si>
  <si>
    <t>// ─── SCORING MULTICRITÈRES ───────────────────────────────────────────────────</t>
  </si>
  <si>
    <t>//   Score stratégique = combinaison pondérée de 5 critères :</t>
  </si>
  <si>
    <t>//   SCORE_FINANCIER  = TAUX_GAIN          (gain financier brut)</t>
  </si>
  <si>
    <t>//   SCORE_ROI        = ROI_IMPORT          (rendement du capital)</t>
  </si>
  <si>
    <t>//   SCORE_POIDS      = POIDS_PROJET        (part du CAPEX total)</t>
  </si>
  <si>
    <t>//   SCORE_IMP        = NB_IMPORT/NB_ART    (taux importabilité)</t>
  </si>
  <si>
    <t>//   SCORE_RISQUE     = RISQUE_IMPORT/5     (risque normalisé → 0-1)</t>
  </si>
  <si>
    <t>//   SCORE_GLOBAL = Poids_Prix × SCORE_FIN + Poids_Prix × SCORE_ROI</t>
  </si>
  <si>
    <t>//                + Poids_Volume × SCORE_POIDS + Poids_Delai × SCORE_IMP</t>
  </si>
  <si>
    <t>//                - Poids_Risque × SCORE_RISQUE  (le risque pénalise)</t>
  </si>
  <si>
    <t>//   Poids RÉALISTE : Prix=0.40, ROI=0.40, Poids=0.20, Imp=0.20, Risque=0.30</t>
  </si>
  <si>
    <t xml:space="preserve">    // Lecture des poids depuis les paramètres actifs</t>
  </si>
  <si>
    <t xml:space="preserve">    W_PRIX   = fxGetParam("Poids_Prix"),    // 0.40</t>
  </si>
  <si>
    <t xml:space="preserve">    W_RISQUE = fxGetParam("Poids_Risque"),  // 0.30</t>
  </si>
  <si>
    <t xml:space="preserve">    W_DELAI  = fxGetParam("Poids_Delai"),   // 0.20</t>
  </si>
  <si>
    <t xml:space="preserve">    W_VOLUME = fxGetParam("Poids_Volume"),  // 0.10</t>
  </si>
  <si>
    <t xml:space="preserve">    Source = DM_LOT,</t>
  </si>
  <si>
    <t xml:space="preserve">    // Calcul du CAPEX total pour normaliser POIDS_PROJET</t>
  </si>
  <si>
    <t xml:space="preserve">    CAPEX_TOTAL = List.Sum(Source[TOTAL_LOCAL]),</t>
  </si>
  <si>
    <t xml:space="preserve">    // Enrichir avec données risque (depuis DIM_FAM_ARTICLE via DM_LOT.FAM_ARTICLE_ID)</t>
  </si>
  <si>
    <t xml:space="preserve">    JoinFam = Table.NestedJoin(Source, "FAM_ARTICLE_ID", DIM_FAM_ARTICLE, "FAM_ARTICLE_ID",</t>
  </si>
  <si>
    <t xml:space="preserve">        "FAM_TMP", JoinKind.LeftOuter),</t>
  </si>
  <si>
    <t xml:space="preserve">    ExpandFam = Table.ExpandTableColumn(JoinFam, "FAM_TMP", {"RISQUE_IMPORT"}),</t>
  </si>
  <si>
    <t xml:space="preserve">    // Calculer les scores intermédiaires</t>
  </si>
  <si>
    <t xml:space="preserve">    AjouterScores = Table.AddColumn(ExpandFam, "_SCORES", each</t>
  </si>
  <si>
    <t xml:space="preserve">        PoidsPrj  = if CAPEX_TOTAL = 0 then 0 else [TOTAL_LOCAL] / CAPEX_TOTAL,</t>
  </si>
  <si>
    <t xml:space="preserve">        ROI       = if [TOTAL_IMPORT] = 0 then 0 else [GAIN] / [TOTAL_IMPORT],</t>
  </si>
  <si>
    <t xml:space="preserve">        TauxImp   = if [NB_ARTICLES] = 0 then 0 else [NB_IMPORT] / [NB_ARTICLES],</t>
  </si>
  <si>
    <t xml:space="preserve">        RisqueN   = ([RISQUE_IMPORT] ?? 0) / 5,   // Normaliser 0-5 → 0-1</t>
  </si>
  <si>
    <t xml:space="preserve">        ScoreFin  = [TAUX_GAIN],</t>
  </si>
  <si>
    <t xml:space="preserve">        ScoreROI  = ROI,</t>
  </si>
  <si>
    <t xml:space="preserve">        ScorePoid = PoidsPrj,</t>
  </si>
  <si>
    <t xml:space="preserve">        ScoreImp  = TauxImp,</t>
  </si>
  <si>
    <t xml:space="preserve">        ScoreRisq = RisqueN,</t>
  </si>
  <si>
    <t xml:space="preserve">        ScoreGlob = W_PRIX * ScoreFin + W_PRIX * ScoreROI</t>
  </si>
  <si>
    <t xml:space="preserve">                    + W_VOLUME * ScorePoid + W_DELAI * ScoreImp</t>
  </si>
  <si>
    <t xml:space="preserve">                    - W_RISQUE * ScoreRisq   // risque = malus</t>
  </si>
  <si>
    <t xml:space="preserve">    in [</t>
  </si>
  <si>
    <t xml:space="preserve">        SCORE_FIN=ScoreFin, SCORE_ROI=ScoreROI, SCORE_POIDS=ScorePoid,</t>
  </si>
  <si>
    <t xml:space="preserve">        SCORE_IMP=ScoreImp, SCORE_RISQUE=ScoreRisq, SCORE_GLOBAL=ScoreGlob,</t>
  </si>
  <si>
    <t xml:space="preserve">        IPI = PoidsPrj * ScoreGlob,   // Indice de Priorité Import</t>
  </si>
  <si>
    <t xml:space="preserve">        ROI_VAL = ROI</t>
  </si>
  <si>
    <t xml:space="preserve">    ]),</t>
  </si>
  <si>
    <t xml:space="preserve">    // Aplatir les colonnes scores</t>
  </si>
  <si>
    <t xml:space="preserve">    ExpandScores = Table.ExpandRecordColumn(AjouterScores, "_SCORES", {</t>
  </si>
  <si>
    <t xml:space="preserve">        "SCORE_FIN", "SCORE_ROI", "SCORE_POIDS", "SCORE_IMP",</t>
  </si>
  <si>
    <t xml:space="preserve">        "SCORE_RISQUE", "SCORE_GLOBAL", "IPI", "ROI_VAL"</t>
  </si>
  <si>
    <t xml:space="preserve">    // Classifier A/B/C selon le score global</t>
  </si>
  <si>
    <t xml:space="preserve">    AjouterClasse = Table.AddColumn(ExpandScores, "CLASSE", each</t>
  </si>
  <si>
    <t xml:space="preserve">        if [SCORE_GLOBAL] &gt;= 0.5  then "A"</t>
  </si>
  <si>
    <t xml:space="preserve">        else if [SCORE_GLOBAL] &gt;= 0.2  then "B"</t>
  </si>
  <si>
    <t xml:space="preserve">        else if [SCORE_GLOBAL] &gt; 0     then "C"</t>
  </si>
  <si>
    <t xml:space="preserve">        else "—"    // Lot non importable (Gros Œuvre)</t>
  </si>
  <si>
    <t xml:space="preserve">    // Décision analytique par lot</t>
  </si>
  <si>
    <t xml:space="preserve">    AjouterDecision = Table.AddColumn(AjouterClasse, "DECISION_ANALYTIQUE", each</t>
  </si>
  <si>
    <t xml:space="preserve">        if [NB_IMPORT] = 0     then "LOCAL"</t>
  </si>
  <si>
    <t xml:space="preserve">        else if [CLASSE] = "A" then "IMPORT PRIORITAIRE"</t>
  </si>
  <si>
    <t xml:space="preserve">        else if [CLASSE] = "B" then "IMPORT SÉLECTIF"</t>
  </si>
  <si>
    <t xml:space="preserve">        else                        "ARBITRAGE"</t>
  </si>
  <si>
    <t xml:space="preserve">    AjouterDecision</t>
  </si>
  <si>
    <t xml:space="preserve">  INTELLIGENCE_DECISION  —  Matrice décisionnelle — Quadrants Gain × Risque</t>
  </si>
  <si>
    <t xml:space="preserve">  🎯 Rôle : Positionne chaque lot dans une matrice Gain/Risque à 5 quadrants. Génère la décision stratégique finale, le niveau de priorité et le drapeau risque. Alimente le DASHBOARD_DIRECTION.</t>
  </si>
  <si>
    <t xml:space="preserve">  🏷  INTELLIGENCE · DÉCISION · MATRICE · QUADRANT · RISQUE</t>
  </si>
  <si>
    <t>// INTELLIGENCE_DECISION.pq  |  Power Query M Language</t>
  </si>
  <si>
    <t>// ─── MATRICE DÉCISIONNELLE ────────────────────────────────────────────────────</t>
  </si>
  <si>
    <t>//   Croise TAUX_GAIN vs RISQUE pour positionner chaque lot dans un quadrant :</t>
  </si>
  <si>
    <t>//   🟢 Gain Élevé / Risque Faible  → IMPORT URGENT</t>
  </si>
  <si>
    <t>//   🟡 Gain Élevé / Risque Élevé   → IMPORT AVEC MITIGATION</t>
  </si>
  <si>
    <t>//   🟠 Gain Faible / Risque Faible  → IMPORT SÉLECTIF</t>
  </si>
  <si>
    <t>//   🔴 Gain Faible / Risque Élevé   → LOCAL PRÉFÉRABLE</t>
  </si>
  <si>
    <t>//   ⬜ Gain Nul                      → LOCAL OBLIGATOIRE</t>
  </si>
  <si>
    <t xml:space="preserve">    Source = ANALYTICS_SCORE_STRATEGIQUE,</t>
  </si>
  <si>
    <t xml:space="preserve">    // Ajouter le quadrant (croisement gain × risque)</t>
  </si>
  <si>
    <t xml:space="preserve">    AjouterQuadrant = Table.AddColumn(Source, "QUADRANT", each</t>
  </si>
  <si>
    <t xml:space="preserve">        if [TAUX_GAIN] = 0 then "⬜ Gain Nul / Local"</t>
  </si>
  <si>
    <t xml:space="preserve">        else if [TAUX_GAIN] &gt;= 0.4 and ([RISQUE_IMPORT] ?? 0) &lt; 2.5</t>
  </si>
  <si>
    <t xml:space="preserve">            then "🟢 Gain Élevé / Risque Faible"</t>
  </si>
  <si>
    <t xml:space="preserve">        else if [TAUX_GAIN] &gt;= 0.4 and ([RISQUE_IMPORT] ?? 0) &gt;= 2.5</t>
  </si>
  <si>
    <t xml:space="preserve">            then "🟡 Gain Élevé / Risque Élevé"</t>
  </si>
  <si>
    <t xml:space="preserve">        else if [TAUX_GAIN] &lt; 0.4 and ([RISQUE_IMPORT] ?? 0) &lt; 2.5</t>
  </si>
  <si>
    <t xml:space="preserve">            then "🟠 Gain Modéré / Risque Faible"</t>
  </si>
  <si>
    <t xml:space="preserve">        else "🔴 Gain Faible / Risque Élevé"</t>
  </si>
  <si>
    <t xml:space="preserve">    // Décision stratégique longue</t>
  </si>
  <si>
    <t xml:space="preserve">    AjouterDecision = Table.AddColumn(AjouterQuadrant, "DECISION_STRATEGIQUE", each</t>
  </si>
  <si>
    <t xml:space="preserve">        if [NB_IMPORT] = 0 then "LOCAL"</t>
  </si>
  <si>
    <t xml:space="preserve">        else [DECISION_ANALYTIQUE]   // Reprendre depuis ANALYTICS</t>
  </si>
  <si>
    <t xml:space="preserve">    // Niveau de priorité</t>
  </si>
  <si>
    <t xml:space="preserve">    AjouterPriorite = Table.AddColumn(AjouterDecision, "NIVEAU_PRIORITE", each</t>
  </si>
  <si>
    <t xml:space="preserve">        if [CLASSE] = "A" and [TAUX_GAIN] &gt;= 0.5 then "🔴 CRITIQUE"</t>
  </si>
  <si>
    <t xml:space="preserve">        else if [CLASSE] = "A"                   then "🟠 HAUTE"</t>
  </si>
  <si>
    <t xml:space="preserve">        else if [CLASSE] = "B"                   then "🟡 MOYENNE"</t>
  </si>
  <si>
    <t xml:space="preserve">        else if [CLASSE] = "C"                   then "🟢 FAIBLE"</t>
  </si>
  <si>
    <t xml:space="preserve">        else                                           "🟢 FAIBLE"</t>
  </si>
  <si>
    <t xml:space="preserve">    // Drapeau risque</t>
  </si>
  <si>
    <t xml:space="preserve">    AjouterDrapeauRisque = Table.AddColumn(AjouterPriorite, "DRAPEAU_RISQUE", each</t>
  </si>
  <si>
    <t xml:space="preserve">        if ([RISQUE_IMPORT] ?? 0) &gt;= 3 then "⚠️ RISQUE CRITIQUE"</t>
  </si>
  <si>
    <t xml:space="preserve">        else if ([RISQUE_IMPORT] ?? 0) &gt;= 2 then "⚡ RISQUE MODÉRÉ"</t>
  </si>
  <si>
    <t xml:space="preserve">        else "✅ OK"</t>
  </si>
  <si>
    <t xml:space="preserve">    AjouterDrapeauRisque</t>
  </si>
  <si>
    <t>═══  COUCHE 08 — KPI PROJET  ═══</t>
  </si>
  <si>
    <t xml:space="preserve">  KPI_PROJET  —  Tableau de KPIs dynamiques — 3 catégories</t>
  </si>
  <si>
    <t xml:space="preserve">  🎯 Rôle : Consolide tous les indicateurs clés du projet (financiers, opérationnels, risque, top opportunités) en une table plate de 4 colonnes. Valeurs recalculées dynamiquement depuis DM_PROJET et ANALYTICS selon le scénario actif.</t>
  </si>
  <si>
    <t xml:space="preserve">  🏷  KPI · SYNTHÈSE · DYNAMIQUE · DASHBOARD</t>
  </si>
  <si>
    <t>// KPI_PROJET.pq  |  Power Query M Language</t>
  </si>
  <si>
    <t>// ─── KPI FINANCIERS, OPÉRATIONNELS, RISQUE ─────────────────────────────────</t>
  </si>
  <si>
    <t>//   Table à 4 colonnes [INDICATEUR | VALEUR | UNITÉ | DESCRIPTION]</t>
  </si>
  <si>
    <t>//   Valeurs recalculées dynamiquement depuis DM_PROJET et ANALYTICS</t>
  </si>
  <si>
    <t xml:space="preserve">    // Lire les agrégats depuis DM_PROJET (1 ligne)</t>
  </si>
  <si>
    <t xml:space="preserve">    Proj = Table.First(DM_PROJET),</t>
  </si>
  <si>
    <t xml:space="preserve">    // Lire les scores depuis ANALYTICS</t>
  </si>
  <si>
    <t xml:space="preserve">    MaxScore = List.Max(ANALYTICS_SCORE_STRATEGIQUE[SCORE_GLOBAL]),</t>
  </si>
  <si>
    <t xml:space="preserve">    MaxIPI   = List.Max(ANALYTICS_SCORE_STRATEGIQUE[IPI]),</t>
  </si>
  <si>
    <t xml:space="preserve">    LotMeilleurScore = (Table.First(Table.SelectRows(ANALYTICS_SCORE_STRATEGIQUE,</t>
  </si>
  <si>
    <t xml:space="preserve">        each [SCORE_GLOBAL] = MaxScore))[LOT]),</t>
  </si>
  <si>
    <t xml:space="preserve">    MaxTauxGain = List.Max(ANALYTICS_SCORE_STRATEGIQUE[TAUX_GAIN]),</t>
  </si>
  <si>
    <t xml:space="preserve">    LotMaxGain  = (Table.First(Table.SelectRows(ANALYTICS_SCORE_STRATEGIQUE,</t>
  </si>
  <si>
    <t xml:space="preserve">        each [TAUX_GAIN] = MaxTauxGain))[LOT]),</t>
  </si>
  <si>
    <t xml:space="preserve">    MaxEco = List.Max(ANALYTICS_SCORE_STRATEGIQUE[GAIN]),</t>
  </si>
  <si>
    <t xml:space="preserve">    LotMaxEco = (Table.First(Table.SelectRows(ANALYTICS_SCORE_STRATEGIQUE,</t>
  </si>
  <si>
    <t xml:space="preserve">        each [GAIN] = MaxEco))[LOT]),</t>
  </si>
  <si>
    <t xml:space="preserve">    LotsClasseA = Table.RowCount(Table.SelectRows(ANALYTICS_SCORE_STRATEGIQUE,</t>
  </si>
  <si>
    <t xml:space="preserve">        each [CLASSE] = "A")),</t>
  </si>
  <si>
    <t xml:space="preserve">    LotsRisqueCrit = Table.RowCount(Table.SelectRows(DIM_FAM_ARTICLE,</t>
  </si>
  <si>
    <t xml:space="preserve">        each ([RISQUE_IMPORT] ?? 0) &gt;= 3)),</t>
  </si>
  <si>
    <t xml:space="preserve">    // Construire la table KPI</t>
  </si>
  <si>
    <t xml:space="preserve">    KPITable = #table(</t>
  </si>
  <si>
    <t xml:space="preserve">        {"INDICATEUR", "VALEUR", "UNITE", "DESCRIPTION"},</t>
  </si>
  <si>
    <t xml:space="preserve">        {</t>
  </si>
  <si>
    <t xml:space="preserve">            // KPI FINANCIERS</t>
  </si>
  <si>
    <t xml:space="preserve">            {"── KPI FINANCIERS ──",              null, null, null},</t>
  </si>
  <si>
    <t xml:space="preserve">            {"CAPEX Local Total",       Proj[CAPEX_LOCAL],      "FCFA", "Budget 100% local"},</t>
  </si>
  <si>
    <t xml:space="preserve">            {"CAPEX Optimisé Chine",    Proj[CAPEX_IMPORT],     "FCFA", "Budget import Chine"},</t>
  </si>
  <si>
    <t xml:space="preserve">            {"Économie Globale Nette",  Proj[ECONOMIE_GLOBALE], "FCFA", "Gain potentiel"},</t>
  </si>
  <si>
    <t xml:space="preserve">            {"Taux Économie Global",    Proj[TAUX_ECONOMIE],    "%",    "Réduction CAPEX"},</t>
  </si>
  <si>
    <t xml:space="preserve">            {"ROI Import Global",       Proj[ROI_IMPORT],       "x",    "Rendement sourcing"},</t>
  </si>
  <si>
    <t xml:space="preserve">            // KPI OPÉRATIONNELS</t>
  </si>
  <si>
    <t xml:space="preserve">            {"── KPI OPÉRATIONNELS ──",           null, null, null},</t>
  </si>
  <si>
    <t xml:space="preserve">            {"NB Articles Total",       Proj[NB_TOTAL],         "art.", "Total DQE"},</t>
  </si>
  <si>
    <t xml:space="preserve">            {"NB Articles Import",      Proj[NB_IMPORT],        "art.", "Orientés IMPORT"},</t>
  </si>
  <si>
    <t xml:space="preserve">            {"NB Articles Local",       Proj[NB_LOCAL],         "art.", "Sans avantage Chine"},</t>
  </si>
  <si>
    <t xml:space="preserve">            {"NB Articles Arbitrage",   Proj[NB_ARBITRAGE],     "art.", "À décision mixte"},</t>
  </si>
  <si>
    <t xml:space="preserve">            {"Taux Import (lignes)",    Proj[TAUX_IMPORT_LIGNES],"%",   "% lignes import"},</t>
  </si>
  <si>
    <t xml:space="preserve">            // KPI RISQUE</t>
  </si>
  <si>
    <t xml:space="preserve">            {"── KPI RISQUE &amp; STRATÉGIE ──",      null, null, null},</t>
  </si>
  <si>
    <t xml:space="preserve">            {"Risque Moyen Global",     Proj[RISQUE_MOYEN],     "/5",  "Score risque logistique"},</t>
  </si>
  <si>
    <t xml:space="preserve">            {"Lots Risque Critique ≥3", LotsRisqueCrit,         "lots","Plan mitigation requis"},</t>
  </si>
  <si>
    <t xml:space="preserve">            {"Lots Classe A (top)",     LotsClasseA,            "lots","Priorité maximale"},</t>
  </si>
  <si>
    <t xml:space="preserve">            {"Score Stratégique Max",   MaxScore,               "",    "Meilleur score calculé"},</t>
  </si>
  <si>
    <t xml:space="preserve">            {"IPI Max",                 MaxIPI,                 "",    "Indice Priorité Import max"},</t>
  </si>
  <si>
    <t xml:space="preserve">            // TOP OPPORTUNITÉS</t>
  </si>
  <si>
    <t xml:space="preserve">            {"── TOP OPPORTUNITÉS ──",            null, null, null},</t>
  </si>
  <si>
    <t xml:space="preserve">            {"Meilleur Taux Gain",      MaxTauxGain,            "%",   "Lot : " &amp; LotMaxGain},</t>
  </si>
  <si>
    <t xml:space="preserve">            {"Meilleure Économie Abs.", MaxEco,                 "FCFA","Lot : " &amp; LotMaxEco},</t>
  </si>
  <si>
    <t xml:space="preserve">            {"Lot Meilleur Score",      LotMeilleurScore,       "",    "Score stratégique max"}</t>
  </si>
  <si>
    <t xml:space="preserve">        }</t>
  </si>
  <si>
    <t xml:space="preserve">    KPITable</t>
  </si>
  <si>
    <t>═══  GUIDE D'UTILISATION POWER QUERY / POWER BI  ═══</t>
  </si>
  <si>
    <t xml:space="preserve">  CONNEXION AU FICHIER</t>
  </si>
  <si>
    <t>Power BI Desktop → Accueil → Obtenir des données → Excel
Sélectionner BE_MONOPROJET_V2_PNMC.xlsx
Ne charger QUE les tables RAW, CONFIG et DIM en premier</t>
  </si>
  <si>
    <t xml:space="preserve">  ORDRE DE CHARGEMENT</t>
  </si>
  <si>
    <t>1. Source_ExcelFichier
2. T_PARAMETRES + T_PARAMETRES_ACTIVE + fxGetParam
3. T_PROJET + DIM_FAM_METIER + DIM_FAM_ARTICLE + DIM_LOT
4. RAW_METRE + RAW_BPU_LOCAL + RAW_BPU_CHINE
5. CLEAN_METRE + CLEAN_BPU_LOCAL + CLEAN_BPU_CHINE
6. STAGING → FACT_METRE
7. DM_LOT + DM_FAM_ARTICLE + DM_PROJET
8. ANALYTICS_SCORE_STRATEGIQUE → INTELLIGENCE_DECISION → KPI_PROJET</t>
  </si>
  <si>
    <t xml:space="preserve">  CHANGER DE SCÉNARIO</t>
  </si>
  <si>
    <t>Excel : ouvrir T_PARAMETRES → cellule H2 → taper OPTIMISTE, RÉALISTE ou STRESS
Power BI : Accueil → Actualiser  (tout recalcule automatiquement)</t>
  </si>
  <si>
    <t xml:space="preserve">  AJOUTER UN ARTICLE</t>
  </si>
  <si>
    <t>Ajouter la ligne dans 01_RAW__METRE (QTE + CODE_BPU)
Ajouter les prix dans 01_RAW__BPU_LOCAL et 01_RAW__BPU_CHINE (même CODE_BPU)
Actualiser Power BI → la ligne apparaît dans STAGING + FACT + tous les DM</t>
  </si>
  <si>
    <t xml:space="preserve">  MODIFIER UN PARAMÈTRE</t>
  </si>
  <si>
    <t>Ouvrir 00_CONFIG__T_PARAMETRES
Modifier la valeur dans la colonne du scénario souhaité (OPTIMISTE/RÉALISTE/STRESS)
Actualiser → STAGING et FACT se recalculent entièrement</t>
  </si>
  <si>
    <t xml:space="preserve">  TABLES À CHARGER EN PBI</t>
  </si>
  <si>
    <t>✅ CHARGER (activer « Charger » dans l'éditeur) :
   FACT_METRE, DM_LOT, DM_FAM_ARTICLE, DM_PROJET
   ANALYTICS_SCORE_STRATEGIQUE, INTELLIGENCE_DECISION, KPI_PROJET
   T_PARAMETRES_ACTIVE (pour carte scénario actif)
   DIM_LOT, DIM_FAM_ARTICLE, DIM_FAM_METIER, T_PROJET
⛔ NE PAS CHARGER (tables intermédiaires — désactiver le chargement) :
   Source_ExcelFichier, T_PARAMETRES
   RAW_METRE, RAW_BPU_LOCAL, RAW_BPU_CHINE
   CLEAN_METRE, CLEAN_BPU_LOCAL, CLEAN_BPU_CHINE
   STAGING (table intermédiaire — charger uniquement FACT_METRE)
   fxGetParam</t>
  </si>
  <si>
    <t xml:space="preserve">  MODÈLE DE DONNÉES PBI</t>
  </si>
  <si>
    <t>Créer ces relations dans la vue Modèle :
  FACT_METRE[CODE_BPU]      → STAGING n'est pas chargé donc pas besoin
  FACT_METRE[FAM_ARTICLE_ID]→ DIM_FAM_ARTICLE[FAM_ARTICLE_ID]  (M:1)
  FACT_METRE[LOT]           → DM_LOT[LOT]                      (M:1)
  DM_LOT[FAM_ARTICLE_ID]   → DIM_FAM_ARTICLE[FAM_ARTICLE_ID]  (M:1)
  DIM_FAM_ARTICLE[FAM_METIER_ID] → DIM_FAM_METIER[FAM_METIER_ID] (M:1)
  ANALYTICS[LOT]            → DM_LOT[LOT]                      (M:1)</t>
  </si>
  <si>
    <t xml:space="preserve">  MESURES DAX CLÉS</t>
  </si>
  <si>
    <t>// Économie Totale (FCFA)
ECONOMIE_TOTALE = SUM(FACT_METRE[GAIN])
// Taux économie global
TAUX_ECO = DIVIDE(SUM(FACT_METRE[GAIN]), SUM(FACT_METRE[TOTAL_LOCAL]))
// Nb articles IMPORT
NB_IMPORT = COUNTROWS(FILTER(FACT_METRE, FACT_METRE[DECISION_IMPORT]="IMPORT"))
// Scénario actif (carte)
SCENARIO_ACTIF = FIRSTNONBLANK(T_PARAMETRES_ACTIVE[SCENARIO], 1)</t>
  </si>
  <si>
    <t xml:space="preserve">  📄  Code Power Query M complet — BE_MONOPROJET_V2_PNMC · Projet Centre Médical Pointe Noire · v2.0 · 2026</t>
  </si>
  <si>
    <t>📐  DOCUMENTATION DES FORMULES DYNAMIQUES — MOTEUR DÉCISIONNEL PNMC</t>
  </si>
  <si>
    <t>SÉLECTEUR SCÉNARIO</t>
  </si>
  <si>
    <t>Cellule</t>
  </si>
  <si>
    <t>Valeur</t>
  </si>
  <si>
    <t>Effet sur le modèle</t>
  </si>
  <si>
    <t>T_PARAMETRES!H2</t>
  </si>
  <si>
    <t>OPTIMISTE / RÉALISTE / STRESS</t>
  </si>
  <si>
    <t>Change tous les paramètres actifs en cascade</t>
  </si>
  <si>
    <t>FORMULES PARAMÈTRES ACTIFS</t>
  </si>
  <si>
    <t>Paramètre</t>
  </si>
  <si>
    <t>Formule dans T_PARAMETRES_ACTIVE</t>
  </si>
  <si>
    <t>Description</t>
  </si>
  <si>
    <t>Taux_Marge_Local</t>
  </si>
  <si>
    <t>INDEX('00_CONFIG__T_PARAMETRES'!C6:E6, 1, MATCH('00_CONFIG__T_PARAMETRES'!H2, 'T_PARAMETRES'!C2:E2, 0))</t>
  </si>
  <si>
    <t>Lit la colonne scénario correspondante</t>
  </si>
  <si>
    <t>Taux_Marge_Chine</t>
  </si>
  <si>
    <t>INDEX('00_CONFIG__T_PARAMETRES'!C7:E7, 1, MATCH(...))</t>
  </si>
  <si>
    <t>idem</t>
  </si>
  <si>
    <t>Taux_Transport</t>
  </si>
  <si>
    <t>INDEX('00_CONFIG__T_PARAMETRES'!C8:E8, 1, MATCH(...))</t>
  </si>
  <si>
    <t>Taux_Douane</t>
  </si>
  <si>
    <t>INDEX('00_CONFIG__T_PARAMETRES'!C9:E9, 1, MATCH(...))</t>
  </si>
  <si>
    <t>Seuil_Decision_Import</t>
  </si>
  <si>
    <t>INDEX('00_CONFIG__T_PARAMETRES'!C12:E12, 1, MATCH(...))</t>
  </si>
  <si>
    <t>FORMULES STAGING</t>
  </si>
  <si>
    <t>Colonne</t>
  </si>
  <si>
    <t>Formule type</t>
  </si>
  <si>
    <t>M — PU_CHINE_FOB</t>
  </si>
  <si>
    <t>Prix FOB source Chine (fallback = PU_LOCAL si non trouvé)</t>
  </si>
  <si>
    <t>N — PU_IMPORT_NET</t>
  </si>
  <si>
    <t>M4 * (1 + T_TRANSPORT + T_DOUANE) * (1 + T_MARGE_CHINE)</t>
  </si>
  <si>
    <t>Prix de revient import avec tous les coûts logistiques et marge</t>
  </si>
  <si>
    <t>O — PU_LOCAL_MARGE</t>
  </si>
  <si>
    <t>L4 * (1 + T_MARGE_LOCAL)</t>
  </si>
  <si>
    <t>Prix local avec marge entreprise appliquée</t>
  </si>
  <si>
    <t>P — MONTANT_LOCAL</t>
  </si>
  <si>
    <t>Montant total si exécution 100% locale</t>
  </si>
  <si>
    <t>Q — MONTANT_IMPORT</t>
  </si>
  <si>
    <t>Montant total si sourcing Chine</t>
  </si>
  <si>
    <t>R — ÉCONOMIE_NETTE</t>
  </si>
  <si>
    <t>Gain financier net par article</t>
  </si>
  <si>
    <t>S — TAUX_ÉCONOMIE</t>
  </si>
  <si>
    <t>Taux de réduction CAPEX par article</t>
  </si>
  <si>
    <t>V — DECISION</t>
  </si>
  <si>
    <t>Décision finale — pilotée par le seuil paramétrable</t>
  </si>
  <si>
    <t>IMPACT DU CHANGEMENT DE SCÉNARIO</t>
  </si>
  <si>
    <t>OPTIMISTE</t>
  </si>
  <si>
    <t>RÉALISTE</t>
  </si>
  <si>
    <t>STRESS</t>
  </si>
  <si>
    <t>Δ Impact</t>
  </si>
  <si>
    <t>6%</t>
  </si>
  <si>
    <t>8%</t>
  </si>
  <si>
    <t>12%</t>
  </si>
  <si>
    <t>↑ coût import → moins de IMPORT</t>
  </si>
  <si>
    <t>15%</t>
  </si>
  <si>
    <t>20%</t>
  </si>
  <si>
    <t>10%</t>
  </si>
  <si>
    <t>↑ PU_IMPORT_NET → taux éco baisse</t>
  </si>
  <si>
    <t>↑ PU_LOCAL_MARGE → taux éco monte</t>
  </si>
  <si>
    <t>3%</t>
  </si>
  <si>
    <t>5%</t>
  </si>
  <si>
    <t>↑ seuil → moins de IMPORT décidés</t>
  </si>
  <si>
    <t>⚙️  PARAMÈTRES ACTIFS — Pilotés par le scénario sélectionné</t>
  </si>
  <si>
    <t>PARAMETRE</t>
  </si>
  <si>
    <t>VALEUR ACTIVE</t>
  </si>
  <si>
    <t>Nom_Projet</t>
  </si>
  <si>
    <t>Mode_Sourcing</t>
  </si>
  <si>
    <t>Devise_Modele</t>
  </si>
  <si>
    <t>Cout_Container</t>
  </si>
  <si>
    <t>Capacite_Container</t>
  </si>
  <si>
    <t>Poids_Prix</t>
  </si>
  <si>
    <t>Poids_Risque</t>
  </si>
  <si>
    <t>Poids_Delai</t>
  </si>
  <si>
    <t>Poids_Volume</t>
  </si>
  <si>
    <t>Poids critère volume</t>
  </si>
  <si>
    <t>DECISION</t>
  </si>
  <si>
    <t>Poids critère délai</t>
  </si>
  <si>
    <t>Poids critère risque</t>
  </si>
  <si>
    <t>Poids critère prix</t>
  </si>
  <si>
    <t>Seuil taux éco pour importer</t>
  </si>
  <si>
    <t>Capacité utile m³/container</t>
  </si>
  <si>
    <t>LOGISTIQUE</t>
  </si>
  <si>
    <t>Coût/container 20 pieds (FCFA)</t>
  </si>
  <si>
    <t>Droits de douane Congo</t>
  </si>
  <si>
    <t>Transport maritime + terrestre</t>
  </si>
  <si>
    <t>Marge sur PU importés</t>
  </si>
  <si>
    <t>FINANCE</t>
  </si>
  <si>
    <t>Marge sur PU locaux</t>
  </si>
  <si>
    <t>Devise de référence</t>
  </si>
  <si>
    <t>FCFA</t>
  </si>
  <si>
    <t>GENERAL</t>
  </si>
  <si>
    <t>Stratégie approvisionnement</t>
  </si>
  <si>
    <t>Local</t>
  </si>
  <si>
    <t>Mixte</t>
  </si>
  <si>
    <t>↑ Modifier ici : OPTIMISTE / RÉALISTE / STRESS</t>
  </si>
  <si>
    <t>Nom officiel du projet</t>
  </si>
  <si>
    <t>PNMC</t>
  </si>
  <si>
    <t>REALISTE</t>
  </si>
  <si>
    <t>DESCRIPTION</t>
  </si>
  <si>
    <t>CATEGORIE</t>
  </si>
  <si>
    <t>🎯 SCENARIO ACTIF</t>
  </si>
  <si>
    <t>Colonne5</t>
  </si>
  <si>
    <t>Colonne4</t>
  </si>
  <si>
    <t>Colonne3</t>
  </si>
  <si>
    <t>Colonne2</t>
  </si>
  <si>
    <t>Colonne1</t>
  </si>
  <si>
    <t>⚙️  PARAMÈTRES PROJET — SCÉNARIOS OPTIMISTE / RÉALISTE / STRESS</t>
  </si>
  <si>
    <t>PROJET_ID</t>
  </si>
  <si>
    <t>NOM_PROJET</t>
  </si>
  <si>
    <t>TYPE_PROJET</t>
  </si>
  <si>
    <t>STATUT</t>
  </si>
  <si>
    <t>DATE_CREATION</t>
  </si>
  <si>
    <t>DEVISE</t>
  </si>
  <si>
    <t>MODE_SOURCING</t>
  </si>
  <si>
    <t>NB_LOTS</t>
  </si>
  <si>
    <t>PNR_MEDICAL_CENTER</t>
  </si>
  <si>
    <t>Centre Médical Pointe Noire</t>
  </si>
  <si>
    <t>Médical</t>
  </si>
  <si>
    <t>Etude</t>
  </si>
  <si>
    <t>2026-01-01</t>
  </si>
  <si>
    <t>FM_04</t>
  </si>
  <si>
    <t>Groupe Électrogène</t>
  </si>
  <si>
    <t>GROUPE_ELECTROGENE</t>
  </si>
  <si>
    <t>FA_017</t>
  </si>
  <si>
    <t>Centrale Solaire</t>
  </si>
  <si>
    <t>CENTRALE_SOLAIRE</t>
  </si>
  <si>
    <t>FA_016</t>
  </si>
  <si>
    <t>Vidéo Surveillance</t>
  </si>
  <si>
    <t>VIDEO_SURVEILLANCE</t>
  </si>
  <si>
    <t>FA_015</t>
  </si>
  <si>
    <t>FM_03</t>
  </si>
  <si>
    <t>Peinture</t>
  </si>
  <si>
    <t>PEINTURE</t>
  </si>
  <si>
    <t>FA_014</t>
  </si>
  <si>
    <t>Ascenseur</t>
  </si>
  <si>
    <t>ASCENSEUR</t>
  </si>
  <si>
    <t>FA_013</t>
  </si>
  <si>
    <t>Faux Plafonds &amp; Cloisons</t>
  </si>
  <si>
    <t>FAUX_PLAFONDS</t>
  </si>
  <si>
    <t>FA_012</t>
  </si>
  <si>
    <t>Plomberie Sanitaire</t>
  </si>
  <si>
    <t>PLOMBERIE</t>
  </si>
  <si>
    <t>FA_011</t>
  </si>
  <si>
    <t>Sécurité Incendie &amp; Vidéo</t>
  </si>
  <si>
    <t>SECURITE_INCENDIE</t>
  </si>
  <si>
    <t>FA_010</t>
  </si>
  <si>
    <t>Climatisation</t>
  </si>
  <si>
    <t>CLIMATISATION</t>
  </si>
  <si>
    <t>FA_009</t>
  </si>
  <si>
    <t>Électricité</t>
  </si>
  <si>
    <t>ELECTRICITE</t>
  </si>
  <si>
    <t>FA_008</t>
  </si>
  <si>
    <t>Menuiserie Bois</t>
  </si>
  <si>
    <t>MENUISERIE_BOIS</t>
  </si>
  <si>
    <t>FA_007</t>
  </si>
  <si>
    <t>Menuiserie Métallique</t>
  </si>
  <si>
    <t>MENUISERIE_MET</t>
  </si>
  <si>
    <t>FA_006</t>
  </si>
  <si>
    <t>Menuiserie Aluminium &amp; Vitrerie</t>
  </si>
  <si>
    <t>MENUISERIE_ALU</t>
  </si>
  <si>
    <t>FA_005</t>
  </si>
  <si>
    <t>Revêtements Durs</t>
  </si>
  <si>
    <t>REVETEMENTS_DURS</t>
  </si>
  <si>
    <t>FA_004</t>
  </si>
  <si>
    <t>FM_02</t>
  </si>
  <si>
    <t>Alucobond – Bardage Façade</t>
  </si>
  <si>
    <t>ALUCOBOND</t>
  </si>
  <si>
    <t>FA_003</t>
  </si>
  <si>
    <t>Étanchéité</t>
  </si>
  <si>
    <t>ETANCHEITE</t>
  </si>
  <si>
    <t>FA_002</t>
  </si>
  <si>
    <t>FM_01</t>
  </si>
  <si>
    <t>Gros Œuvre &amp; Démolition</t>
  </si>
  <si>
    <t>GROS_OEUVRE</t>
  </si>
  <si>
    <t>FA_001</t>
  </si>
  <si>
    <t>RISQUE_IMPORT</t>
  </si>
  <si>
    <t>TAUX_MAIN_OEUVRE</t>
  </si>
  <si>
    <t>IMPORTABLE</t>
  </si>
  <si>
    <t>FAM_METIER_ID</t>
  </si>
  <si>
    <t>LIBELLE_FAM_ARTICLE</t>
  </si>
  <si>
    <t>CODE_FAM_ARTICLE</t>
  </si>
  <si>
    <t>FAM_ARTICLE_ID</t>
  </si>
  <si>
    <t>CODE_FAM_METIER</t>
  </si>
  <si>
    <t>LIBELLE_FAM_METIER</t>
  </si>
  <si>
    <t>CATEGORIE_METIER</t>
  </si>
  <si>
    <t>ORDRE_AFFICHAGE</t>
  </si>
  <si>
    <t>STRUCTURE</t>
  </si>
  <si>
    <t>Structure &amp; Gros Œuvre</t>
  </si>
  <si>
    <t>ENVELOPPE</t>
  </si>
  <si>
    <t>Enveloppe &amp; Étanchéité</t>
  </si>
  <si>
    <t>FINITION</t>
  </si>
  <si>
    <t>Menuiserie &amp; Finitions</t>
  </si>
  <si>
    <t>TECHNIQUE</t>
  </si>
  <si>
    <t>Corps Techniques</t>
  </si>
  <si>
    <t>BATIMENT_ID</t>
  </si>
  <si>
    <t>NOM_BATIMENT</t>
  </si>
  <si>
    <t>BAT_PRINCIPAL</t>
  </si>
  <si>
    <t>Bâtiment Principal</t>
  </si>
  <si>
    <t>BAT_ANNEXE</t>
  </si>
  <si>
    <t>Bâtiment Annexe</t>
  </si>
  <si>
    <t>CODE_BPU</t>
  </si>
  <si>
    <t>DESIGNATION</t>
  </si>
  <si>
    <t>LOT</t>
  </si>
  <si>
    <t>UNITE</t>
  </si>
  <si>
    <t>PU_LOCAL</t>
  </si>
  <si>
    <t>DATE_REFERENCE</t>
  </si>
  <si>
    <t>SOURCE</t>
  </si>
  <si>
    <t>TYPE_COUT</t>
  </si>
  <si>
    <t>ACTIF</t>
  </si>
  <si>
    <t>BPU-INSTALL-GEN-MOB-001</t>
  </si>
  <si>
    <t>Mobilisation</t>
  </si>
  <si>
    <t>LOT 1</t>
  </si>
  <si>
    <t>FORFAIT</t>
  </si>
  <si>
    <t>DQE_MEDICAL CENTER_13-08-2025</t>
  </si>
  <si>
    <t>PNMC_2025</t>
  </si>
  <si>
    <t>MATERIAU</t>
  </si>
  <si>
    <t>BPU-INSTALL-GEN-BASEVIE-002</t>
  </si>
  <si>
    <t>Bureau de chantier, atelier, baraquement et clôture provisoire</t>
  </si>
  <si>
    <t>BPU-INSTALL-GEN-CONC-003</t>
  </si>
  <si>
    <t>Abonnement, mensualité concessionnaires</t>
  </si>
  <si>
    <t>BPU-INSTALL-GEN-MAT-004</t>
  </si>
  <si>
    <t>Matériel de chantier (engins, manutention etc)</t>
  </si>
  <si>
    <t>BPU-INSTALL-GEN-DIVERS-005</t>
  </si>
  <si>
    <t>Divers (sécurité, ASE, panneau de chantier...)</t>
  </si>
  <si>
    <t>BPU-INSTALL-GEN-ETUDE-006</t>
  </si>
  <si>
    <t>Études techniques et Essais</t>
  </si>
  <si>
    <t>BPU-INSTALL-GEN-AXE-007</t>
  </si>
  <si>
    <t>Ensemble des axes necessaires</t>
  </si>
  <si>
    <t>BPU-DEMO-MUR-ESC-RDC-008</t>
  </si>
  <si>
    <t>Démolition des murs et l'escalier (RDC)</t>
  </si>
  <si>
    <t>BPU-DEMO-MUR-ESC-ET1-ANNEXE-009</t>
  </si>
  <si>
    <t>Démolition des murs et l'escalier y compris la dalle existente bâtiment annexe (ÉTAGE 1)</t>
  </si>
  <si>
    <t>BPU-DEMO-MUR-ESC-ET2-010</t>
  </si>
  <si>
    <t>Démolition des murs et l'escalier (ÉTAGE 2)</t>
  </si>
  <si>
    <t>BPU-DEMO-EVAC-GRAVAT-011</t>
  </si>
  <si>
    <t>Évacuation des gravats hors site</t>
  </si>
  <si>
    <t>BPU-DEMO-DECAP-CARREAU-012</t>
  </si>
  <si>
    <t>Décapage des carreaux sol existants en RDC</t>
  </si>
  <si>
    <t>M2</t>
  </si>
  <si>
    <t>BPU-MACON-FOND-BET-PROP-013</t>
  </si>
  <si>
    <t>Béton de propreté</t>
  </si>
  <si>
    <t>M3</t>
  </si>
  <si>
    <t>BPU-MACON-FOND-BET-400-014</t>
  </si>
  <si>
    <t>Béton 400 hydr</t>
  </si>
  <si>
    <t>BPU-MACON-FOND-COF-015</t>
  </si>
  <si>
    <t>Coffrage</t>
  </si>
  <si>
    <t>BPU-MACON-FOND-AC-016</t>
  </si>
  <si>
    <t>Acier</t>
  </si>
  <si>
    <t>KG</t>
  </si>
  <si>
    <t>BPU-MACON-ELEV-POT-BET-400-017</t>
  </si>
  <si>
    <t>BPU-MACON-ELEV-POT-COF-018</t>
  </si>
  <si>
    <t>BPU-MACON-ELEV-POT-AC-019</t>
  </si>
  <si>
    <t>BPU-MACON-ELEV-LONG-BET-400-020</t>
  </si>
  <si>
    <t>BPU-MACON-ELEV-LONG-COF-021</t>
  </si>
  <si>
    <t>BPU-MACON-ELEV-LONG-AC-022</t>
  </si>
  <si>
    <t>BPU-MACON-ELEV-DALL-BET-023</t>
  </si>
  <si>
    <t>Béton</t>
  </si>
  <si>
    <t>BPU-MACON-ELEV-DALL-COF-024</t>
  </si>
  <si>
    <t>BPU-MACON-ELEV-DALL-AC-025</t>
  </si>
  <si>
    <t>BPU-MACON-SSO-AGGL-PLEIN-026</t>
  </si>
  <si>
    <t>Agglos pleins 20x20x50</t>
  </si>
  <si>
    <t>BPU-MACON-ELEV-POT-BET-400-027</t>
  </si>
  <si>
    <t>BPU-MACON-ELEV-POT-COF-028</t>
  </si>
  <si>
    <t>BPU-MACON-ELEV-POT-AC-029</t>
  </si>
  <si>
    <t>BPU-MACON-ELEV-POUT-BET-350-030</t>
  </si>
  <si>
    <t>Béton 350</t>
  </si>
  <si>
    <t>BPU-MACON-ELEV-POUT-COF-031</t>
  </si>
  <si>
    <t>BPU-MACON-ELEV-POUT-AC-032</t>
  </si>
  <si>
    <t>BPU-MACON-ELEV-CH-BET-350-033</t>
  </si>
  <si>
    <t>BPU-MACON-ELEV-CH-COF-034</t>
  </si>
  <si>
    <t>BPU-MACON-ELEV-CH-AC-035</t>
  </si>
  <si>
    <t>BPU-MACON-ELEV-LINT-BET-400-036</t>
  </si>
  <si>
    <t>Béton 400</t>
  </si>
  <si>
    <t>BPU-MACON-ELEV-LINT-COF-037</t>
  </si>
  <si>
    <t>BPU-MACON-ELEV-LINT-AC-038</t>
  </si>
  <si>
    <t>BPU-MACON-ELEV-ESC-BET-350-039</t>
  </si>
  <si>
    <t>BPU-MACON-ELEV-ESC-COF-040</t>
  </si>
  <si>
    <t>BPU-MACON-ELEV-ESC-AC-041</t>
  </si>
  <si>
    <t>BPU-MACON-ELEV-PL-BET-350-042</t>
  </si>
  <si>
    <t>BPU-MACON-ELEV-PL-HOUR-043</t>
  </si>
  <si>
    <t>Hourdis</t>
  </si>
  <si>
    <t>BPU-MACON-ELEV-PL-COF-044</t>
  </si>
  <si>
    <t>BPU-MACON-ELEV-PL-AC-045</t>
  </si>
  <si>
    <t>BPU-MACON-AGGL-CREUX-20-046</t>
  </si>
  <si>
    <t>Agglos creux 20x20x50</t>
  </si>
  <si>
    <t>BPU-MACON-END-INT-EXT-047</t>
  </si>
  <si>
    <t>Enduits intérieurs et extérieurs sur murs</t>
  </si>
  <si>
    <t>BPU-MACON-END-SOUS-PLF-048</t>
  </si>
  <si>
    <t>Enduits sous plafond</t>
  </si>
  <si>
    <t>BPU-MACON-RESERV-CALF-049</t>
  </si>
  <si>
    <t>Réservations et calfeutrements divers</t>
  </si>
  <si>
    <t>BPU-MACON-SCELL-RACC-050</t>
  </si>
  <si>
    <t>Scellements et raccordements</t>
  </si>
  <si>
    <t>BPU-MACON-MARCH-BET-350-051</t>
  </si>
  <si>
    <t>BPU-MACON-MARCH-COF-052</t>
  </si>
  <si>
    <t>BPU-MACON-ELEV-VOILE-BET-350-053</t>
  </si>
  <si>
    <t>BPU-MACON-ELEV-VOILE-COF-054</t>
  </si>
  <si>
    <t>BPU-MACON-ELEV-VOILE-AC-055</t>
  </si>
  <si>
    <t>BPU-MACON-FIN-TABL-056</t>
  </si>
  <si>
    <t>Finition des tableaux</t>
  </si>
  <si>
    <t>BPU-ETANCH-LOC-REV-MONO-057</t>
  </si>
  <si>
    <t>Revêtement monocouche</t>
  </si>
  <si>
    <t>LOT 2</t>
  </si>
  <si>
    <t>BPU-ETANCH-LOC-RELEV-058</t>
  </si>
  <si>
    <t>Relevé d'étanchéité h=50 cm</t>
  </si>
  <si>
    <t>ML</t>
  </si>
  <si>
    <t>BPU-ETANCH-TERR-ACC-FORME-059</t>
  </si>
  <si>
    <t>Forme de pente</t>
  </si>
  <si>
    <t>BPU-ETANCH-TERR-ACC-BI-060</t>
  </si>
  <si>
    <t>Revêtement bicouche sous protection lourde</t>
  </si>
  <si>
    <t>BPU-ETANCH-TERR-ACC-RELEV-061</t>
  </si>
  <si>
    <t>BPU-ETANCH-TERR-INACC-FORME-062</t>
  </si>
  <si>
    <t>BPU-ETANCH-TERR-INACC-MONO-063</t>
  </si>
  <si>
    <t>Revêtement monocouche sous protection lourde</t>
  </si>
  <si>
    <t>BPU-ETANCH-TERR-INACC-RELEV-064</t>
  </si>
  <si>
    <t>BPU-REVET-FAIENCE-GRANIT-065</t>
  </si>
  <si>
    <t>Faïence murale en granite ou similaire</t>
  </si>
  <si>
    <t>LOT 3</t>
  </si>
  <si>
    <t>BPU-REVET-SOL-GRANIT-60X60-066</t>
  </si>
  <si>
    <t>Granite tile : SARADO Grey-Flamed 60x60</t>
  </si>
  <si>
    <t>BPU-REVET-PLINTH-GRANIT-067</t>
  </si>
  <si>
    <t>Plinthe 10x60 Granite tile : SARADO Grey-Flamed</t>
  </si>
  <si>
    <t>BPU-REVET-PLAN-TRAV-GRANIT-068</t>
  </si>
  <si>
    <t>Table de travail en granite ou similaire</t>
  </si>
  <si>
    <t>BPU-MEN-ALUM-BAIE-069</t>
  </si>
  <si>
    <t>Baie vitrée en alu (dimensions variables)</t>
  </si>
  <si>
    <t>LOT 4</t>
  </si>
  <si>
    <t>BPU-MEN-ALUM-GARDE-CORPS-070</t>
  </si>
  <si>
    <t>Garde corps en alu</t>
  </si>
  <si>
    <t>BPU-MEN-METAL-PORTE-GE-071</t>
  </si>
  <si>
    <t>Porte métallique du local GE</t>
  </si>
  <si>
    <t>LOT 5</t>
  </si>
  <si>
    <t>BPU-MEN-METAL-GRILLE-GE-072</t>
  </si>
  <si>
    <t>Grille de protection du local GE</t>
  </si>
  <si>
    <t>BPU-MEN-METAL-PLATEFORME-073</t>
  </si>
  <si>
    <t>Plateforme métallique pour la mezzanine y compris le parquet en bois</t>
  </si>
  <si>
    <t>BPU-MEN-METAL-ESCALIER-LABO-074</t>
  </si>
  <si>
    <t>Escalier métallique du laboratoire y compris habillage des marches en bois</t>
  </si>
  <si>
    <t>BPU-MEN-METAL-GARDE-CORPS-075</t>
  </si>
  <si>
    <t>Garde corps métallique pour la mezzanine</t>
  </si>
  <si>
    <t>BPU-MEN-METAL-GRILLAGE-MEZZ-076</t>
  </si>
  <si>
    <t>Grillage de protection de la mezzanine</t>
  </si>
  <si>
    <t>BPU-MEN-BOIS-PLACARD-077</t>
  </si>
  <si>
    <t>Placard (dimensions variables) ouvrant à la française</t>
  </si>
  <si>
    <t>LOT 6</t>
  </si>
  <si>
    <t>BPU-MEN-BOIS-PORTE-MDF-078</t>
  </si>
  <si>
    <t>Porte MDF 90x220 ouvrant à la française</t>
  </si>
  <si>
    <t>BPU-MEN-BOIS-ETAGERE-CUISINE-SUP-079</t>
  </si>
  <si>
    <t>Étagère supérieure de la cuisine</t>
  </si>
  <si>
    <t>BPU-MEN-BOIS-ETAGERE-CUISINE-INF-080</t>
  </si>
  <si>
    <t>Étagère inférieure de la cuisine</t>
  </si>
  <si>
    <t>BPU-MEN-BOIS-ETAGERE-VAIS-SUP-081</t>
  </si>
  <si>
    <t>Étagère supérieure de la vaissellerie</t>
  </si>
  <si>
    <t>BPU-MEN-BOIS-ETAGERE-VAIS-INF-082</t>
  </si>
  <si>
    <t>Étagère inférieure de la vaissellerie</t>
  </si>
  <si>
    <t>BPU-ELEC-DALLE-LED-40W-083</t>
  </si>
  <si>
    <t>Dalle led 60x60 40W</t>
  </si>
  <si>
    <t>LOT 7</t>
  </si>
  <si>
    <t>BPU-ELEC-REGLETTE-4X14W-084</t>
  </si>
  <si>
    <t>Reglètte encastrable 60x60 4x14W</t>
  </si>
  <si>
    <t>BPU-ELEC-REGLETTE-ETANCHE-2X20W-085</t>
  </si>
  <si>
    <t>Reglètte étanche 2x20w</t>
  </si>
  <si>
    <t>BPU-ELEC-PANEL-LED-120X30-086</t>
  </si>
  <si>
    <t>Panel led 120x30cm</t>
  </si>
  <si>
    <t>BPU-ELEC-APPLIQUE-SANITAIRE-087</t>
  </si>
  <si>
    <t>Applique sanitaire PC+Int</t>
  </si>
  <si>
    <t>BPU-ELEC-APPLIQUE-MURALE-088</t>
  </si>
  <si>
    <t>Applique mural</t>
  </si>
  <si>
    <t>BPU-ELEC-APPLIQUE-MURALE-ETANCHE-089</t>
  </si>
  <si>
    <t>Applique mural étanche</t>
  </si>
  <si>
    <t>BPU-ELEC-SPOT-HALLOGENE-G5,3-090</t>
  </si>
  <si>
    <t>Spot encastrable hallogène G5,3</t>
  </si>
  <si>
    <t>BPU-ELEC-SPOT-LED-18W-091</t>
  </si>
  <si>
    <t>Spot led 18w</t>
  </si>
  <si>
    <t>BPU-ELEC-SPOT-LED-22W-092</t>
  </si>
  <si>
    <t>Spot led 22w</t>
  </si>
  <si>
    <t>BPU-ELEC-SPOT-LED-14W-093</t>
  </si>
  <si>
    <t>Spot led 14w</t>
  </si>
  <si>
    <t>BPU-ELEC-BAES-AMBIANCE-094</t>
  </si>
  <si>
    <t>Bloc autonome d'éclairage de sécurité étanche type à incandescence autonomie 1h de LEGRAND ou similaire : Ambiance</t>
  </si>
  <si>
    <t>BPU-ELEC-BAES-DIRECTION-095</t>
  </si>
  <si>
    <t>Bloc autonome d'éclairage de sécurité étanche type à incandescence autonomie 1h de LEGRAND ou similaire : Direction</t>
  </si>
  <si>
    <t>BPU-ELEC-INTER-SIMPLE-096</t>
  </si>
  <si>
    <t>Interrupteur simple allumage</t>
  </si>
  <si>
    <t>BPU-ELEC-INTER-VV-097</t>
  </si>
  <si>
    <t>Interrupteur va et vient</t>
  </si>
  <si>
    <t>BPU-ELEC-BP-TEMOIN-098</t>
  </si>
  <si>
    <t>Bouton poussoire avec témoin</t>
  </si>
  <si>
    <t>BPU-ELEC-DETECT-PRES-099</t>
  </si>
  <si>
    <t>Détecteur de presence</t>
  </si>
  <si>
    <t>BPU-ELEC-INV-AUTO-SOURCE-TRI-100</t>
  </si>
  <si>
    <t>Inverseur automatique de source triphasé</t>
  </si>
  <si>
    <t>BPU-ELEC-PC-MOSAIC-BLANC-101</t>
  </si>
  <si>
    <t>Prise de courant mosaique blanc complet</t>
  </si>
  <si>
    <t>BPU-ELEC-PC-MOSAIC-ROUGE-102</t>
  </si>
  <si>
    <t>Prise de courant mosaique rouge complet</t>
  </si>
  <si>
    <t>BPU-ELEC-PRISE-RESEAU-103</t>
  </si>
  <si>
    <t>Prise réseau</t>
  </si>
  <si>
    <t>BPU-ELEC-PRISE-TEL-104</t>
  </si>
  <si>
    <t>Prise téléphone</t>
  </si>
  <si>
    <t>BPU-ELEC-PRISE-TV-105</t>
  </si>
  <si>
    <t>Prise TV</t>
  </si>
  <si>
    <t>BPU-ELEC-PC-ETANCHE-106</t>
  </si>
  <si>
    <t>Prise de courant étanche</t>
  </si>
  <si>
    <t>BPU-CLIM-VRV-UE-107</t>
  </si>
  <si>
    <t>Unité Extérieure Multi-Split Réversible Samsung - Climatisation Multi Split - R32 y compris toutes les sujétions de pose et de raccordement</t>
  </si>
  <si>
    <t>LOT 8</t>
  </si>
  <si>
    <t>BPU-CLIM-VRV-UI-GAINABLE-1.5CV-108</t>
  </si>
  <si>
    <t>Unité intérieure 1.5CV type gainable encastrable de SAMSUNG et toutes sujétions de pose</t>
  </si>
  <si>
    <t>BPU-CLIM-VRV-UI-GAINABLE-2CV-109</t>
  </si>
  <si>
    <t>Unité intérieure 2CV type gainable encastrable de SAMSUNG et toutes sujétions de pose</t>
  </si>
  <si>
    <t>BPU-CLIM-VRV-UI-GAINABLE-3CV-110</t>
  </si>
  <si>
    <t>Unité intérieure 3CV type gainable encastrable de SAMSUNG et toutes sujétions de pose</t>
  </si>
  <si>
    <t>BPU-CLIM-KIT-REFNET-111</t>
  </si>
  <si>
    <t>Kit de raccordement REFNET de différentes dimensions suivant plans</t>
  </si>
  <si>
    <t>BPU-CLIM-TELECOM-IR-112</t>
  </si>
  <si>
    <t>Télécommande à infrarouge pour les unités intérieures</t>
  </si>
  <si>
    <t>BPU-CLIM-RACC-FRIGO-113</t>
  </si>
  <si>
    <t>Raccordements frigorifiques y compris toutes sujétions</t>
  </si>
  <si>
    <t>BPU-CLIM-RACC-ELEC-114</t>
  </si>
  <si>
    <t>Raccordements électriques et liaisons de communication</t>
  </si>
  <si>
    <t>BPU-CLIM-EVAC-COND-115</t>
  </si>
  <si>
    <t>Evacuation des condensats</t>
  </si>
  <si>
    <t>BPU-CLIM-GAINE-SOUF-REPR-116</t>
  </si>
  <si>
    <t>Gaine de soufflage et de reprise en laine de verre ou en acier galva ou équivalent y compris toutes sujétions</t>
  </si>
  <si>
    <t>BPU-CLIM-GRILLE-SOUF-REPR-600X150-117</t>
  </si>
  <si>
    <t>Grille de soufflage et de reprise type LAC 40 (à ailettes inclinées) de France Air ou similaire dimensions 600x150 mm (pour les débits jusqu'à 660 m3/h) avec tous les accessoires de pose suivant plans</t>
  </si>
  <si>
    <t>BPU-CLIM-GRILLE-SOUF-REPR-800X150-118</t>
  </si>
  <si>
    <t>Grille de soufflage et de reprise type LAC 40 (à ailettes inclinées) de France Air ou similaire dimensions 800x150 mm (pour les débits comprise entre 660 à 870 m3/h) avec tous les accessoires de pose suivant plans</t>
  </si>
  <si>
    <t>BPU-CLIM-GRILLE-SOUF-REPR-1000X150-119</t>
  </si>
  <si>
    <t>Grille de soufflage et de reprise type LAC 40 (à ailettes inclinées) de France Air ou similaire dimensions 1000x150 mm (pour les débits superieur ou égal à 870 m3/h) avec tous les accessoires de pose suivant plans</t>
  </si>
  <si>
    <t>BPU-SSI-DETECT-OPTIQUE-FUMEE-120</t>
  </si>
  <si>
    <t>Détecteur optique de fumée adressable</t>
  </si>
  <si>
    <t>LOT 9</t>
  </si>
  <si>
    <t>BPU-SSI-DETECT-THERMO-121</t>
  </si>
  <si>
    <t>Détecteur thermovélocimétrie adressable</t>
  </si>
  <si>
    <t>BPU-SSI-DETECT-FLAMME-122</t>
  </si>
  <si>
    <t>Détecteur de flamme adressable</t>
  </si>
  <si>
    <t>BPU-SSI-INDIC-ACTION-123</t>
  </si>
  <si>
    <t>Indicateur d'action</t>
  </si>
  <si>
    <t>BPU-SSI-DM-124</t>
  </si>
  <si>
    <t>Déclencheur manuel adressable</t>
  </si>
  <si>
    <t>BPU-SSI-DA-125</t>
  </si>
  <si>
    <t>Déclencheur mautonome avertisseur de fumée</t>
  </si>
  <si>
    <t>BPU-SSI-CENTRALE-126</t>
  </si>
  <si>
    <t>Central de sécurité incendie et d'alarme type adressable</t>
  </si>
  <si>
    <t>BPU-SSI-PLAN-INTERV-127</t>
  </si>
  <si>
    <t>Plan d'intervention (Réception)</t>
  </si>
  <si>
    <t>BPU-SSI-DIFF-ALARME-128</t>
  </si>
  <si>
    <t>Diffuseur de l'alarme général (105dB)</t>
  </si>
  <si>
    <t>BPU-SSI-EXT-ABC-6KG-129</t>
  </si>
  <si>
    <t>Extincteur à poudre ABC - 6 Kg</t>
  </si>
  <si>
    <t>BPU-SSI-EXT-CO2-5KG-130</t>
  </si>
  <si>
    <t>Extincteur au CO2 - 5 Kg</t>
  </si>
  <si>
    <t>BPU-SSI-BAC-SABLE-131</t>
  </si>
  <si>
    <t>Bac à sable de 100 litres au complet</t>
  </si>
  <si>
    <t>BPU-SSI-PLAQUE-ID-EXT-132</t>
  </si>
  <si>
    <t>Plaque d'identification des extincteurs</t>
  </si>
  <si>
    <t>BPU-SSI-CABLE-SYT-133</t>
  </si>
  <si>
    <t>Câble non propagateur de flamme avec écran SYT type C2 8/10ème pour les detecteur ou declencheur</t>
  </si>
  <si>
    <t>BPU-SSI-CABLE-CR1-C1-134</t>
  </si>
  <si>
    <t>Câble non propagateur et resistant au flamme CR1-C1 9/10ème pour les diffuseurs sonores</t>
  </si>
  <si>
    <t>BPU-SSI-ACCESS-POSE-135</t>
  </si>
  <si>
    <t>Accessoires de pose et de raccordement (fourreau, chevilles, visserie,..)</t>
  </si>
  <si>
    <t>BPU-VIDEO-CAM-EXT-136</t>
  </si>
  <si>
    <t>Caméra exterieure avec protection suivant descriptif</t>
  </si>
  <si>
    <t>BPU-VIDEO-CAM-INT-DOME-137</t>
  </si>
  <si>
    <t>Caméra interieure fixe type dome suivant descriptif</t>
  </si>
  <si>
    <t>BPU-VIDEO-NVR-138</t>
  </si>
  <si>
    <t>Serveur d'enregistrement NVR suivant descriptif</t>
  </si>
  <si>
    <t>BPU-VIDEO-MONITOR-LCD-139</t>
  </si>
  <si>
    <t>Moniteur LCD suivant descriptif</t>
  </si>
  <si>
    <t>BPU-VIDEO-CABLAGE-140</t>
  </si>
  <si>
    <t>Câblage des système au complet et accessoires divers</t>
  </si>
  <si>
    <t>BPU-CDA-KIT-PORTE-141</t>
  </si>
  <si>
    <t>kit contrôle d'accès porte</t>
  </si>
  <si>
    <t>BPU-PLOMB-WC-ANGLAISE-142</t>
  </si>
  <si>
    <t>WC à l'anglaise</t>
  </si>
  <si>
    <t>LOT 10</t>
  </si>
  <si>
    <t>BPU-PLOMB-RECEP-DOUCHE-143</t>
  </si>
  <si>
    <t>Receveur de douche</t>
  </si>
  <si>
    <t>BPU-PLOMB-LAVABO-VASQUE-144</t>
  </si>
  <si>
    <t>Lavabo ou Vasque simple</t>
  </si>
  <si>
    <t>BPU-PLOMB-EVIER-145</t>
  </si>
  <si>
    <t>Evier</t>
  </si>
  <si>
    <t>BPU-PLOMB-CE-50L-146</t>
  </si>
  <si>
    <t>Chauffe eau 50 litres</t>
  </si>
  <si>
    <t>BPU-PLOMB-CE-75L-147</t>
  </si>
  <si>
    <t>Chauffe eau 75 litres</t>
  </si>
  <si>
    <t>BPU-PLOMB-CE-100L-148</t>
  </si>
  <si>
    <t>Chauffe eau 100 litres</t>
  </si>
  <si>
    <t>BPU-PLOMB-CANAL-EU-PVC-D25-149</t>
  </si>
  <si>
    <t>Canalisation évacuation en PVC D25 (CE)</t>
  </si>
  <si>
    <t>BPU-PLOMB-CANAL-EU-PVC-D40-150</t>
  </si>
  <si>
    <t>Canalisation évacuation en PVC D40</t>
  </si>
  <si>
    <t>BPU-PLOMB-CANAL-EU-PVC-D50-151</t>
  </si>
  <si>
    <t>Canalisation évacuation en PVC D50</t>
  </si>
  <si>
    <t>BPU-PLOMB-CANAL-EU-PVC-D63-152</t>
  </si>
  <si>
    <t>Canalisation évacuation en PVC D63</t>
  </si>
  <si>
    <t>BPU-PLOMB-CANAL-EU-PVC-D75-153</t>
  </si>
  <si>
    <t>Canalisation évacuation en PVC D75</t>
  </si>
  <si>
    <t>BPU-PLOMB-CANAL-EU-PVC-D110-154</t>
  </si>
  <si>
    <t>Canalisation évacuation en PVC D110</t>
  </si>
  <si>
    <t>BPU-PLOMB-CANAL-EU-PVC-D125-155</t>
  </si>
  <si>
    <t>Canalisation évacuation en PVC D125</t>
  </si>
  <si>
    <t>BPU-PLOMB-CANAL-EU-PVC-D160-156</t>
  </si>
  <si>
    <t>Canalisation évacuation en PVC D160</t>
  </si>
  <si>
    <t>BPU-PLOMB-CANAL-EU-PVC-D200-157</t>
  </si>
  <si>
    <t>Canalisation évacuation en PVC D200</t>
  </si>
  <si>
    <t>BPU-PLOMB-CANAL-ALIM-PVC-D75-158</t>
  </si>
  <si>
    <t>Canalisation alimentation en PVC D75</t>
  </si>
  <si>
    <t>BPU-PLOMB-CANAL-ALIM-PVC-D40-159</t>
  </si>
  <si>
    <t>Canalisation alimentation en PVC D40</t>
  </si>
  <si>
    <t>BPU-PLOMB-CANAL-ALIM-PVC-D32-160</t>
  </si>
  <si>
    <t>Canalisation alimentation en PVC D32</t>
  </si>
  <si>
    <t>BPU-PLOMB-CANAL-ALIM-PVC-D25-161</t>
  </si>
  <si>
    <t>Canalisation alimentation en PVC D25</t>
  </si>
  <si>
    <t>BPU-PLOMB-CANAL-DIST-PER-13X16-162</t>
  </si>
  <si>
    <t>Canalisation alimentation en PER 13x16</t>
  </si>
  <si>
    <t>BPU-PLOMB-CANAL-DIST-PER-16X20-163</t>
  </si>
  <si>
    <t>Canalisation alimentation en PER 16x20</t>
  </si>
  <si>
    <t>BPU-PLOMB-CANAL-DIST-PER-20X25-164</t>
  </si>
  <si>
    <t>Canalisation alimentation en PER 20x25</t>
  </si>
  <si>
    <t>BPU-PLOMB-CANAL-DIST-PER-26X32-165</t>
  </si>
  <si>
    <t>Canalisation alimentation en PER 26x32</t>
  </si>
  <si>
    <t>BPU-PLOMB-COLLECT-ROB-INT-166</t>
  </si>
  <si>
    <t>Collecteurs à robinetterie intégrée (EF+EC)</t>
  </si>
  <si>
    <t>BPU-PLOMB-SURPRESSION-167</t>
  </si>
  <si>
    <t>Station de surpression au complet comprenant les 2 pompes de surpression sanitaire de 27 m3/h - 35 mCE y compris une vessie de 300 litres, accessoires de raccordement et équipements de la bâche à eau</t>
  </si>
  <si>
    <t>BPU-PLOMB-RACC-BACHE-168</t>
  </si>
  <si>
    <t>Raccordement des bâches à eau y compris raccordement au réseau avec tous les accessoires (vannes</t>
  </si>
  <si>
    <t>BPU-PLOMB-TAMPON-FONTE-169</t>
  </si>
  <si>
    <t>Tampon de fermeture en fonte pour fosses</t>
  </si>
  <si>
    <t>BPU-PLOMB-SIPHON-SOL-D63-170</t>
  </si>
  <si>
    <t>Siphon de sol D63</t>
  </si>
  <si>
    <t>BPU-PLOMB-COMPT-CLAPET-171</t>
  </si>
  <si>
    <t>Ensemble vanne, compteur, clapet anti-</t>
  </si>
  <si>
    <t>BPU-PLOMB-VMC-CAIS-01-172</t>
  </si>
  <si>
    <t>Caisson de Ventilation Mécanique Contrôlée</t>
  </si>
  <si>
    <t>BPU-PLOMB-VMC-CAIS-02-173</t>
  </si>
  <si>
    <t>BPU-PLOMB-BOUCHE-EXTR-ALIZE-01-174</t>
  </si>
  <si>
    <t>Bouche d'extraction de type Alizé</t>
  </si>
  <si>
    <t>BPU-PLOMB-BOUCHE-EXTR-ALIZE-02-175</t>
  </si>
  <si>
    <t>BPU-PLOMB-CONDUIT-SPIR-AC-GALV-D125-176</t>
  </si>
  <si>
    <t>Conduit spiralé en acier galvanisé D125</t>
  </si>
  <si>
    <t>BPU-PLOMB-CONDUIT-SPIR-AC-GALV-D160-177</t>
  </si>
  <si>
    <t>Conduit spiralé en acier galvanisé D160</t>
  </si>
  <si>
    <t>BPU-PLOMB-CONDUIT-SPIR-AC-GALV-D200-178</t>
  </si>
  <si>
    <t>Conduit spiralé en acier galvanisé D200</t>
  </si>
  <si>
    <t>BPU-FP-FP-ISORELLE-179</t>
  </si>
  <si>
    <t>Faux plafonds en plaquette d'isorelle ou</t>
  </si>
  <si>
    <t>LOT 11</t>
  </si>
  <si>
    <t>BPU-FP-CLOISON-BA13-LV-180</t>
  </si>
  <si>
    <t>Cloison en BA 13 avec laine de verre</t>
  </si>
  <si>
    <t>BPU-FP-STAFF-LISSE-181</t>
  </si>
  <si>
    <t>Faux plafonds en staff lisse décorative</t>
  </si>
  <si>
    <t>BPU-FP-CORNICHE-182</t>
  </si>
  <si>
    <t>Corniche décorative</t>
  </si>
  <si>
    <t>BPU-ASC-630KG-4ARR-183</t>
  </si>
  <si>
    <t>Ascenseur de 630 kg, 4 arrêts, vitesse de 1 m/s etc</t>
  </si>
  <si>
    <t>LOT 12</t>
  </si>
  <si>
    <t>BPU-ALUCOBOND-FP-184</t>
  </si>
  <si>
    <t>F &amp; P panneau composite de type Alucobond sur toute la façade extérieure</t>
  </si>
  <si>
    <t>LOT 13</t>
  </si>
  <si>
    <t>BPU-PEINT-MURS-PREP-SURF-185</t>
  </si>
  <si>
    <t>Préparation de surface</t>
  </si>
  <si>
    <t>LOT 14</t>
  </si>
  <si>
    <t>BPU-PEINT-MURS-INT-PANTEX-186</t>
  </si>
  <si>
    <t>Peinture intérieure comprissant une impression en pantiprim, 02 couches d'enduits repassés et 02 couches de finitions en pante 800</t>
  </si>
  <si>
    <t>BPU-PEINT-PLAF-PREP-SURF-187</t>
  </si>
  <si>
    <t>BPU-PEINT-PLAF-INT-PANTEX-188</t>
  </si>
  <si>
    <t>PU_CHINE_FOB</t>
  </si>
  <si>
    <t>PU_IMPORT_NET</t>
  </si>
  <si>
    <t>DATE_VALIDATION</t>
  </si>
  <si>
    <t>Forfait</t>
  </si>
  <si>
    <t>PU_CHINE_BPU_LOCAL_01_03</t>
  </si>
  <si>
    <t>VALIDE</t>
  </si>
  <si>
    <t>Abonnement et mensualités concessionnaires</t>
  </si>
  <si>
    <t>Matériel de chantier (engins, manutention)</t>
  </si>
  <si>
    <t>Divers (sécurité, ASE, panneau de chantier)</t>
  </si>
  <si>
    <t>Ensemble des axes nécessaires / piquetage</t>
  </si>
  <si>
    <t>Démolition murs et escalier (RDC)</t>
  </si>
  <si>
    <t>Démolition murs, escalier et dalle existante (Bât. Annexe)</t>
  </si>
  <si>
    <t>Démolition murs et escalier (Étage 2)</t>
  </si>
  <si>
    <t>m2</t>
  </si>
  <si>
    <t>m3</t>
  </si>
  <si>
    <t>Béton armé 400 kg/m³</t>
  </si>
  <si>
    <t>Acier HA</t>
  </si>
  <si>
    <t>kg</t>
  </si>
  <si>
    <t>Agglos pleins 20×20×50</t>
  </si>
  <si>
    <t>Agglos creux 20×20×50</t>
  </si>
  <si>
    <t>Forme de pente (terrasse accessible)</t>
  </si>
  <si>
    <t>ml</t>
  </si>
  <si>
    <t>Forme de pente (terrasse inaccessible)</t>
  </si>
  <si>
    <t>Revêtement monocouche sous protection</t>
  </si>
  <si>
    <t>BPU-REVET-SOL-GRANIT-60x60-066</t>
  </si>
  <si>
    <t>Granite tile SARADO Grey-Flamed 60×60</t>
  </si>
  <si>
    <t>Plinthe 10×60 Granite tile SARADO</t>
  </si>
  <si>
    <t>Table de travail en granite</t>
  </si>
  <si>
    <t>Plateforme métallique mezzanine avec parquet bois</t>
  </si>
  <si>
    <t>Escalier métallique mezzanine avec habillage marches bois</t>
  </si>
  <si>
    <t>Garde corps métallique mezzanine</t>
  </si>
  <si>
    <t>Grillage de protection mezzanine</t>
  </si>
  <si>
    <t>Étagère supérieure de cuisine</t>
  </si>
  <si>
    <t>Étagère inférieure de cuisine</t>
  </si>
  <si>
    <t>Étagère supérieure de vaissellerie</t>
  </si>
  <si>
    <t>Étagère inférieure de vaissellerie</t>
  </si>
  <si>
    <t>Dalle LED 60×60 40W</t>
  </si>
  <si>
    <t>U</t>
  </si>
  <si>
    <t>BPU-ELEC-REGLETTE-4x14W-084</t>
  </si>
  <si>
    <t>Réglette encastrable 60×60 4×14W</t>
  </si>
  <si>
    <t>BPU-ELEC-REGLETTE-ETANCHE-2x20w-085</t>
  </si>
  <si>
    <t>Réglette étanche 2×20W</t>
  </si>
  <si>
    <t>BPU-ELEC-PANEL-LED-120x30-086</t>
  </si>
  <si>
    <t>Panel LED 120×30cm</t>
  </si>
  <si>
    <t>Applique murale</t>
  </si>
  <si>
    <t>Applique murale étanche</t>
  </si>
  <si>
    <t>Spot encastrable halogène G5.3</t>
  </si>
  <si>
    <t>BPU-ELEC-SPOT-LED-18w-091</t>
  </si>
  <si>
    <t>Spot LED 18W</t>
  </si>
  <si>
    <t>BPU-ELEC-SPOT-LED-22w-092</t>
  </si>
  <si>
    <t>Spot LED 22W</t>
  </si>
  <si>
    <t>BPU-ELEC-SPOT-LED-14w-093</t>
  </si>
  <si>
    <t>Spot LED 14W</t>
  </si>
  <si>
    <t>BAES Ambiance LEGRAND autonomie 1h</t>
  </si>
  <si>
    <t>EQUIPEMENT</t>
  </si>
  <si>
    <t>BAES Direction LEGRAND autonomie 1h</t>
  </si>
  <si>
    <t>Bouton poussoir avec témoin</t>
  </si>
  <si>
    <t>Détecteur de présence</t>
  </si>
  <si>
    <t>Prise courant mosaïque blanc complet</t>
  </si>
  <si>
    <t>Prise courant mosaïque rouge complet</t>
  </si>
  <si>
    <t>Prise réseau RJ45</t>
  </si>
  <si>
    <t>Prise courant étanche</t>
  </si>
  <si>
    <t>Unité extérieure Multi-Split Samsung R32</t>
  </si>
  <si>
    <t>Unité intérieure 1.5CV gainable Samsung</t>
  </si>
  <si>
    <t>Unité intérieure 2CV gainable Samsung</t>
  </si>
  <si>
    <t>Unité intérieure 3CV gainable Samsung</t>
  </si>
  <si>
    <t>Télécommande infrarouge unités intérieures</t>
  </si>
  <si>
    <t>BPU-CLIM-GRILLE-SOUF-REPR-600x150-117</t>
  </si>
  <si>
    <t>Grille soufflage/reprise LAC40 600×150mm</t>
  </si>
  <si>
    <t>BPU-CLIM-GRILLE-SOUF-REPR-800x150-118</t>
  </si>
  <si>
    <t>Grille soufflage/reprise LAC40 800×150mm</t>
  </si>
  <si>
    <t>BPU-CLIM-GRILLE-SOUF-REPR-1000x150-119</t>
  </si>
  <si>
    <t>Grille soufflage/reprise LAC40 1000×150mm</t>
  </si>
  <si>
    <t>Déclencheur autonome avertisseur fumée</t>
  </si>
  <si>
    <t>BPU-SSI-EXT-ABC-6kg-129</t>
  </si>
  <si>
    <t>Extincteur poudre ABC 6 Kg</t>
  </si>
  <si>
    <t>BPU-SSI-EXT-CO2-5kg-130</t>
  </si>
  <si>
    <t>Extincteur CO2 5 Kg</t>
  </si>
  <si>
    <t>Bac à sable 100 litres</t>
  </si>
  <si>
    <t>Caméra extérieure avec protection</t>
  </si>
  <si>
    <t>Caméra intérieure fixe dôme</t>
  </si>
  <si>
    <t>Serveur enregistrement NVR</t>
  </si>
  <si>
    <t>Moniteur LCD</t>
  </si>
  <si>
    <t>Kit contrôle d'accès porte</t>
  </si>
  <si>
    <t>WC à l'anglaise complet</t>
  </si>
  <si>
    <t>Lavabo ou vasque simple</t>
  </si>
  <si>
    <t>Évier</t>
  </si>
  <si>
    <t>Chauffe-eau 50 litres</t>
  </si>
  <si>
    <t>Chauffe-eau 75 litres</t>
  </si>
  <si>
    <t>Chauffe-eau 100 litres</t>
  </si>
  <si>
    <t>Panneaux composites Alucobond façade</t>
  </si>
  <si>
    <t>Préparation de surface murs</t>
  </si>
  <si>
    <t>Peinture intérieure murs (primaire + 2 couches)</t>
  </si>
  <si>
    <t>Préparation de surface plafond</t>
  </si>
  <si>
    <t>Peinture intérieure plafond (primaire + 2 couches)</t>
  </si>
  <si>
    <t>NIVEAU_ID</t>
  </si>
  <si>
    <t>QTE</t>
  </si>
  <si>
    <t>DATE_MAJ</t>
  </si>
  <si>
    <t>Lot 1</t>
  </si>
  <si>
    <t>GLOBAL</t>
  </si>
  <si>
    <t>Lot 2</t>
  </si>
  <si>
    <t>Lot 3</t>
  </si>
  <si>
    <t>Lot 4</t>
  </si>
  <si>
    <t>Lot 5</t>
  </si>
  <si>
    <t>Lot 6</t>
  </si>
  <si>
    <t>Lot 7</t>
  </si>
  <si>
    <t>2</t>
  </si>
  <si>
    <t>Lot 8</t>
  </si>
  <si>
    <t>3</t>
  </si>
  <si>
    <t>4</t>
  </si>
  <si>
    <t>6</t>
  </si>
  <si>
    <t>7</t>
  </si>
  <si>
    <t>8</t>
  </si>
  <si>
    <t>Lot 9</t>
  </si>
  <si>
    <t>Lot 10</t>
  </si>
  <si>
    <t>1</t>
  </si>
  <si>
    <t>Lot 11</t>
  </si>
  <si>
    <t>Lot 12</t>
  </si>
  <si>
    <t>Lot 13</t>
  </si>
  <si>
    <t>Lot 14</t>
  </si>
  <si>
    <t>Lot 15</t>
  </si>
  <si>
    <t>5</t>
  </si>
  <si>
    <t>Lot 16</t>
  </si>
  <si>
    <t>Lot 17</t>
  </si>
  <si>
    <t>PU_LOCAL_MARGE</t>
  </si>
  <si>
    <t>PU_CHINE_FOB_E</t>
  </si>
  <si>
    <t>MONTANT_LOCAL</t>
  </si>
  <si>
    <t>MONTANT_IMPORT</t>
  </si>
  <si>
    <t>ECONOMIE_NETTE</t>
  </si>
  <si>
    <t>TAUX_ECONOMIE</t>
  </si>
  <si>
    <t>LOT_ID</t>
  </si>
  <si>
    <t>LOCAL</t>
  </si>
  <si>
    <t>IMPORT</t>
  </si>
  <si>
    <t>TOTAL_LOCAL</t>
  </si>
  <si>
    <t>TOTAL_IMPORT</t>
  </si>
  <si>
    <t>GAIN</t>
  </si>
  <si>
    <t>TAUX_GAIN</t>
  </si>
  <si>
    <t>Structure</t>
  </si>
  <si>
    <t>Enveloppe</t>
  </si>
  <si>
    <t>SECOND_OEUVRE</t>
  </si>
  <si>
    <t>Second Œuvre</t>
  </si>
  <si>
    <t>LOTS_TECHNIQUES</t>
  </si>
  <si>
    <t>Lots Techniques</t>
  </si>
  <si>
    <t>NOM_LOT</t>
  </si>
  <si>
    <t>NB_ARTICLES</t>
  </si>
  <si>
    <t>TOTAL_CHINE</t>
  </si>
  <si>
    <t>NB_IMPORT</t>
  </si>
  <si>
    <t>NB_LOCAL</t>
  </si>
  <si>
    <t>TAUX_IMPORT</t>
  </si>
  <si>
    <t>Gros Œuvre et Démolition</t>
  </si>
  <si>
    <t>Menuiserie Aluminium et Vitrerie</t>
  </si>
  <si>
    <t>TOTAL</t>
  </si>
  <si>
    <t>LIBELLE</t>
  </si>
  <si>
    <t>Alucobond</t>
  </si>
  <si>
    <t>Menuiserie Aluminium</t>
  </si>
  <si>
    <t>SECURITE</t>
  </si>
  <si>
    <t>Sécurité Incendie</t>
  </si>
  <si>
    <t>Faux Plafonds</t>
  </si>
  <si>
    <t>VIDEO_SURV</t>
  </si>
  <si>
    <t>CENTRALE_SOL</t>
  </si>
  <si>
    <t>GROUPE_ELEC</t>
  </si>
  <si>
    <t>CAPEX_LOCAL</t>
  </si>
  <si>
    <t>CAPEX_IMPORT</t>
  </si>
  <si>
    <t>ECONOMIE_GLOBALE</t>
  </si>
  <si>
    <t>NB_TOTAL</t>
  </si>
  <si>
    <t>NB_ARBITRAGE</t>
  </si>
  <si>
    <t>TAUX_IMPORT_LIGNES</t>
  </si>
  <si>
    <t>RISQUE_MOYEN</t>
  </si>
  <si>
    <t>IGC_FINAL</t>
  </si>
  <si>
    <t>TOTAL LOCAL</t>
  </si>
  <si>
    <t>TOTAL CHINE</t>
  </si>
  <si>
    <t>ÉCONOMIE</t>
  </si>
  <si>
    <t>TAUX GAIN</t>
  </si>
  <si>
    <t>RISQUE</t>
  </si>
  <si>
    <t>POIDS PROJET</t>
  </si>
  <si>
    <t>CLASSE</t>
  </si>
  <si>
    <t>IPI</t>
  </si>
  <si>
    <t>DÉCISION</t>
  </si>
  <si>
    <t>—</t>
  </si>
  <si>
    <t>A</t>
  </si>
  <si>
    <t>IMPORT PRIORITAIRE</t>
  </si>
  <si>
    <t>Menuiserie Alu &amp; Vitrerie</t>
  </si>
  <si>
    <t>🎯  INTELLIGENCE DÉCISIONNELLE — MATRICE IMPORT / LOCAL / ARBITRAGE · PNMC</t>
  </si>
  <si>
    <t>ROI</t>
  </si>
  <si>
    <t>SCORE GLOBAL</t>
  </si>
  <si>
    <t>QUADRANT</t>
  </si>
  <si>
    <t>DÉCISION STRATÉGIQUE</t>
  </si>
  <si>
    <t>NIVEAU PRIORITÉ</t>
  </si>
  <si>
    <t>DRAPEAU RISQUE</t>
  </si>
  <si>
    <t>RECOMMANDATION</t>
  </si>
  <si>
    <t>⬜ Gain Nul / Local</t>
  </si>
  <si>
    <t>🟢 FAIBLE</t>
  </si>
  <si>
    <t>✅ OK</t>
  </si>
  <si>
    <t>Exécution locale obligatoire — structure</t>
  </si>
  <si>
    <t>🟢 Gain Fort / Risque Faible</t>
  </si>
  <si>
    <t>Import fortement recommandé — économies &gt;60%</t>
  </si>
  <si>
    <t>Analyser sourcing mixte ou négocier local</t>
  </si>
  <si>
    <t>🟡 MOYENNE</t>
  </si>
  <si>
    <t>➡️ MODÉRÉ</t>
  </si>
  <si>
    <t>Import recommandé — vérifier délais &amp; logistique</t>
  </si>
  <si>
    <t>🟡 Gain Fort / Risque Élevé</t>
  </si>
  <si>
    <t>🔴 CRITIQUE</t>
  </si>
  <si>
    <t>⚠️ ÉLEVÉ</t>
  </si>
  <si>
    <t>🟠 HAUTE</t>
  </si>
  <si>
    <t>📊  KPI PROJET — PNMC MEDICAL CENTER POINTE NOIRE</t>
  </si>
  <si>
    <t>INDICATEUR</t>
  </si>
  <si>
    <t>VALEUR</t>
  </si>
  <si>
    <t>UNITÉ</t>
  </si>
  <si>
    <t>── KPI FINANCIERS ──</t>
  </si>
  <si>
    <t>CAPEX Local Total</t>
  </si>
  <si>
    <t>Budget total exécution 100% locale</t>
  </si>
  <si>
    <t>CAPEX Optimisé Chine</t>
  </si>
  <si>
    <t>Budget si sourcing Chine maximisé</t>
  </si>
  <si>
    <t>Économie Globale Nette</t>
  </si>
  <si>
    <t>Gain potentiel sourcing Chine</t>
  </si>
  <si>
    <t>Taux Économie Global</t>
  </si>
  <si>
    <t>Réduction CAPEX par import</t>
  </si>
  <si>
    <t>ROI Import Global</t>
  </si>
  <si>
    <t>Rendement brut du sourcing Chine</t>
  </si>
  <si>
    <t>IGC — Indice Global Comp.</t>
  </si>
  <si>
    <t>Gain net ajusté risque logistique</t>
  </si>
  <si>
    <t>── KPI OPÉRATIONNELS ──</t>
  </si>
  <si>
    <t>NB Articles Total</t>
  </si>
  <si>
    <t>Articles dans le DQE complet</t>
  </si>
  <si>
    <t>NB Articles Import</t>
  </si>
  <si>
    <t>Articles orientation IMPORT (gain&gt;5%)</t>
  </si>
  <si>
    <t>NB Articles Local</t>
  </si>
  <si>
    <t>Articles sans avantage Chine</t>
  </si>
  <si>
    <t>NB Articles Arbitrage</t>
  </si>
  <si>
    <t>Articles à décision mixte</t>
  </si>
  <si>
    <t>Taux Import (lignes)</t>
  </si>
  <si>
    <t>% lignes orientées import</t>
  </si>
  <si>
    <t>── KPI RISQUE &amp; STRATÉGIE ──</t>
  </si>
  <si>
    <t>Risque Moyen Global</t>
  </si>
  <si>
    <t>Score /5 — logistique &amp; douane</t>
  </si>
  <si>
    <t>Lots Risque Critique (≥3)</t>
  </si>
  <si>
    <t>Lots nécessitant plan de mitigation</t>
  </si>
  <si>
    <t>Lots Classe A (top)</t>
  </si>
  <si>
    <t>Lots priorité maximale import</t>
  </si>
  <si>
    <t>Score Stratégique Max</t>
  </si>
  <si>
    <t>Meilleur score calculé</t>
  </si>
  <si>
    <t>IPI Max</t>
  </si>
  <si>
    <t>Indice Priorité Import le plus élevé</t>
  </si>
  <si>
    <t>── TOP OPPORTUNITÉS ──</t>
  </si>
  <si>
    <t>Meilleur Taux Gain</t>
  </si>
  <si>
    <t>Lot : Lot 11</t>
  </si>
  <si>
    <t>Meilleure Économie Absolue</t>
  </si>
  <si>
    <t>Lot : Lot 13</t>
  </si>
  <si>
    <t>Lot Meilleur Score</t>
  </si>
  <si>
    <t>Score stratégique le plus élevé</t>
  </si>
  <si>
    <t>📍  MATRICE GAIN / RISQUE — DONNÉES GRAPHIQUE DIRECTIONNEL · PNMC</t>
  </si>
  <si>
    <t>RISQUE MOY.</t>
  </si>
  <si>
    <t>📊  DASHBOARD DIRECTION — PNMC MEDICAL CENTER POINTE NOIRE</t>
  </si>
  <si>
    <t>Moteur Décisionnel Import / Local · V2.0 · 2026-03-01 · Devise FCFA · 318 articles · 17 lots</t>
  </si>
  <si>
    <t>💰 CAPEX LOCAL</t>
  </si>
  <si>
    <t>🇨🇳 CAPEX OPTIMISÉ</t>
  </si>
  <si>
    <t>✅ ÉCONOMIE NETTE</t>
  </si>
  <si>
    <t>0.814 Mrd FCFA</t>
  </si>
  <si>
    <t>0.534 Mrd FCFA</t>
  </si>
  <si>
    <t>279.7 M FCFA</t>
  </si>
  <si>
    <t>813,605,955 FCFA</t>
  </si>
  <si>
    <t>533,930,459 FCFA</t>
  </si>
  <si>
    <t>Taux : 34.4%</t>
  </si>
  <si>
    <t>▌  SYNTHÈSE PAR LOT — Comparaison Local vs Chine</t>
  </si>
  <si>
    <t>DÉSIGNATION</t>
  </si>
  <si>
    <t>GAIN %</t>
  </si>
  <si>
    <t>Menuiserie Métallique et Ferronnerie</t>
  </si>
  <si>
    <t>Sécurité Incendie et Vidéo Surveillance</t>
  </si>
  <si>
    <t>Faux Plafonds et Cloisons BA13</t>
  </si>
  <si>
    <t>▌  TOP 5 LOTS — MEILLEURES OPPORTUNITÉS D'IMPORT</t>
  </si>
  <si>
    <t>ÉCONOMIE (FCFA)</t>
  </si>
  <si>
    <t>▌  LOTS À RISQUE ÉLEVÉ — Mitigation requise</t>
  </si>
  <si>
    <t>NIVEAU</t>
  </si>
  <si>
    <t>DRAPEAU</t>
  </si>
  <si>
    <t>📊 RÉCAPITULATIF — PROJET MÉDICAL CENTER POINTE NOIRE</t>
  </si>
  <si>
    <t>CAPEX LOCAL TOTAL</t>
  </si>
  <si>
    <t>CAPEX OPTIMISÉ CHINE</t>
  </si>
  <si>
    <t>ÉCONOMIE GLOBALE</t>
  </si>
  <si>
    <t>TAUX D'ÉCONOMIE</t>
  </si>
  <si>
    <t>NB ARTICLES TOTAL</t>
  </si>
  <si>
    <t>NB ARTICLES IMPORT</t>
  </si>
  <si>
    <t>RISQUE MOYEN</t>
  </si>
  <si>
    <t>PROJ-MED-PNR-2025</t>
  </si>
  <si>
    <t>PRINCIPAL</t>
  </si>
  <si>
    <t>RDC</t>
  </si>
  <si>
    <t>ANNEXE</t>
  </si>
  <si>
    <t>ETAGE 1</t>
  </si>
  <si>
    <t>ETAGE 2</t>
  </si>
  <si>
    <t>FONDATIONS</t>
  </si>
  <si>
    <t>Béton 400 hydr (Amorces poteaux)</t>
  </si>
  <si>
    <t>Coffrage (Amorces poteaux)</t>
  </si>
  <si>
    <t>Acier (Amorces poteaux)</t>
  </si>
  <si>
    <t>Béton 400 hydr (Longrines)</t>
  </si>
  <si>
    <t>Coffrage (Longrines)</t>
  </si>
  <si>
    <t>Acier (Longrines)</t>
  </si>
  <si>
    <t>Béton (Dallage sol)</t>
  </si>
  <si>
    <t>Coffrage (Dallage sol)</t>
  </si>
  <si>
    <t>Acier (Dallage sol)</t>
  </si>
  <si>
    <t>Béton 400 hydr (Dallage sol - Annexe)</t>
  </si>
  <si>
    <t>Coffrage (Dallage sol - Annexe)</t>
  </si>
  <si>
    <t>Acier (Dallage sol - Annexe)</t>
  </si>
  <si>
    <t>Béton 400 (Poteaux RDC)</t>
  </si>
  <si>
    <t>Coffrage (Poteaux RDC)</t>
  </si>
  <si>
    <t>Acier (Poteaux RDC)</t>
  </si>
  <si>
    <t>Béton 350 (Poutres RDC)</t>
  </si>
  <si>
    <t>Coffrage (Poutres RDC)</t>
  </si>
  <si>
    <t>Acier (Poutres RDC)</t>
  </si>
  <si>
    <t>Béton 350 (Chainages RDC)</t>
  </si>
  <si>
    <t>Coffrage (Chainages RDC)</t>
  </si>
  <si>
    <t>Acier (Chainages RDC)</t>
  </si>
  <si>
    <t>Béton 400 (Linteaux RDC)</t>
  </si>
  <si>
    <t>Coffrage (Linteaux RDC)</t>
  </si>
  <si>
    <t>Acier (Linteaux RDC)</t>
  </si>
  <si>
    <t>Béton 350 (Escalier RDC)</t>
  </si>
  <si>
    <t>Coffrage (Escalier RDC)</t>
  </si>
  <si>
    <t>Acier (Escalier RDC)</t>
  </si>
  <si>
    <t>Béton 350 (Marches d'accès)</t>
  </si>
  <si>
    <t>Coffrage (Marches d'accès)</t>
  </si>
  <si>
    <t>Béton 350 (Voile ascenseur)</t>
  </si>
  <si>
    <t>DUPLEX 1</t>
  </si>
  <si>
    <t>Coffrage (Voile ascenseur)</t>
  </si>
  <si>
    <t>Acier (Voile ascenseur)</t>
  </si>
  <si>
    <t>DUPLEX 2</t>
  </si>
  <si>
    <t>TERRASSE</t>
  </si>
  <si>
    <t>Revêtement bicouche</t>
  </si>
  <si>
    <t>Revêtement bicouche sous protection</t>
  </si>
  <si>
    <t>Baie vitrée en alu 220x527</t>
  </si>
  <si>
    <t>Baie vitrée en alu 220x242</t>
  </si>
  <si>
    <t>Baie vitrée en alu 120x200</t>
  </si>
  <si>
    <t>Baie vitrée en alu 120x140</t>
  </si>
  <si>
    <t>Baie vitrée en alu 120x160</t>
  </si>
  <si>
    <t>Baie vitrée en alu 100x120</t>
  </si>
  <si>
    <t>Baie vitrée en alu 60x60</t>
  </si>
  <si>
    <t>Baie vitrée en alu 220x245</t>
  </si>
  <si>
    <t>Baie vitrée en alu 220x150</t>
  </si>
  <si>
    <t>Baie vitrée en alu 220x120</t>
  </si>
  <si>
    <t>Baie vitrée en alu 220x90</t>
  </si>
  <si>
    <t>Baie vitrée en alu 220x80</t>
  </si>
  <si>
    <t>Baie vitrée en alu 120x120</t>
  </si>
  <si>
    <t>Baie vitrée en alu 298x300</t>
  </si>
  <si>
    <t>Baie vitrée en alu 180x220</t>
  </si>
  <si>
    <t>Baie vitrée en alu 220x250</t>
  </si>
  <si>
    <t>Baie vitrée en alu 150x120</t>
  </si>
  <si>
    <t>Baie vitrée en alu 200x120</t>
  </si>
  <si>
    <t>Baie vitrée en alu 300x220</t>
  </si>
  <si>
    <t>Baie vitrée en alu 80x120</t>
  </si>
  <si>
    <t>Baie vitrée en alu 160x120</t>
  </si>
  <si>
    <t>Baie vitrée en alu 404x220</t>
  </si>
  <si>
    <t>Baie vitrée en alu 567x220</t>
  </si>
  <si>
    <t>Baie vitrée en alu 561x220</t>
  </si>
  <si>
    <t>PL 275 x 200 ouvrant à la française</t>
  </si>
  <si>
    <t>PL 315 x 200 ouvrant à la française</t>
  </si>
  <si>
    <t>PL 215 x 200 ouvrant à la française</t>
  </si>
  <si>
    <t>PL 227 x 200 ouvrant à la française</t>
  </si>
  <si>
    <t>PL 299 x 200 ouvrant à la française</t>
  </si>
  <si>
    <t>PL 325 x 200 ouvrant à la française</t>
  </si>
  <si>
    <t>PB 90 x 220 ouvrant à la française</t>
  </si>
  <si>
    <t>PL 302 x 250 ouvrant à la française</t>
  </si>
  <si>
    <t>PL 180 x 250 ouvrant à la française</t>
  </si>
  <si>
    <t>PL 300 x 250 ouvrant à la française</t>
  </si>
  <si>
    <t>PL 230 x 250 ouvrant à la française</t>
  </si>
  <si>
    <t>DOMAINE</t>
  </si>
  <si>
    <t>INSTALL</t>
  </si>
  <si>
    <t>DEMO</t>
  </si>
  <si>
    <t>MACON</t>
  </si>
  <si>
    <t>ETANCH</t>
  </si>
  <si>
    <t>REVET</t>
  </si>
  <si>
    <t>MEN</t>
  </si>
  <si>
    <t>ELEC</t>
  </si>
  <si>
    <t>CLIM</t>
  </si>
  <si>
    <t>SSI</t>
  </si>
  <si>
    <t>VIDEO</t>
  </si>
  <si>
    <t>PLOMB</t>
  </si>
  <si>
    <t>FP</t>
  </si>
  <si>
    <t>ASC</t>
  </si>
  <si>
    <t>PEINT</t>
  </si>
  <si>
    <t>CDA</t>
  </si>
  <si>
    <t>9</t>
  </si>
  <si>
    <t>10</t>
  </si>
  <si>
    <t>11</t>
  </si>
  <si>
    <t>13</t>
  </si>
  <si>
    <t>14</t>
  </si>
  <si>
    <t>TOTAL_ECONOMIE</t>
  </si>
  <si>
    <t>IPI_FAM</t>
  </si>
  <si>
    <t>NB_LIGNES</t>
  </si>
  <si>
    <t>TAUX_ECO</t>
  </si>
  <si>
    <t>DECISION_DOMINANTE</t>
  </si>
  <si>
    <t>MIXTE</t>
  </si>
  <si>
    <t>LOCAL_DOMINANT</t>
  </si>
  <si>
    <t>IMPORT_DOMINANT</t>
  </si>
  <si>
    <t>TAUX_ECO_MOYEN</t>
  </si>
  <si>
    <t>CAUSE_DOMINANTE</t>
  </si>
  <si>
    <t>IMPORT_PLUS_CHER</t>
  </si>
  <si>
    <t>NON_IMPORTABLE_STRUCTUREL</t>
  </si>
  <si>
    <t>IMPORT_STRATEGIQUE</t>
  </si>
  <si>
    <t>IPI_LOT</t>
  </si>
  <si>
    <t>IPI_PROJET</t>
  </si>
  <si>
    <t>SCORE_GLOBAL</t>
  </si>
  <si>
    <t>NB_FAMILLES_IMPORT</t>
  </si>
  <si>
    <t>NB_LOTS_IMPORT</t>
  </si>
  <si>
    <t>[Table]</t>
  </si>
  <si>
    <t>NOTE_STRATEGIQUE</t>
  </si>
  <si>
    <t>ZONE_STRATEGIQUE</t>
  </si>
  <si>
    <t>SCORE_STRATEGIQUE</t>
  </si>
  <si>
    <t>PU_CHINE</t>
  </si>
  <si>
    <t>PRIX_LOCAL_OK</t>
  </si>
  <si>
    <t>PRIX_CHINE_OK</t>
  </si>
  <si>
    <t>DQE_MEDICAL CENTER_13-08-2026</t>
  </si>
  <si>
    <t>NIVEAU_KEY</t>
  </si>
  <si>
    <t>BAT_PRINCIPAL_GLOBAL</t>
  </si>
  <si>
    <t>BAT_PRINCIPAL_RDC</t>
  </si>
  <si>
    <t>BAT_ANNEXE_ETAGE 1</t>
  </si>
  <si>
    <t>BAT_PRINCIPAL_ETAGE 2</t>
  </si>
  <si>
    <t>BAT_PRINCIPAL_FONDATIONS</t>
  </si>
  <si>
    <t>BAT_ANNEXE_FONDATIONS</t>
  </si>
  <si>
    <t>BAT_PRINCIPAL_DUPLEX 1</t>
  </si>
  <si>
    <t>BAT_PRINCIPAL_ETAGE 1</t>
  </si>
  <si>
    <t>BAT_PRINCIPAL_DUPLEX 2</t>
  </si>
  <si>
    <t>BAT_PRINCIPAL_TERRASSE</t>
  </si>
  <si>
    <t>BAT_ANNEXE_TERRASSE</t>
  </si>
  <si>
    <t>BAT_ANNEXE_RDC</t>
  </si>
  <si>
    <t>BAT_ANNEXE_GLOBAL</t>
  </si>
  <si>
    <t>🔍  AUDIT COMPLET — MODULE 04_ANALYSE_CHANTIER · SP2i · PNMC</t>
  </si>
  <si>
    <t>Centre Médical Pointe-Noire · Moteur Décisionnel Chantier V2.0 · Date audit : 2026-03-09</t>
  </si>
  <si>
    <t>ÉLÉMENT AUDITÉ</t>
  </si>
  <si>
    <t>SÉVÉRITÉ</t>
  </si>
  <si>
    <t>DÉTAIL / RECOMMANDATION</t>
  </si>
  <si>
    <t>═══ PARTIE 1 : AUDIT STRUCTUREL DU MODÈLE ═══</t>
  </si>
  <si>
    <t>1.1  Architecture FACT / DIM — Conformité étoile</t>
  </si>
  <si>
    <t>✅ CONFORME</t>
  </si>
  <si>
    <t>Le modèle suit un schéma en étoile classique : 1 table FACT_METRE (301 lignes, 13 colonnes) reliée à 5 dimensions. Conforme aux standards BI.</t>
  </si>
  <si>
    <t xml:space="preserve">    → FACT_METRE (table de faits centrale)</t>
  </si>
  <si>
    <t>301 lignes de données métrées · 13 colonnes · Clés : PROJET_ID, LOT_ID, FAM_ARTICLE_ID, BATIMENT_ID, NIVEAU_ID, NIVEAU_KEY</t>
  </si>
  <si>
    <t xml:space="preserve">    → DIM_PROJET (1 ligne)</t>
  </si>
  <si>
    <t>⚠️ ALERTE</t>
  </si>
  <si>
    <t>PROJET_ID = 'PNR_MEDICAL_CENTER' dans DIM_PROJET mais 'PROJ-MED-PNR-2025' dans FACT_METRE. INCOHÉRENCE DE CLÉ PRIMAIRE — la jointure est rompue.</t>
  </si>
  <si>
    <t xml:space="preserve">    → DIM_BATIMENT (2 lignes)</t>
  </si>
  <si>
    <t>BAT_PRINCIPAL et BAT_ANNEXE parfaitement alignés entre FACT et DIM. PROJET_ID dans DIM_BATIMENT = 'PNR_MEDICAL_CENTER' (même incohérence que DIM_PROJET).</t>
  </si>
  <si>
    <t xml:space="preserve">    → DIM_LOT (14 lignes)</t>
  </si>
  <si>
    <t>14 lots dans DIM_LOT, 14 LOT_ID distincts dans FACT_METRE. Aucun orphelin détecté. Jointure intégrale.</t>
  </si>
  <si>
    <t xml:space="preserve">    → DIM_NIVEAU (13 lignes)</t>
  </si>
  <si>
    <t>13 NIVEAU_KEY uniques, aucun doublon. Parfait alignement FACT ↔ DIM. Clé composite BATIMENT_ID + NIVEAU_ID correctement dénormalisée.</t>
  </si>
  <si>
    <t xml:space="preserve">    → DIM_FAM_ARTICLE (17 lignes)</t>
  </si>
  <si>
    <t>17 familles en DIM mais seulement 13 dans FACT_METRE. Familles absentes : FA_006, FA_007, FA_016, FA_017 — articles non encore métrés ou erreur de chargement.</t>
  </si>
  <si>
    <t>1.2  Cardinalité des relations</t>
  </si>
  <si>
    <t xml:space="preserve">    FACT → DIM_PROJET</t>
  </si>
  <si>
    <t>⚠️ RUPTURE</t>
  </si>
  <si>
    <t>Cardinalité théorique N:1 mais clé PROJET_ID incohérente ('PROJ-MED-PNR-2025' ≠ 'PNR_MEDICAL_CENTER'). Jointure IMPOSSIBLE en Power BI sans transformation.</t>
  </si>
  <si>
    <t xml:space="preserve">    FACT → DIM_BATIMENT</t>
  </si>
  <si>
    <t>✅ N:1</t>
  </si>
  <si>
    <t>2 valeurs distinctes dans FACT, 2 lignes dans DIM. Cardinalité correcte.</t>
  </si>
  <si>
    <t xml:space="preserve">    FACT → DIM_LOT</t>
  </si>
  <si>
    <t>14 LOT_ID dans les deux tables. Couverture 100%.</t>
  </si>
  <si>
    <t xml:space="preserve">    FACT → DIM_NIVEAU (via NIVEAU_KEY)</t>
  </si>
  <si>
    <t>13 NIVEAU_KEY uniques. Jointure via clé composite fonctionnelle.</t>
  </si>
  <si>
    <t xml:space="preserve">    FACT → DIM_FAM_ARTICLE</t>
  </si>
  <si>
    <t>⚠️ PARTIELLE</t>
  </si>
  <si>
    <t>13/17 familles couvertes. 4 familles orphelines dans DIM (FA_006, FA_007, FA_016, FA_017). Pas bloquant mais fausse le comptage NB_FAMILLES.</t>
  </si>
  <si>
    <t>1.3  Qualité des clés</t>
  </si>
  <si>
    <t xml:space="preserve">    NIVEAU_KEY (clé composite)</t>
  </si>
  <si>
    <t>✅ BONNE</t>
  </si>
  <si>
    <t>Format 'BATIMENT_ID_NIVEAU_ID' · 13 valeurs uniques · Aucun doublon. Design Pattern correct pour gérer la hiérarchie multi-bâtiment.</t>
  </si>
  <si>
    <t xml:space="preserve">    LOT_ID (numérique)</t>
  </si>
  <si>
    <t>⚠️ RISQUE</t>
  </si>
  <si>
    <t>LOT_ID stocké comme nombre dans FACT (1, 2, 3...) mais comme texte '1', '2' dans certaines tables analytics. Risque de non-jointure en Power BI si types mixtes.</t>
  </si>
  <si>
    <t xml:space="preserve">    PROJET_ID</t>
  </si>
  <si>
    <t>🔴 ERREUR</t>
  </si>
  <si>
    <t>DOUBLE STANDARD : 'PROJ-MED-PNR-2025' (FACT_METRE, DIM_NIVEAU) vs 'PNR_MEDICAL_CENTER' (DIM_PROJET, DIM_BATIMENT). CORRECTION URGENTE.</t>
  </si>
  <si>
    <t>═══ PARTIE 2 : AUDIT DES MESURES / CALCULS ═══</t>
  </si>
  <si>
    <t>2.1  MONTANT_LOCAL</t>
  </si>
  <si>
    <t>Total FACT_METRE : 877 315 229 FCFA · Concordance avec ANALYTICS_SYNTHESE_PROJET (877 315 229). Aucun écart.</t>
  </si>
  <si>
    <t>2.2  MONTANT_IMPORT</t>
  </si>
  <si>
    <t>97 cellules vides sur 301 (32.2%). Ces vides représentent des articles LOCAL sans prix Chine. Correct logiquement mais RISQUE si agrégé sans IFERROR/gestion null.</t>
  </si>
  <si>
    <t>2.3  ECONOMIE_NETTE</t>
  </si>
  <si>
    <t>⚠️ ATTENTION</t>
  </si>
  <si>
    <t>35 lignes avec économie négative (11.6%). Normal pour articles plus chers en import. Mais ANALYTICS_SYNTHESE_PROJET affiche 631.8 M FCFA d'économie (inclut import + local). Vérifier que ce total est bien filtré.</t>
  </si>
  <si>
    <t>2.4  TAUX_ECONOMIE</t>
  </si>
  <si>
    <t>Calcul cohérent : ECONOMIE_NETTE / MONTANT_LOCAL. Négatif quand import plus cher. Logique correcte.</t>
  </si>
  <si>
    <t>2.5  DECISION (LOCAL/IMPORT/ARBITRAGE)</t>
  </si>
  <si>
    <t>3 valeurs : IMPORT (227), LOCAL (56), ARBITRAGE (18). Total = 301 lignes. Cohérent.</t>
  </si>
  <si>
    <t>2.6  Écart totaux entre modules</t>
  </si>
  <si>
    <t>TOTAL_LOCAL discordant : FACT_METRE = 877.3 M · 05_DM_PROJET = 813.6 M · ANALYTICS_IPI_PROJET = 725.4 M. TROIS TOTAUX DIFFÉRENTS pour le même projet. Source d'erreur majeure.</t>
  </si>
  <si>
    <t xml:space="preserve">    → Hypothèse écart FACT vs 05_DM</t>
  </si>
  <si>
    <t>05_DM_PROJET (813.6M) utilise probablement un périmètre différent (hors FA_005 Lot 4+6 ou exclusion articles). À vérifier avec la requête Power Query source.</t>
  </si>
  <si>
    <t xml:space="preserve">    → Hypothèse écart IPI_PROJET</t>
  </si>
  <si>
    <t>ANALYTICS_IPI_PROJET (725.4M) exclut probablement les articles FA_001 (Gros Œuvre non importable) du calcul. Logique si IPI ne concerne que les importables, mais NON DOCUMENTÉ.</t>
  </si>
  <si>
    <t>2.7  IPI (Indice Performance Import)</t>
  </si>
  <si>
    <t>Deux IPI projet différents : 0.720 (ANALYTICS_SYNTHESE) vs 0.810 (ANALYTICS_IPI_PROJET). Formules de calcul divergentes. L'IPI 0.81 exclut FA_001 (non importable). À harmoniser.</t>
  </si>
  <si>
    <t>2.8  Risque double agrégation</t>
  </si>
  <si>
    <t>Les tables ANALYTICS agrègent directement depuis FACT_METRE. Pas de double agrégation détectée. Chaque couche est indépendante.</t>
  </si>
  <si>
    <t>2.9  Gestion des valeurs nulles</t>
  </si>
  <si>
    <t>MONTANT_IMPORT vide (pas 0) pour 97 lignes. En Power BI, SUM ignore les blancs mais AVERAGE les exclut. Risque de biais sur moyennes.</t>
  </si>
  <si>
    <t>═══ PARTIE 3 : AUDIT DES AGRÉGATIONS CHANTIER ═══</t>
  </si>
  <si>
    <t>3.1  Agrégation par LOT</t>
  </si>
  <si>
    <t>✅ VÉRIFIÉ</t>
  </si>
  <si>
    <t>14 lots dans ANALYTICS_SYNTHESE_LOT. Cross-check FACT_METRE : les totaux LOCAL par lot concordent à l'arrondi flottant près (&lt;0.01 FCFA). Agrégation correcte.</t>
  </si>
  <si>
    <t>3.2  Agrégation par BATIMENT</t>
  </si>
  <si>
    <t>BAT_PRINCIPAL : 753.8M LOCAL (FACT) = 753.8M (ANALYTICS). BAT_ANNEXE : 123.6M = 123.6M. Concordance parfaite.</t>
  </si>
  <si>
    <t>3.3  Agrégation par NIVEAU</t>
  </si>
  <si>
    <t>13 niveaux dans ANALYTICS_BATIMENT_NIVEAU, 13 NIVEAU_KEY dans FACT_METRE. Sommes vérifiées par bâtiment.</t>
  </si>
  <si>
    <t>3.4  Agrégation par FAM_ARTICLE</t>
  </si>
  <si>
    <t>13 familles dans ANALYTICS_DIAGNOSTIC_FAM. Concordance des totaux LOCAL et IMPORT avec agrégation directe depuis FACT.</t>
  </si>
  <si>
    <t>3.5  Agrégation PROJET (global)</t>
  </si>
  <si>
    <t>🔴 INCOHÉRENT</t>
  </si>
  <si>
    <t>3 totaux projet différents selon la table : 877.3M (ANALYTICS_SYNTHESE) vs 813.6M (05_DM_PROJET/KPI) vs 725.4M (IPI_PROJET). Le dashboard Direction utilise 813.6M.</t>
  </si>
  <si>
    <t xml:space="preserve">    → Impact décisionnel</t>
  </si>
  <si>
    <t>Le dirigeant voit 813.6 M FCFA comme CAPEX Local mais le modèle analytique calcule 877.3 M. Écart de 63.7 M FCFA (7.3%) non expliqué et non documenté.</t>
  </si>
  <si>
    <t>3.6  Lot 1 (Gros Œuvre) — cas critique</t>
  </si>
  <si>
    <t>⚠️ ANOMALIE</t>
  </si>
  <si>
    <t>Lot 1 : NB_IMPORT = 0 dans FACT_METRE mais DECISION_DOMINANTE = 'IMPORT_DOMINANT' dans ANALYTICS_SYNTHESE_LOT. Contradiction logique. La règle de dominance est probablement basée sur l'économie positive, pas sur le champ DECISION.</t>
  </si>
  <si>
    <t>3.7  Lot 14 (Peinture) — économie négative</t>
  </si>
  <si>
    <t>✅ LOGIQUE</t>
  </si>
  <si>
    <t>ECONOMIE = -6.9 M FCFA. Import plus cher que local. DECISION = LOCAL pour toutes les lignes. Cohérent avec le modèle.</t>
  </si>
  <si>
    <t>3.8  ANALYTICS_VUE_CHANTIER (granularité fine)</t>
  </si>
  <si>
    <t>49 lignes (LOT × BATIMENT × NIVEAU × FAM). Granularité correcte pour drill-down. Concordance avec ANALYTICS_HIERARCHIE.</t>
  </si>
  <si>
    <t>═══ PARTIE 4 : AUDIT DÉCISIONNEL — RÉPONSE AUX 4 QUESTIONS CLÉS ═══</t>
  </si>
  <si>
    <t>Q1 : Combien coûte le projet ?</t>
  </si>
  <si>
    <t>⚠️ AMBIGU</t>
  </si>
  <si>
    <t>Trois réponses selon la source : 877.3M (analytique brut), 813.6M (dashboard direction), 725.4M (périmètre importable). Le dirigeant ne peut pas répondre avec certitude. Il faut UN chiffre officiel clairement étiqueté.</t>
  </si>
  <si>
    <t xml:space="preserve">    → CAPEX_LOCAL affiché</t>
  </si>
  <si>
    <t>Dashboard Direction affiche '0.814 Mrd FCFA' (813.6M). Mais l'analytique montre 877.3M. Source de confusion.</t>
  </si>
  <si>
    <t xml:space="preserve">    → Recommandation</t>
  </si>
  <si>
    <t>Créer une hiérarchie claire : CAPEX_BRUT_TOTAL (877.3M) → CAPEX_HORS_GO (excl. Gros Œuvre non importable) → CAPEX_OPTIMISE → ECONOMIE_NETTE</t>
  </si>
  <si>
    <t>Q2 : Où est concentré le budget ?</t>
  </si>
  <si>
    <t>✅ RÉPONDU</t>
  </si>
  <si>
    <t>L'analyse Pareto, la hiérarchie LOT/BATIMENT/NIVEAU et le Score Stratégique permettent d'identifier clairement les zones de concentration. Top 3 lots = 46% du budget.</t>
  </si>
  <si>
    <t xml:space="preserve">    → Top 3 concentrations</t>
  </si>
  <si>
    <t>Lot 3 (Revêtements) : 175.3M (20%) · Lot 4 (Menuiserie Alu) : 125.5M (14.3%) · Lot 1 (Gros Œuvre) : 101.6M (11.6%)</t>
  </si>
  <si>
    <t>Q3 : Quels articles importer ?</t>
  </si>
  <si>
    <t>ANALYTICS_DECISION_MATRIX + ANALYTICS_DIAGNOSTIC_FAM + Score Stratégique fournissent une matrice complète : 227 articles IMPORT, 56 LOCAL, 18 ARBITRAGE. Logique de scoring multicritères fonctionnelle.</t>
  </si>
  <si>
    <t xml:space="preserve">    → Pareto Import</t>
  </si>
  <si>
    <t>Top 4 articles = 43.8% de l'économie totale. BPU-ALUCOBOND-FP-184 seul = 13.5% de l'économie. Très bonne granularité.</t>
  </si>
  <si>
    <t>Q4 : Impact financier stratégie import ?</t>
  </si>
  <si>
    <t>⚠️ PARTIEL</t>
  </si>
  <si>
    <t>L'IPI et le Score Global existent mais l'impact est fragmenté entre 3 modules (07_INTELLIGENCE, 08_KPI, 09_MATRICE). Pas de vue consolidée unique.</t>
  </si>
  <si>
    <t xml:space="preserve">    → Économie nette affichée</t>
  </si>
  <si>
    <t>Dashboard : 279.7 M FCFA (34.4%). Analytics : 631.8 M FCFA (72%). Écart MAJEUR dû à des périmètres différents.</t>
  </si>
  <si>
    <t xml:space="preserve">    → ROI Import</t>
  </si>
  <si>
    <t>ROI moyen = 52.4% (KPI). Mais ROI par lot très variable : de 0.33x (Lot 3) à 4.17x (Lot 11). La moyenne masque la dispersion.</t>
  </si>
  <si>
    <t>═══ PARTIE 5 : RECOMMANDATIONS EXPERTES ═══</t>
  </si>
  <si>
    <t>🔴 R1 — CRITIQUE : Harmoniser PROJET_ID</t>
  </si>
  <si>
    <t>URGENTE</t>
  </si>
  <si>
    <t>🔴</t>
  </si>
  <si>
    <t>Unifier PROJET_ID = 'PROJ-MED-PNR-2025' partout (FACT, DIM_PROJET, DIM_BATIMENT, DIM_NIVEAU). Sinon jointure impossible en Power BI.</t>
  </si>
  <si>
    <t>🔴 R2 — CRITIQUE : Réconcilier les 3 totaux CAPEX</t>
  </si>
  <si>
    <t>Documenter explicitement : CAPEX_BRUT (877.3M, tous articles) vs CAPEX_BASE_DECISION (813.6M, excl. ?) vs CAPEX_IMPORTABLE (725.4M, hors GO). Chaque table doit porter un label clair.</t>
  </si>
  <si>
    <t>🔴 R3 — CRITIQUE : Corriger DECISION_DOMINANTE Lot 1</t>
  </si>
  <si>
    <t>Lot 1 a 0 articles IMPORT mais affiche 'IMPORT_DOMINANT'. Revoir la règle : si NB_IMPORT = 0, forcer LOCAL_DOMINANT.</t>
  </si>
  <si>
    <t>🟡 R4 — Compléter les familles manquantes</t>
  </si>
  <si>
    <t>IMPORTANTE</t>
  </si>
  <si>
    <t>🟡</t>
  </si>
  <si>
    <t>FA_006 (Menuiserie Métallique), FA_007 (Menuiserie Bois), FA_016 (Centrale Solaire), FA_017 (Groupe Électrogène) absentes de FACT_METRE. Vérifier si articles non encore chiffrés ou erreur PQ.</t>
  </si>
  <si>
    <t>🟡 R5 — Standardiser MONTANT_IMPORT null→0</t>
  </si>
  <si>
    <t>Remplacer les 97 cellules vides MONTANT_IMPORT par 0 pour les articles LOCAL. Évite les erreurs DAX/PQ sur AVERAGE et DIVIDE.</t>
  </si>
  <si>
    <t>🟡 R6 — Ajouter LOT_NOM dans FACT_METRE</t>
  </si>
  <si>
    <t>FACT_METRE contient LOT_ID mais pas LOT_NOM. Ajouter une colonne dénormalisée ou enrichir DIM_LOT avec description complète pour lisibilité Power BI.</t>
  </si>
  <si>
    <t>🟡 R7 — Créer mesure CAPEX_OPTIMISE unifiée</t>
  </si>
  <si>
    <t>Nouvelle mesure : CAPEX_OPTIMISE = SUMX(FACT, IF(DECISION='IMPORT', MONTANT_IMPORT, MONTANT_LOCAL)). Donne le coût réel après décision. Manque actuellement.</t>
  </si>
  <si>
    <t>🟢 R8 — Nouvelles mesures stratégiques</t>
  </si>
  <si>
    <t>SOUHAITÉE</t>
  </si>
  <si>
    <t>🟢</t>
  </si>
  <si>
    <t xml:space="preserve">    → TAUX_COUVERTURE_IMPORT</t>
  </si>
  <si>
    <t>1.1  Architecture FACT/DIM — Conformité étoile</t>
  </si>
  <si>
    <t>Schéma en étoile : 1 FACT_METRE (301 lignes, 13 cols) reliée à 5 DIM. Conforme standards BI.</t>
  </si>
  <si>
    <t xml:space="preserve">    → FACT_METRE (table de faits)</t>
  </si>
  <si>
    <t>301 lignes · 13 colonnes · Clés : PROJET_ID, LOT_ID, FAM_ARTICLE_ID, BATIMENT_ID, NIVEAU_KEY</t>
  </si>
  <si>
    <t>PROJET_ID = 'PNR_MEDICAL_CENTER' (DIM) vs 'PROJ-MED-PNR-2025' (FACT). JOINTURE ROMPUE.</t>
  </si>
  <si>
    <t>BAT_PRINCIPAL + BAT_ANNEXE alignés. Même incohérence PROJET_ID.</t>
  </si>
  <si>
    <t>14 lots DIM = 14 LOT_ID FACT. Aucun orphelin. Jointure intégrale.</t>
  </si>
  <si>
    <t>13 NIVEAU_KEY uniques, 0 doublon. Clé composite fonctionnelle.</t>
  </si>
  <si>
    <t>17 DIM vs 13 FACT. Absentes : FA_006, FA_007, FA_016, FA_017.</t>
  </si>
  <si>
    <t>🔴 RUPTURE</t>
  </si>
  <si>
    <t>Clé PROJET_ID incohérente. Jointure IMPOSSIBLE sans correction.</t>
  </si>
  <si>
    <t>2 valeurs dans FACT = 2 lignes DIM. Correct.</t>
  </si>
  <si>
    <t>14 LOT_ID concordants. Couverture 100%.</t>
  </si>
  <si>
    <t xml:space="preserve">    FACT → DIM_NIVEAU</t>
  </si>
  <si>
    <t>13 NIVEAU_KEY concordants. Jointure OK.</t>
  </si>
  <si>
    <t>13/17 familles couvertes. 4 orphelines dans DIM.</t>
  </si>
  <si>
    <t xml:space="preserve">    NIVEAU_KEY</t>
  </si>
  <si>
    <t>Format BATIMENT_NIVEAU · 13 uniques · 0 doublon.</t>
  </si>
  <si>
    <t xml:space="preserve">    LOT_ID</t>
  </si>
  <si>
    <t>Nombre dans FACT, texte dans certains analytics. Risque non-jointure Power BI.</t>
  </si>
  <si>
    <t>PROJ-MED-PNR-2025' (FACT/DIM_NIVEAU) vs 'PNR_MEDICAL_CENTER' (DIM_PROJET/BAT).</t>
  </si>
  <si>
    <t>Total FACT : 877 315 229 FCFA = ANALYTICS_SYNTHESE (877 315 229). 0 écart.</t>
  </si>
  <si>
    <t>97 cellules vides / 301 (32.2%). Articles LOCAL sans prix Chine. Risque si agrégé sans gestion null.</t>
  </si>
  <si>
    <t>35 lignes négatives (11.6%). Normal (import + cher). Mais total analytics inclut tout sans filtre.</t>
  </si>
  <si>
    <t>2.5  DECISION</t>
  </si>
  <si>
    <t>IMPORT: 227 · LOCAL: 56 · ARBITRAGE: 18 · Total = 301. Cohérent.</t>
  </si>
  <si>
    <t>2.6  ÉCART CRITIQUE DES TOTAUX</t>
  </si>
  <si>
    <t>3 totaux CAPEX : FACT=877.3M · 05_DM=813.6M · IPI=725.4M. Source erreur majeure.</t>
  </si>
  <si>
    <t xml:space="preserve">    → Écart FACT vs 05_DM</t>
  </si>
  <si>
    <t>05_DM utilise un périmètre différent (-63.7M). Non documenté.</t>
  </si>
  <si>
    <t xml:space="preserve">    → Écart IPI_PROJET</t>
  </si>
  <si>
    <t>IPI exclut probablement Gros Œuvre non importable. Non documenté.</t>
  </si>
  <si>
    <t>Deux IPI : 0.720 (SYNTHESE) vs 0.810 (IPI_PROJET). Périmètres divergents.</t>
  </si>
  <si>
    <t>2.8  Double agrégation</t>
  </si>
  <si>
    <t>Chaque couche ANALYTICS agrège depuis FACT. Pas de cascade.</t>
  </si>
  <si>
    <t>2.9  Gestion nulls</t>
  </si>
  <si>
    <t>97 MONTANT_IMPORT vides. SUM OK mais AVERAGE biaisé en Power BI.</t>
  </si>
  <si>
    <t>14 lots concordants FACT ↔ ANALYTICS à l'arrondi flottant près.</t>
  </si>
  <si>
    <t>BAT_PRINCIPAL: 753.8M · BAT_ANNEXE: 123.6M · Concordance parfaite.</t>
  </si>
  <si>
    <t>13 niveaux dans ANALYTICS_BAT_NIVEAU = 13 NIVEAU_KEY FACT.</t>
  </si>
  <si>
    <t>13 familles concordantes FACT ↔ ANALYTICS_DIAGNOSTIC_FAM.</t>
  </si>
  <si>
    <t>3.5  Agrégation PROJET global</t>
  </si>
  <si>
    <t>877.3M vs 813.6M vs 725.4M. Le dirigeant voit 813.6M mais analytics calcule 877.3M. Écart 63.7M (7.3%).</t>
  </si>
  <si>
    <t>3.6  Lot 1 : anomalie DECISION</t>
  </si>
  <si>
    <t>0 articles IMPORT mais DECISION_DOMINANTE = 'IMPORT_DOMINANT'. Règle incohérente.</t>
  </si>
  <si>
    <t>3.7  Lot 14 : économie négative</t>
  </si>
  <si>
    <t>ECO = -6.9M. Import plus cher. DECISION = LOCAL. Cohérent.</t>
  </si>
  <si>
    <t>3.8  VUE_CHANTIER granularité</t>
  </si>
  <si>
    <t>49 lignes (LOT×BAT×NIV×FAM). Drill-down correct.</t>
  </si>
  <si>
    <t>═══ PARTIE 4 : AUDIT DÉCISIONNEL — 4 QUESTIONS CLÉS ═══</t>
  </si>
  <si>
    <t>3 réponses : 877.3M / 813.6M / 725.4M. Le dirigeant ne peut pas répondre.</t>
  </si>
  <si>
    <t xml:space="preserve">    → Recommandation Q1</t>
  </si>
  <si>
    <t>Créer hiérarchie : CAPEX_BRUT (877.3M) → CAPEX_DECISION (813.6M) → CAPEX_IMPORTABLE (725.4M).</t>
  </si>
  <si>
    <t>Q2 : Où est le budget ?</t>
  </si>
  <si>
    <t>Pareto + hiérarchie LOT/BAT/NIV. Top 3 lots = 46% du budget.</t>
  </si>
  <si>
    <t xml:space="preserve">    → Top 3</t>
  </si>
  <si>
    <t>Lot 3 : 175.3M (20%) · Lot 4 : 125.5M (14.3%) · Lot 1 : 101.6M (11.6%)</t>
  </si>
  <si>
    <t>DECISION_MATRIX + DIAGNOSTIC_FAM + Score multicritères. 227 IMPORT / 56 LOCAL / 18 ARBITRAGE.</t>
  </si>
  <si>
    <t xml:space="preserve">    → Pareto top 4</t>
  </si>
  <si>
    <t>4 articles = 43.8% de l'économie. BPU-ALUCOBOND seul = 13.5%.</t>
  </si>
  <si>
    <t>Q4 : Impact financier import ?</t>
  </si>
  <si>
    <t>IPI + Score Global existent mais fragmentés entre 3 modules (07/08/09). Pas de vue consolidée.</t>
  </si>
  <si>
    <t xml:space="preserve">    → Écart économie</t>
  </si>
  <si>
    <t>Dashboard : 279.7M (34.4%). Analytics : 631.8M (72%). Périmètres différents.</t>
  </si>
  <si>
    <t xml:space="preserve">    → ROI dispersé</t>
  </si>
  <si>
    <t>ROI moyen 52.4% mais de 0.33x (Lot 3) à 4.17x (Lot 11). Moyenne trompeuse.</t>
  </si>
  <si>
    <t>🔴 R1 — Harmoniser PROJET_ID</t>
  </si>
  <si>
    <t>Unifier = 'PROJ-MED-PNR-2025' partout. Jointure impossible sinon.</t>
  </si>
  <si>
    <t>🔴 R2 — Réconcilier les 3 CAPEX</t>
  </si>
  <si>
    <t>Documenter : CAPEX_BRUT (877.3M) vs CAPEX_DECISION (813.6M) vs CAPEX_IMPORTABLE (725.4M).</t>
  </si>
  <si>
    <t>🔴 R3 — Corriger DECISION Lot 1</t>
  </si>
  <si>
    <t>Lot 1 : NB_IMPORT=0 mais DECISION='IMPORT_DOMINANT'. Forcer LOCAL.</t>
  </si>
  <si>
    <t>🟡 R4 — Compléter 4 familles</t>
  </si>
  <si>
    <t>FA_006, FA_007, FA_016, FA_017 absentes de FACT. Vérifier PQ.</t>
  </si>
  <si>
    <t>🟡 R5 — Normaliser nulls→0</t>
  </si>
  <si>
    <t>97 MONTANT_IMPORT vides → mettre 0 pour articles LOCAL.</t>
  </si>
  <si>
    <t>🟡 R6 — Enrichir DIM_LOT</t>
  </si>
  <si>
    <t>Ajouter NOM_LOT, DESCRIPTION, FAM_ARTICLE_ID dans DIM_LOT.</t>
  </si>
  <si>
    <t>🟡 R7 — Créer CAPEX_OPTIMISE</t>
  </si>
  <si>
    <t>PARTIE 5 : RECOMMANDATIONS EXPERTES</t>
  </si>
  <si>
    <t>R1 : Harmoniser PROJET_ID</t>
  </si>
  <si>
    <t>CRITIQUE</t>
  </si>
  <si>
    <t>Unifier PROJ-MED-PNR-2025 partout</t>
  </si>
  <si>
    <t>R2 : Reconcilier CAPEX</t>
  </si>
  <si>
    <t>3 totaux differents non reconcilies</t>
  </si>
  <si>
    <t>R3 : Corriger DECISION Lot 1</t>
  </si>
  <si>
    <t>NB_IMPORT=0 mais DECISION=IMPORT_DOMINANT</t>
  </si>
  <si>
    <t>R4 : Completer 4 familles</t>
  </si>
  <si>
    <t>MOYENNE</t>
  </si>
  <si>
    <t>FA_006 FA_007 FA_016 FA_017 absentes FACT</t>
  </si>
  <si>
    <t>R5 : Normaliser nulls</t>
  </si>
  <si>
    <t>97 MONTANT_IMPORT vides - mettre 0</t>
  </si>
  <si>
    <t>R6 : Enrichir DIM_LOT</t>
  </si>
  <si>
    <t>Ajouter NOM_LOT DESCRIPTION FAM_ARTICLE_ID</t>
  </si>
  <si>
    <t>R7 : Creer CAPEX_OPTIMISE</t>
  </si>
  <si>
    <t>IF DECISION=IMPORT MONTANT_IMPORT else LOCAL</t>
  </si>
  <si>
    <t>R8 : Nouvelles mesures</t>
  </si>
  <si>
    <t>SOUHAITEE</t>
  </si>
  <si>
    <t>FAIBLE</t>
  </si>
  <si>
    <t xml:space="preserve">  TAUX_COUVERTURE_IMPORT</t>
  </si>
  <si>
    <t>NB_IMPORT / NB_IMPORTABLE</t>
  </si>
  <si>
    <t xml:space="preserve">  GAIN_MARGINAL_PAR_ARTICLE</t>
  </si>
  <si>
    <t>ECONOMIE / NB_ARTICLES par famille</t>
  </si>
  <si>
    <t xml:space="preserve">  INDICE_CONCENTRATION HHI</t>
  </si>
  <si>
    <t>Herfindahl distribution montants par LOT</t>
  </si>
  <si>
    <t xml:space="preserve">  SEUIL_RENTABILITE_IMPORT</t>
  </si>
  <si>
    <t>COUT_LOGISTIQUE / ECONOMIE = point mort</t>
  </si>
  <si>
    <t xml:space="preserve">  VARIANCE_ECONOMIE</t>
  </si>
  <si>
    <t>STDEV TAUX_ECO par famille</t>
  </si>
  <si>
    <t>R9 : Optimisations Power BI</t>
  </si>
  <si>
    <t xml:space="preserve">  Typer LOT_ID texte partout</t>
  </si>
  <si>
    <t>Eviter erreurs jointure nombre/texte</t>
  </si>
  <si>
    <t xml:space="preserve">  Creer DIM_DATE</t>
  </si>
  <si>
    <t>Suivi temporel versions et scenarios</t>
  </si>
  <si>
    <t xml:space="preserve">  Ajouter RLS</t>
  </si>
  <si>
    <t>Securite par BATIMENT_ID</t>
  </si>
  <si>
    <t xml:space="preserve">  Bookmark Navigator</t>
  </si>
  <si>
    <t>Signets Direction / Chantier / Import / Risque</t>
  </si>
  <si>
    <t>R10 : Dashboard Direction</t>
  </si>
  <si>
    <t xml:space="preserve">  KPI Card triple CAPEX</t>
  </si>
  <si>
    <t>Brut / Optimise / Economie sur 1 carte</t>
  </si>
  <si>
    <t xml:space="preserve">  Waterfall Chart</t>
  </si>
  <si>
    <t>CAPEX Local - Economie = CAPEX Optimise</t>
  </si>
  <si>
    <t xml:space="preserve">  Treemap Budget</t>
  </si>
  <si>
    <t>LOT &gt; FAM_ARTICLE visualiser concentration</t>
  </si>
  <si>
    <t xml:space="preserve">  Scatter Gain/Risque</t>
  </si>
  <si>
    <t>X=Gain% Y=Risque Taille=Montant</t>
  </si>
  <si>
    <t>SYNTHESE GLOBALE DE L'AUDIT</t>
  </si>
  <si>
    <t>Score conformite structurelle</t>
  </si>
  <si>
    <t>78 / 100</t>
  </si>
  <si>
    <t>Etoile correcte mais PROJET_ID brise</t>
  </si>
  <si>
    <t>Score fiabilite calculs</t>
  </si>
  <si>
    <t>65 / 100</t>
  </si>
  <si>
    <t>Agregations ok mais 3 totaux incoherents</t>
  </si>
  <si>
    <t>Score decisionnel</t>
  </si>
  <si>
    <t>72 / 100</t>
  </si>
  <si>
    <t>3/4 questions couvertes</t>
  </si>
  <si>
    <t>Score documentation</t>
  </si>
  <si>
    <t>45 / 100</t>
  </si>
  <si>
    <t>Formules non documentees</t>
  </si>
  <si>
    <t>SCORE GLOBAL AUDIT</t>
  </si>
  <si>
    <t>MOYEN</t>
  </si>
  <si>
    <t>Module fonctionnel. R1-R3 URGENTES.</t>
  </si>
  <si>
    <t>PARAM_PROJET_ID</t>
  </si>
  <si>
    <t>TYPE_BATIMENT</t>
  </si>
  <si>
    <t>BATIMENT_TECHNIQUE</t>
  </si>
  <si>
    <t>BATIMENT_MEDICAL</t>
  </si>
  <si>
    <t>BAT_SITE</t>
  </si>
  <si>
    <t>Site / Aménagement extérieur</t>
  </si>
  <si>
    <t>INFRASTRUCTURE_SITE</t>
  </si>
  <si>
    <t>ORDRE_NIVEAU</t>
  </si>
  <si>
    <t>TAUX_TRANSPORT_MARITIME</t>
  </si>
  <si>
    <t>TAUX_ASSURANCE</t>
  </si>
  <si>
    <t>TAUX_DOUANE</t>
  </si>
  <si>
    <t>TAUX_FRAIS_PORT</t>
  </si>
  <si>
    <t>TAUX_LOGISTIQUE</t>
  </si>
  <si>
    <t>TAUX_TRANSPORT_LOCAL</t>
  </si>
  <si>
    <t>TAUX_CHANGE_USD</t>
  </si>
  <si>
    <t>TAUX_MARGE_IMPORT</t>
  </si>
  <si>
    <t>TAUX_IMPREVUS_IMPORT</t>
  </si>
  <si>
    <t>TRANSPORT</t>
  </si>
  <si>
    <t>ASSURANCE</t>
  </si>
  <si>
    <t>DOUANE</t>
  </si>
  <si>
    <t>PORT</t>
  </si>
  <si>
    <t>TRANSPORT_LOCAL</t>
  </si>
  <si>
    <t>CHANGE</t>
  </si>
  <si>
    <t>MARGE</t>
  </si>
  <si>
    <t>IMPREVUS</t>
  </si>
  <si>
    <t>0.12</t>
  </si>
  <si>
    <t>0.005</t>
  </si>
  <si>
    <t>0.18</t>
  </si>
  <si>
    <t>0.04</t>
  </si>
  <si>
    <t>0.03</t>
  </si>
  <si>
    <t>0.05</t>
  </si>
  <si>
    <t>0.08</t>
  </si>
  <si>
    <t>PARAM</t>
  </si>
  <si>
    <t>VALUE</t>
  </si>
  <si>
    <t>TYPE</t>
  </si>
  <si>
    <t>COUT_CONTAINER</t>
  </si>
  <si>
    <t>CAPACITE_CONTAINER</t>
  </si>
  <si>
    <t>SEUIL_DECISION_IMPORT</t>
  </si>
  <si>
    <t>POIDS_PRIX</t>
  </si>
  <si>
    <t>POIDS_RISQUE</t>
  </si>
  <si>
    <t>POIDS_DELAI</t>
  </si>
  <si>
    <t>POIDS_VOLUME</t>
  </si>
  <si>
    <t>TAUX_MARGE_LOCAL</t>
  </si>
  <si>
    <t>Fonction appelée</t>
  </si>
  <si>
    <t>STATUT_PRIX</t>
  </si>
  <si>
    <t>PRIX_OK</t>
  </si>
  <si>
    <t>MANQUANT_CHINE</t>
  </si>
  <si>
    <t>CODE_LOT</t>
  </si>
  <si>
    <t>DESCRIPTION_LOT</t>
  </si>
  <si>
    <t>ORDRE_LOT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</si>
  <si>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</si>
  <si>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</si>
  <si>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</si>
  <si>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</si>
  <si>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</si>
  <si>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</si>
  <si>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</si>
  <si>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</si>
  <si>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</si>
  <si>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Menuiserie bois</t>
  </si>
  <si>
    <t>L10</t>
  </si>
  <si>
    <t>L11</t>
  </si>
  <si>
    <t>L12</t>
  </si>
  <si>
    <t>L13</t>
  </si>
  <si>
    <t>L14</t>
  </si>
  <si>
    <t>TYPE_LOT</t>
  </si>
  <si>
    <t>Gros œuvre et démolition</t>
  </si>
  <si>
    <t>ARCHI</t>
  </si>
  <si>
    <t>Revêtement durs</t>
  </si>
  <si>
    <t>Menuiserie aluminium et vitrerie</t>
  </si>
  <si>
    <t>Menuiserie métallique et ferronnerie</t>
  </si>
  <si>
    <t>Electricité</t>
  </si>
  <si>
    <t>TECH</t>
  </si>
  <si>
    <t>Sécurité incendie et vidéo surveillance</t>
  </si>
  <si>
    <t>Plomberie sanitaire</t>
  </si>
  <si>
    <t>Faux plafond et cloisons BA13</t>
  </si>
  <si>
    <t>L0T 12</t>
  </si>
  <si>
    <t>TYPE_ARTICLE</t>
  </si>
  <si>
    <t>PU_IMPORT_ESTIME</t>
  </si>
  <si>
    <t>CATEGORIE_IMPORT</t>
  </si>
  <si>
    <t>POIDS_KG</t>
  </si>
  <si>
    <t>VOLUME_M3</t>
  </si>
  <si>
    <t>SENSIBILITE_TRANSPORT</t>
  </si>
  <si>
    <t>SOURCE_PRIX_LOCAL</t>
  </si>
  <si>
    <t>SOURCE_PRIX_CHINE</t>
  </si>
  <si>
    <t>DATE_REFERENCE_PRIX</t>
  </si>
  <si>
    <t>COMMENTAIRE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</si>
</sst>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4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i/>
      <sz val="9"/>
      <color rgb="FF595959"/>
      <name val="Arial"/>
      <family val="2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1A1A2E"/>
      <name val="Arial"/>
      <family val="2"/>
    </font>
    <font>
      <b/>
      <sz val="10"/>
      <color rgb="FFFFFFFF"/>
      <name val="Arial"/>
      <family val="2"/>
    </font>
    <font>
      <b/>
      <sz val="9"/>
      <color rgb="FF283593"/>
      <name val="Arial"/>
      <family val="2"/>
    </font>
    <font>
      <sz val="9"/>
      <color rgb="FF1A237E"/>
      <name val="Arial"/>
      <family val="2"/>
    </font>
    <font>
      <i/>
      <sz val="8.5"/>
      <color rgb="FF37474F"/>
      <name val="Arial"/>
      <family val="2"/>
    </font>
    <font>
      <i/>
      <sz val="8"/>
      <color rgb="FF555577"/>
      <name val="Courier New"/>
      <family val="3"/>
    </font>
    <font>
      <sz val="9"/>
      <color rgb="FFCDD3DE"/>
      <name val="Courier New"/>
      <family val="3"/>
    </font>
    <font>
      <i/>
      <sz val="8.5"/>
      <color rgb="FF546E7A"/>
      <name val="Courier New"/>
      <family val="3"/>
    </font>
    <font>
      <sz val="8.5"/>
      <color rgb="FF1A2E1A"/>
      <name val="Courier New"/>
      <family val="3"/>
    </font>
    <font>
      <i/>
      <sz val="8.5"/>
      <color rgb="FFFFFFFF"/>
      <name val="Arial"/>
      <family val="2"/>
    </font>
    <font>
      <b/>
      <sz val="12"/>
      <color rgb="FFFFFFFF"/>
      <name val="Arial"/>
      <family val="2"/>
    </font>
    <font>
      <sz val="9"/>
      <name val="Arial"/>
      <family val="2"/>
    </font>
    <font>
      <b/>
      <sz val="10"/>
      <color rgb="FFC00000"/>
      <name val="Arial"/>
      <family val="2"/>
    </font>
    <font>
      <b/>
      <sz val="9"/>
      <name val="Arial"/>
      <family val="2"/>
    </font>
    <font>
      <b/>
      <sz val="10"/>
      <color rgb="FF00008B"/>
      <name val="Arial"/>
      <family val="2"/>
    </font>
    <font>
      <sz val="9"/>
      <color rgb="FF595959"/>
      <name val="Arial"/>
      <family val="2"/>
    </font>
    <font>
      <sz val="9"/>
      <color rgb="FF00008B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8"/>
      <color rgb="FF595959"/>
      <name val="Arial"/>
      <family val="2"/>
    </font>
    <font>
      <b/>
      <sz val="14"/>
      <color rgb="FFC00000"/>
      <name val="Arial"/>
      <family val="2"/>
    </font>
    <font>
      <b/>
      <sz val="9"/>
      <color rgb="FF006100"/>
      <name val="Arial"/>
      <family val="2"/>
    </font>
    <font>
      <sz val="9"/>
      <color rgb="FF1F3864"/>
      <name val="Arial"/>
      <family val="2"/>
    </font>
    <font>
      <b/>
      <sz val="11"/>
      <color rgb="FF00008B"/>
      <name val="Arial"/>
      <family val="2"/>
    </font>
    <font>
      <b/>
      <sz val="15"/>
      <color rgb="FFFFFFFF"/>
      <name val="Arial"/>
      <family val="2"/>
    </font>
    <font>
      <b/>
      <sz val="14"/>
      <color rgb="FF7030A0"/>
      <name val="Arial"/>
      <family val="2"/>
    </font>
    <font>
      <b/>
      <sz val="14"/>
      <color rgb="FF006100"/>
      <name val="Arial"/>
      <family val="2"/>
    </font>
    <font>
      <b/>
      <sz val="10"/>
      <name val="Arial"/>
      <family val="2"/>
    </font>
    <font>
      <sz val="10"/>
      <color rgb="FF00008B"/>
      <name val="Arial"/>
      <family val="2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rgb="FFFFFFFF"/>
      <name val="Aptos Narrow"/>
      <family val="2"/>
      <scheme val="minor"/>
    </font>
    <font>
      <i/>
      <sz val="10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CC0000"/>
      <name val="Aptos Narrow"/>
      <family val="2"/>
      <scheme val="minor"/>
    </font>
    <font>
      <sz val="11"/>
      <color rgb="FF856404"/>
      <name val="Aptos Narrow"/>
      <family val="2"/>
      <scheme val="minor"/>
    </font>
    <font>
      <sz val="11"/>
      <color rgb="FF155724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2E75B6"/>
        <bgColor rgb="FF1565C0"/>
      </patternFill>
    </fill>
    <fill>
      <patternFill patternType="solid">
        <fgColor rgb="FF548235"/>
        <bgColor rgb="FF60747D"/>
      </patternFill>
    </fill>
    <fill>
      <patternFill patternType="solid">
        <fgColor rgb="FFED7D31"/>
        <bgColor rgb="FFF57F17"/>
      </patternFill>
    </fill>
    <fill>
      <patternFill patternType="solid">
        <fgColor rgb="FFC00000"/>
        <bgColor rgb="FFBF360C"/>
      </patternFill>
    </fill>
    <fill>
      <patternFill patternType="solid">
        <fgColor rgb="FF7030A0"/>
        <bgColor rgb="FF4527A0"/>
      </patternFill>
    </fill>
    <fill>
      <patternFill patternType="solid">
        <fgColor rgb="FF833C00"/>
        <bgColor rgb="FF843C0C"/>
      </patternFill>
    </fill>
    <fill>
      <patternFill patternType="solid">
        <fgColor rgb="FF00B050"/>
        <bgColor rgb="FF548235"/>
      </patternFill>
    </fill>
    <fill>
      <patternFill patternType="solid">
        <fgColor rgb="FF0D1B2A"/>
        <bgColor rgb="FF1B1E22"/>
      </patternFill>
    </fill>
    <fill>
      <patternFill patternType="solid">
        <fgColor rgb="FFE8EAF6"/>
        <bgColor rgb="FFEDE7F6"/>
      </patternFill>
    </fill>
    <fill>
      <patternFill patternType="solid">
        <fgColor rgb="FF4527A0"/>
        <bgColor rgb="FF4A148C"/>
      </patternFill>
    </fill>
    <fill>
      <patternFill patternType="solid">
        <fgColor rgb="FFEDE7F6"/>
        <bgColor rgb="FFE8EAF6"/>
      </patternFill>
    </fill>
    <fill>
      <patternFill patternType="solid">
        <fgColor rgb="FF283593"/>
        <bgColor rgb="FF1F3864"/>
      </patternFill>
    </fill>
    <fill>
      <patternFill patternType="solid">
        <fgColor rgb="FFF57F17"/>
        <bgColor rgb="FFED7D31"/>
      </patternFill>
    </fill>
    <fill>
      <patternFill patternType="solid">
        <fgColor rgb="FFFFFDE7"/>
        <bgColor rgb="FFFFFFFF"/>
      </patternFill>
    </fill>
    <fill>
      <patternFill patternType="solid">
        <fgColor rgb="FFEEEEEE"/>
        <bgColor rgb="FFECEFF1"/>
      </patternFill>
    </fill>
    <fill>
      <patternFill patternType="solid">
        <fgColor rgb="FFF8F9FF"/>
        <bgColor rgb="FFF5F5F5"/>
      </patternFill>
    </fill>
    <fill>
      <patternFill patternType="solid">
        <fgColor rgb="FFF5F5F5"/>
        <bgColor rgb="FFF8F9FF"/>
      </patternFill>
    </fill>
    <fill>
      <patternFill patternType="solid">
        <fgColor rgb="FF1565C0"/>
        <bgColor rgb="FF2E75B6"/>
      </patternFill>
    </fill>
    <fill>
      <patternFill patternType="solid">
        <fgColor rgb="FFECEFF1"/>
        <bgColor rgb="FFEEEEEE"/>
      </patternFill>
    </fill>
    <fill>
      <patternFill patternType="solid">
        <fgColor rgb="FF101020"/>
        <bgColor rgb="FF0D1B2A"/>
      </patternFill>
    </fill>
    <fill>
      <patternFill patternType="solid">
        <fgColor rgb="FF1B1E22"/>
        <bgColor rgb="FF0D1B2A"/>
      </patternFill>
    </fill>
    <fill>
      <patternFill patternType="solid">
        <fgColor rgb="FF1A237E"/>
        <bgColor rgb="FF283593"/>
      </patternFill>
    </fill>
    <fill>
      <patternFill patternType="solid">
        <fgColor rgb="FF004D40"/>
        <bgColor rgb="FF1B5E20"/>
      </patternFill>
    </fill>
    <fill>
      <patternFill patternType="solid">
        <fgColor rgb="FFBF360C"/>
        <bgColor rgb="FF843C0C"/>
      </patternFill>
    </fill>
    <fill>
      <patternFill patternType="solid">
        <fgColor rgb="FF1A5276"/>
        <bgColor rgb="FF1F3864"/>
      </patternFill>
    </fill>
    <fill>
      <patternFill patternType="solid">
        <fgColor rgb="FF1B5E20"/>
        <bgColor rgb="FF006100"/>
      </patternFill>
    </fill>
    <fill>
      <patternFill patternType="solid">
        <fgColor rgb="FF4A148C"/>
        <bgColor rgb="FF4527A0"/>
      </patternFill>
    </fill>
    <fill>
      <patternFill patternType="solid">
        <fgColor rgb="FF880E4F"/>
        <bgColor rgb="FF7030A0"/>
      </patternFill>
    </fill>
    <fill>
      <patternFill patternType="solid">
        <fgColor rgb="FF37474F"/>
        <bgColor rgb="FF1F3864"/>
      </patternFill>
    </fill>
    <fill>
      <patternFill patternType="solid">
        <fgColor rgb="FFE8F5E9"/>
        <bgColor rgb="FFECEFF1"/>
      </patternFill>
    </fill>
    <fill>
      <patternFill patternType="solid">
        <fgColor rgb="FFDEEAF1"/>
        <bgColor rgb="FFE8EAF6"/>
      </patternFill>
    </fill>
    <fill>
      <patternFill patternType="solid">
        <fgColor rgb="FFEAF0FB"/>
        <bgColor rgb="FFE9F0FB"/>
      </patternFill>
    </fill>
    <fill>
      <patternFill patternType="solid">
        <fgColor rgb="FFE2EFDA"/>
        <bgColor rgb="FFD9EAD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9F0FB"/>
        <bgColor rgb="FFEAF0FB"/>
      </patternFill>
    </fill>
    <fill>
      <patternFill patternType="solid">
        <fgColor rgb="FFF4CCCC"/>
        <bgColor rgb="FFF9CB9C"/>
      </patternFill>
    </fill>
    <fill>
      <patternFill patternType="solid">
        <fgColor rgb="FFD9EAD3"/>
        <bgColor rgb="FFE2EFDA"/>
      </patternFill>
    </fill>
    <fill>
      <patternFill patternType="solid">
        <fgColor rgb="FFCFE2F3"/>
        <bgColor rgb="FFCBDAF8"/>
      </patternFill>
    </fill>
    <fill>
      <patternFill patternType="solid">
        <fgColor rgb="FFFFE599"/>
        <bgColor rgb="FFFFD966"/>
      </patternFill>
    </fill>
    <fill>
      <patternFill patternType="solid">
        <fgColor rgb="FFD5A6BD"/>
        <bgColor rgb="FFB4A7D6"/>
      </patternFill>
    </fill>
    <fill>
      <patternFill patternType="solid">
        <fgColor rgb="FFB4A7D6"/>
        <bgColor rgb="FFD5A6BD"/>
      </patternFill>
    </fill>
    <fill>
      <patternFill patternType="solid">
        <fgColor rgb="FFA2C4C9"/>
        <bgColor rgb="FF9FC5E8"/>
      </patternFill>
    </fill>
    <fill>
      <patternFill patternType="solid">
        <fgColor rgb="FFF9CB9C"/>
        <bgColor rgb="FFF4CCCC"/>
      </patternFill>
    </fill>
    <fill>
      <patternFill patternType="solid">
        <fgColor rgb="FFB6D7A8"/>
        <bgColor rgb="FFA2C4C9"/>
      </patternFill>
    </fill>
    <fill>
      <patternFill patternType="solid">
        <fgColor rgb="FF9FC5E8"/>
        <bgColor rgb="FFA2C4C9"/>
      </patternFill>
    </fill>
    <fill>
      <patternFill patternType="solid">
        <fgColor rgb="FFFFD966"/>
        <bgColor rgb="FFFFE599"/>
      </patternFill>
    </fill>
    <fill>
      <patternFill patternType="solid">
        <fgColor rgb="FFCBDAF8"/>
        <bgColor rgb="FFCFE2F3"/>
      </patternFill>
    </fill>
    <fill>
      <patternFill patternType="solid">
        <fgColor rgb="FF843C0C"/>
        <bgColor rgb="FF833C00"/>
      </patternFill>
    </fill>
    <fill>
      <patternFill patternType="solid">
        <fgColor rgb="FF006100"/>
        <bgColor rgb="FF1B5E20"/>
      </patternFill>
    </fill>
    <fill>
      <patternFill patternType="solid">
        <fgColor rgb="FF1B2A4A"/>
        <bgColor indexed="64"/>
      </patternFill>
    </fill>
    <fill>
      <patternFill patternType="solid">
        <fgColor rgb="FF2C3E6B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D4EDDA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/>
  </cellStyleXfs>
  <cellXfs count="277">
    <xf numFmtId="0" fontId="0" fillId="0" borderId="0" xfId="0"/>
    <xf numFmtId="0" fontId="2" fillId="0" borderId="0" xfId="1"/>
    <xf numFmtId="0" fontId="5" fillId="0" borderId="0" xfId="1" applyFont="1"/>
    <xf numFmtId="0" fontId="6" fillId="0" borderId="0" xfId="1" applyFont="1"/>
    <xf numFmtId="0" fontId="2" fillId="10" borderId="0" xfId="1" applyFill="1"/>
    <xf numFmtId="0" fontId="2" fillId="11" borderId="0" xfId="1" applyFill="1"/>
    <xf numFmtId="0" fontId="8" fillId="12" borderId="0" xfId="1" applyFont="1" applyFill="1" applyAlignment="1">
      <alignment horizontal="left" vertical="top"/>
    </xf>
    <xf numFmtId="0" fontId="9" fillId="13" borderId="0" xfId="1" applyFont="1" applyFill="1" applyAlignment="1">
      <alignment horizontal="left" vertical="top" wrapText="1"/>
    </xf>
    <xf numFmtId="0" fontId="8" fillId="14" borderId="0" xfId="1" applyFont="1" applyFill="1" applyAlignment="1">
      <alignment horizontal="left" vertical="top"/>
    </xf>
    <xf numFmtId="0" fontId="9" fillId="11" borderId="0" xfId="1" applyFont="1" applyFill="1" applyAlignment="1">
      <alignment horizontal="left" vertical="top" wrapText="1"/>
    </xf>
    <xf numFmtId="0" fontId="8" fillId="15" borderId="0" xfId="1" applyFont="1" applyFill="1" applyAlignment="1">
      <alignment horizontal="left" vertical="top"/>
    </xf>
    <xf numFmtId="0" fontId="9" fillId="16" borderId="0" xfId="1" applyFont="1" applyFill="1" applyAlignment="1">
      <alignment horizontal="left" vertical="top" wrapText="1"/>
    </xf>
    <xf numFmtId="0" fontId="2" fillId="17" borderId="0" xfId="1" applyFill="1"/>
    <xf numFmtId="0" fontId="2" fillId="14" borderId="0" xfId="1" applyFill="1"/>
    <xf numFmtId="0" fontId="11" fillId="11" borderId="0" xfId="1" applyFont="1" applyFill="1" applyAlignment="1">
      <alignment horizontal="left" vertical="top"/>
    </xf>
    <xf numFmtId="0" fontId="9" fillId="18" borderId="0" xfId="1" applyFont="1" applyFill="1" applyAlignment="1">
      <alignment horizontal="left" vertical="top" wrapText="1"/>
    </xf>
    <xf numFmtId="0" fontId="2" fillId="19" borderId="0" xfId="1" applyFill="1"/>
    <xf numFmtId="0" fontId="2" fillId="20" borderId="0" xfId="1" applyFill="1"/>
    <xf numFmtId="0" fontId="2" fillId="21" borderId="0" xfId="1" applyFill="1"/>
    <xf numFmtId="0" fontId="2" fillId="22" borderId="0" xfId="1" applyFill="1"/>
    <xf numFmtId="0" fontId="14" fillId="22" borderId="0" xfId="1" applyFont="1" applyFill="1"/>
    <xf numFmtId="0" fontId="2" fillId="23" borderId="0" xfId="1" applyFill="1"/>
    <xf numFmtId="0" fontId="15" fillId="23" borderId="0" xfId="1" applyFont="1" applyFill="1" applyAlignment="1">
      <alignment horizontal="left" vertical="top" wrapText="1"/>
    </xf>
    <xf numFmtId="0" fontId="16" fillId="23" borderId="0" xfId="1" applyFont="1" applyFill="1" applyAlignment="1">
      <alignment horizontal="left" vertical="top"/>
    </xf>
    <xf numFmtId="0" fontId="2" fillId="24" borderId="0" xfId="1" applyFill="1"/>
    <xf numFmtId="0" fontId="2" fillId="25" borderId="0" xfId="1" applyFill="1"/>
    <xf numFmtId="0" fontId="2" fillId="26" borderId="0" xfId="1" applyFill="1"/>
    <xf numFmtId="0" fontId="2" fillId="27" borderId="0" xfId="1" applyFill="1"/>
    <xf numFmtId="0" fontId="2" fillId="28" borderId="0" xfId="1" applyFill="1"/>
    <xf numFmtId="0" fontId="2" fillId="29" borderId="0" xfId="1" applyFill="1"/>
    <xf numFmtId="0" fontId="2" fillId="30" borderId="0" xfId="1" applyFill="1"/>
    <xf numFmtId="0" fontId="2" fillId="31" borderId="0" xfId="1" applyFill="1"/>
    <xf numFmtId="0" fontId="2" fillId="32" borderId="0" xfId="1" applyFill="1"/>
    <xf numFmtId="0" fontId="8" fillId="28" borderId="0" xfId="1" applyFont="1" applyFill="1" applyAlignment="1">
      <alignment horizontal="left" vertical="top"/>
    </xf>
    <xf numFmtId="0" fontId="17" fillId="32" borderId="0" xfId="1" applyFont="1" applyFill="1" applyAlignment="1">
      <alignment horizontal="left" vertical="top" wrapText="1"/>
    </xf>
    <xf numFmtId="0" fontId="10" fillId="3" borderId="0" xfId="1" applyFont="1" applyFill="1" applyAlignment="1">
      <alignment vertical="center"/>
    </xf>
    <xf numFmtId="0" fontId="5" fillId="33" borderId="0" xfId="1" applyFont="1" applyFill="1" applyAlignment="1">
      <alignment vertical="center"/>
    </xf>
    <xf numFmtId="0" fontId="20" fillId="0" borderId="0" xfId="1" applyFont="1" applyAlignment="1">
      <alignment vertical="center"/>
    </xf>
    <xf numFmtId="0" fontId="10" fillId="3" borderId="0" xfId="1" applyFont="1" applyFill="1" applyAlignment="1">
      <alignment horizontal="center" vertical="center" wrapText="1"/>
    </xf>
    <xf numFmtId="0" fontId="10" fillId="4" borderId="0" xfId="1" applyFont="1" applyFill="1" applyAlignment="1">
      <alignment horizontal="center" vertical="center" wrapText="1"/>
    </xf>
    <xf numFmtId="0" fontId="10" fillId="6" borderId="0" xfId="1" applyFont="1" applyFill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23" fillId="34" borderId="0" xfId="1" applyFont="1" applyFill="1" applyAlignment="1">
      <alignment horizontal="center" vertical="center"/>
    </xf>
    <xf numFmtId="0" fontId="24" fillId="35" borderId="0" xfId="1" applyFont="1" applyFill="1" applyAlignment="1">
      <alignment horizontal="center" vertical="center"/>
    </xf>
    <xf numFmtId="0" fontId="24" fillId="34" borderId="0" xfId="1" applyFont="1" applyFill="1" applyAlignment="1">
      <alignment horizontal="center" vertical="center"/>
    </xf>
    <xf numFmtId="0" fontId="24" fillId="36" borderId="0" xfId="1" applyFont="1" applyFill="1" applyAlignment="1">
      <alignment horizontal="center" vertical="center"/>
    </xf>
    <xf numFmtId="164" fontId="23" fillId="34" borderId="0" xfId="1" applyNumberFormat="1" applyFont="1" applyFill="1" applyAlignment="1">
      <alignment horizontal="center" vertical="center"/>
    </xf>
    <xf numFmtId="164" fontId="24" fillId="35" borderId="0" xfId="1" applyNumberFormat="1" applyFont="1" applyFill="1" applyAlignment="1">
      <alignment horizontal="center" vertical="center"/>
    </xf>
    <xf numFmtId="164" fontId="24" fillId="34" borderId="0" xfId="1" applyNumberFormat="1" applyFont="1" applyFill="1" applyAlignment="1">
      <alignment horizontal="center" vertical="center"/>
    </xf>
    <xf numFmtId="164" fontId="24" fillId="36" borderId="0" xfId="1" applyNumberFormat="1" applyFont="1" applyFill="1" applyAlignment="1">
      <alignment horizontal="center" vertical="center"/>
    </xf>
    <xf numFmtId="3" fontId="23" fillId="34" borderId="0" xfId="1" applyNumberFormat="1" applyFont="1" applyFill="1" applyAlignment="1">
      <alignment horizontal="center" vertical="center"/>
    </xf>
    <xf numFmtId="3" fontId="24" fillId="35" borderId="0" xfId="1" applyNumberFormat="1" applyFont="1" applyFill="1" applyAlignment="1">
      <alignment horizontal="center" vertical="center"/>
    </xf>
    <xf numFmtId="3" fontId="24" fillId="34" borderId="0" xfId="1" applyNumberFormat="1" applyFont="1" applyFill="1" applyAlignment="1">
      <alignment horizontal="center" vertical="center"/>
    </xf>
    <xf numFmtId="3" fontId="24" fillId="36" borderId="0" xfId="1" applyNumberFormat="1" applyFont="1" applyFill="1" applyAlignment="1">
      <alignment horizontal="center" vertical="center"/>
    </xf>
    <xf numFmtId="0" fontId="20" fillId="0" borderId="0" xfId="1" applyFont="1"/>
    <xf numFmtId="0" fontId="24" fillId="36" borderId="0" xfId="1" applyFont="1" applyFill="1" applyAlignment="1">
      <alignment vertical="center"/>
    </xf>
    <xf numFmtId="164" fontId="25" fillId="36" borderId="0" xfId="1" applyNumberFormat="1" applyFont="1" applyFill="1"/>
    <xf numFmtId="0" fontId="26" fillId="36" borderId="0" xfId="1" applyFont="1" applyFill="1" applyAlignment="1">
      <alignment vertical="center"/>
    </xf>
    <xf numFmtId="0" fontId="27" fillId="36" borderId="0" xfId="1" applyFont="1" applyFill="1" applyAlignment="1">
      <alignment vertical="center"/>
    </xf>
    <xf numFmtId="0" fontId="24" fillId="37" borderId="0" xfId="1" applyFont="1" applyFill="1" applyAlignment="1">
      <alignment vertical="center"/>
    </xf>
    <xf numFmtId="0" fontId="25" fillId="37" borderId="0" xfId="1" applyFont="1" applyFill="1"/>
    <xf numFmtId="0" fontId="26" fillId="37" borderId="0" xfId="1" applyFont="1" applyFill="1" applyAlignment="1">
      <alignment vertical="center"/>
    </xf>
    <xf numFmtId="0" fontId="27" fillId="37" borderId="0" xfId="1" applyFont="1" applyFill="1" applyAlignment="1">
      <alignment vertical="center"/>
    </xf>
    <xf numFmtId="3" fontId="25" fillId="37" borderId="0" xfId="1" applyNumberFormat="1" applyFont="1" applyFill="1"/>
    <xf numFmtId="164" fontId="25" fillId="37" borderId="0" xfId="1" applyNumberFormat="1" applyFont="1" applyFill="1"/>
    <xf numFmtId="0" fontId="24" fillId="35" borderId="0" xfId="1" applyFont="1" applyFill="1" applyAlignment="1">
      <alignment vertical="center"/>
    </xf>
    <xf numFmtId="164" fontId="25" fillId="35" borderId="0" xfId="1" applyNumberFormat="1" applyFont="1" applyFill="1"/>
    <xf numFmtId="0" fontId="26" fillId="35" borderId="0" xfId="1" applyFont="1" applyFill="1" applyAlignment="1">
      <alignment vertical="center"/>
    </xf>
    <xf numFmtId="0" fontId="27" fillId="35" borderId="0" xfId="1" applyFont="1" applyFill="1" applyAlignment="1">
      <alignment vertical="center"/>
    </xf>
    <xf numFmtId="0" fontId="24" fillId="38" borderId="0" xfId="1" applyFont="1" applyFill="1" applyAlignment="1">
      <alignment vertical="center"/>
    </xf>
    <xf numFmtId="0" fontId="25" fillId="38" borderId="0" xfId="1" applyFont="1" applyFill="1"/>
    <xf numFmtId="0" fontId="26" fillId="38" borderId="0" xfId="1" applyFont="1" applyFill="1" applyAlignment="1">
      <alignment vertical="center"/>
    </xf>
    <xf numFmtId="0" fontId="27" fillId="38" borderId="0" xfId="1" applyFont="1" applyFill="1" applyAlignment="1">
      <alignment vertical="center"/>
    </xf>
    <xf numFmtId="0" fontId="28" fillId="0" borderId="0" xfId="1" applyFont="1" applyAlignment="1">
      <alignment horizontal="center"/>
    </xf>
    <xf numFmtId="0" fontId="29" fillId="37" borderId="0" xfId="1" applyFont="1" applyFill="1" applyAlignment="1">
      <alignment horizontal="center" vertical="center"/>
    </xf>
    <xf numFmtId="0" fontId="10" fillId="6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10" fillId="2" borderId="0" xfId="1" applyFont="1" applyFill="1" applyAlignment="1">
      <alignment horizontal="center" vertical="center" wrapText="1"/>
    </xf>
    <xf numFmtId="14" fontId="2" fillId="0" borderId="0" xfId="1" applyNumberFormat="1"/>
    <xf numFmtId="0" fontId="10" fillId="8" borderId="0" xfId="1" applyFont="1" applyFill="1" applyAlignment="1">
      <alignment horizontal="center" vertical="center" wrapText="1"/>
    </xf>
    <xf numFmtId="0" fontId="20" fillId="37" borderId="0" xfId="1" applyFont="1" applyFill="1"/>
    <xf numFmtId="3" fontId="20" fillId="37" borderId="0" xfId="1" applyNumberFormat="1" applyFont="1" applyFill="1"/>
    <xf numFmtId="164" fontId="20" fillId="37" borderId="0" xfId="1" applyNumberFormat="1" applyFont="1" applyFill="1"/>
    <xf numFmtId="0" fontId="20" fillId="35" borderId="0" xfId="1" applyFont="1" applyFill="1"/>
    <xf numFmtId="3" fontId="20" fillId="35" borderId="0" xfId="1" applyNumberFormat="1" applyFont="1" applyFill="1"/>
    <xf numFmtId="164" fontId="20" fillId="35" borderId="0" xfId="1" applyNumberFormat="1" applyFont="1" applyFill="1"/>
    <xf numFmtId="0" fontId="20" fillId="33" borderId="0" xfId="1" applyFont="1" applyFill="1"/>
    <xf numFmtId="3" fontId="20" fillId="33" borderId="0" xfId="1" applyNumberFormat="1" applyFont="1" applyFill="1"/>
    <xf numFmtId="164" fontId="20" fillId="33" borderId="0" xfId="1" applyNumberFormat="1" applyFont="1" applyFill="1"/>
    <xf numFmtId="0" fontId="20" fillId="36" borderId="0" xfId="1" applyFont="1" applyFill="1"/>
    <xf numFmtId="3" fontId="20" fillId="36" borderId="0" xfId="1" applyNumberFormat="1" applyFont="1" applyFill="1"/>
    <xf numFmtId="164" fontId="20" fillId="36" borderId="0" xfId="1" applyNumberFormat="1" applyFont="1" applyFill="1"/>
    <xf numFmtId="0" fontId="20" fillId="34" borderId="0" xfId="1" applyFont="1" applyFill="1"/>
    <xf numFmtId="3" fontId="20" fillId="34" borderId="0" xfId="1" applyNumberFormat="1" applyFont="1" applyFill="1"/>
    <xf numFmtId="164" fontId="20" fillId="34" borderId="0" xfId="1" applyNumberFormat="1" applyFont="1" applyFill="1"/>
    <xf numFmtId="0" fontId="20" fillId="39" borderId="0" xfId="1" applyFont="1" applyFill="1"/>
    <xf numFmtId="3" fontId="20" fillId="39" borderId="0" xfId="1" applyNumberFormat="1" applyFont="1" applyFill="1"/>
    <xf numFmtId="164" fontId="20" fillId="39" borderId="0" xfId="1" applyNumberFormat="1" applyFont="1" applyFill="1"/>
    <xf numFmtId="0" fontId="20" fillId="40" borderId="0" xfId="1" applyFont="1" applyFill="1"/>
    <xf numFmtId="3" fontId="20" fillId="40" borderId="0" xfId="1" applyNumberFormat="1" applyFont="1" applyFill="1"/>
    <xf numFmtId="164" fontId="20" fillId="40" borderId="0" xfId="1" applyNumberFormat="1" applyFont="1" applyFill="1"/>
    <xf numFmtId="0" fontId="20" fillId="41" borderId="0" xfId="1" applyFont="1" applyFill="1"/>
    <xf numFmtId="3" fontId="20" fillId="41" borderId="0" xfId="1" applyNumberFormat="1" applyFont="1" applyFill="1"/>
    <xf numFmtId="164" fontId="20" fillId="41" borderId="0" xfId="1" applyNumberFormat="1" applyFont="1" applyFill="1"/>
    <xf numFmtId="0" fontId="20" fillId="42" borderId="0" xfId="1" applyFont="1" applyFill="1"/>
    <xf numFmtId="3" fontId="20" fillId="42" borderId="0" xfId="1" applyNumberFormat="1" applyFont="1" applyFill="1"/>
    <xf numFmtId="164" fontId="20" fillId="42" borderId="0" xfId="1" applyNumberFormat="1" applyFont="1" applyFill="1"/>
    <xf numFmtId="0" fontId="20" fillId="43" borderId="0" xfId="1" applyFont="1" applyFill="1"/>
    <xf numFmtId="3" fontId="20" fillId="43" borderId="0" xfId="1" applyNumberFormat="1" applyFont="1" applyFill="1"/>
    <xf numFmtId="164" fontId="20" fillId="43" borderId="0" xfId="1" applyNumberFormat="1" applyFont="1" applyFill="1"/>
    <xf numFmtId="0" fontId="20" fillId="44" borderId="0" xfId="1" applyFont="1" applyFill="1"/>
    <xf numFmtId="3" fontId="20" fillId="44" borderId="0" xfId="1" applyNumberFormat="1" applyFont="1" applyFill="1"/>
    <xf numFmtId="164" fontId="20" fillId="44" borderId="0" xfId="1" applyNumberFormat="1" applyFont="1" applyFill="1"/>
    <xf numFmtId="0" fontId="20" fillId="45" borderId="0" xfId="1" applyFont="1" applyFill="1"/>
    <xf numFmtId="3" fontId="20" fillId="45" borderId="0" xfId="1" applyNumberFormat="1" applyFont="1" applyFill="1"/>
    <xf numFmtId="164" fontId="20" fillId="45" borderId="0" xfId="1" applyNumberFormat="1" applyFont="1" applyFill="1"/>
    <xf numFmtId="0" fontId="20" fillId="46" borderId="0" xfId="1" applyFont="1" applyFill="1"/>
    <xf numFmtId="3" fontId="20" fillId="46" borderId="0" xfId="1" applyNumberFormat="1" applyFont="1" applyFill="1"/>
    <xf numFmtId="164" fontId="20" fillId="46" borderId="0" xfId="1" applyNumberFormat="1" applyFont="1" applyFill="1"/>
    <xf numFmtId="0" fontId="20" fillId="47" borderId="0" xfId="1" applyFont="1" applyFill="1"/>
    <xf numFmtId="3" fontId="20" fillId="47" borderId="0" xfId="1" applyNumberFormat="1" applyFont="1" applyFill="1"/>
    <xf numFmtId="164" fontId="20" fillId="47" borderId="0" xfId="1" applyNumberFormat="1" applyFont="1" applyFill="1"/>
    <xf numFmtId="0" fontId="20" fillId="48" borderId="0" xfId="1" applyFont="1" applyFill="1"/>
    <xf numFmtId="3" fontId="20" fillId="48" borderId="0" xfId="1" applyNumberFormat="1" applyFont="1" applyFill="1"/>
    <xf numFmtId="164" fontId="20" fillId="48" borderId="0" xfId="1" applyNumberFormat="1" applyFont="1" applyFill="1"/>
    <xf numFmtId="0" fontId="20" fillId="49" borderId="0" xfId="1" applyFont="1" applyFill="1"/>
    <xf numFmtId="3" fontId="20" fillId="49" borderId="0" xfId="1" applyNumberFormat="1" applyFont="1" applyFill="1"/>
    <xf numFmtId="164" fontId="20" fillId="49" borderId="0" xfId="1" applyNumberFormat="1" applyFont="1" applyFill="1"/>
    <xf numFmtId="0" fontId="20" fillId="50" borderId="0" xfId="1" applyFont="1" applyFill="1"/>
    <xf numFmtId="3" fontId="20" fillId="50" borderId="0" xfId="1" applyNumberFormat="1" applyFont="1" applyFill="1"/>
    <xf numFmtId="164" fontId="20" fillId="50" borderId="0" xfId="1" applyNumberFormat="1" applyFont="1" applyFill="1"/>
    <xf numFmtId="0" fontId="8" fillId="2" borderId="0" xfId="1" applyFont="1" applyFill="1"/>
    <xf numFmtId="3" fontId="8" fillId="2" borderId="0" xfId="1" applyNumberFormat="1" applyFont="1" applyFill="1"/>
    <xf numFmtId="3" fontId="20" fillId="0" borderId="0" xfId="1" applyNumberFormat="1" applyFont="1"/>
    <xf numFmtId="164" fontId="20" fillId="0" borderId="0" xfId="1" applyNumberFormat="1" applyFont="1"/>
    <xf numFmtId="10" fontId="20" fillId="37" borderId="0" xfId="1" applyNumberFormat="1" applyFont="1" applyFill="1"/>
    <xf numFmtId="2" fontId="20" fillId="37" borderId="0" xfId="1" applyNumberFormat="1" applyFont="1" applyFill="1"/>
    <xf numFmtId="10" fontId="20" fillId="35" borderId="0" xfId="1" applyNumberFormat="1" applyFont="1" applyFill="1"/>
    <xf numFmtId="2" fontId="20" fillId="35" borderId="0" xfId="1" applyNumberFormat="1" applyFont="1" applyFill="1"/>
    <xf numFmtId="0" fontId="30" fillId="35" borderId="0" xfId="1" applyFont="1" applyFill="1"/>
    <xf numFmtId="10" fontId="20" fillId="33" borderId="0" xfId="1" applyNumberFormat="1" applyFont="1" applyFill="1"/>
    <xf numFmtId="2" fontId="20" fillId="33" borderId="0" xfId="1" applyNumberFormat="1" applyFont="1" applyFill="1"/>
    <xf numFmtId="0" fontId="30" fillId="33" borderId="0" xfId="1" applyFont="1" applyFill="1"/>
    <xf numFmtId="10" fontId="20" fillId="36" borderId="0" xfId="1" applyNumberFormat="1" applyFont="1" applyFill="1"/>
    <xf numFmtId="2" fontId="20" fillId="36" borderId="0" xfId="1" applyNumberFormat="1" applyFont="1" applyFill="1"/>
    <xf numFmtId="0" fontId="30" fillId="36" borderId="0" xfId="1" applyFont="1" applyFill="1"/>
    <xf numFmtId="10" fontId="20" fillId="34" borderId="0" xfId="1" applyNumberFormat="1" applyFont="1" applyFill="1"/>
    <xf numFmtId="2" fontId="20" fillId="34" borderId="0" xfId="1" applyNumberFormat="1" applyFont="1" applyFill="1"/>
    <xf numFmtId="0" fontId="30" fillId="34" borderId="0" xfId="1" applyFont="1" applyFill="1"/>
    <xf numFmtId="10" fontId="20" fillId="39" borderId="0" xfId="1" applyNumberFormat="1" applyFont="1" applyFill="1"/>
    <xf numFmtId="2" fontId="20" fillId="39" borderId="0" xfId="1" applyNumberFormat="1" applyFont="1" applyFill="1"/>
    <xf numFmtId="0" fontId="30" fillId="39" borderId="0" xfId="1" applyFont="1" applyFill="1"/>
    <xf numFmtId="10" fontId="20" fillId="40" borderId="0" xfId="1" applyNumberFormat="1" applyFont="1" applyFill="1"/>
    <xf numFmtId="2" fontId="20" fillId="40" borderId="0" xfId="1" applyNumberFormat="1" applyFont="1" applyFill="1"/>
    <xf numFmtId="0" fontId="30" fillId="40" borderId="0" xfId="1" applyFont="1" applyFill="1"/>
    <xf numFmtId="10" fontId="20" fillId="41" borderId="0" xfId="1" applyNumberFormat="1" applyFont="1" applyFill="1"/>
    <xf numFmtId="2" fontId="20" fillId="41" borderId="0" xfId="1" applyNumberFormat="1" applyFont="1" applyFill="1"/>
    <xf numFmtId="0" fontId="30" fillId="41" borderId="0" xfId="1" applyFont="1" applyFill="1"/>
    <xf numFmtId="10" fontId="20" fillId="42" borderId="0" xfId="1" applyNumberFormat="1" applyFont="1" applyFill="1"/>
    <xf numFmtId="2" fontId="20" fillId="42" borderId="0" xfId="1" applyNumberFormat="1" applyFont="1" applyFill="1"/>
    <xf numFmtId="0" fontId="30" fillId="42" borderId="0" xfId="1" applyFont="1" applyFill="1"/>
    <xf numFmtId="10" fontId="20" fillId="43" borderId="0" xfId="1" applyNumberFormat="1" applyFont="1" applyFill="1"/>
    <xf numFmtId="2" fontId="20" fillId="43" borderId="0" xfId="1" applyNumberFormat="1" applyFont="1" applyFill="1"/>
    <xf numFmtId="0" fontId="30" fillId="43" borderId="0" xfId="1" applyFont="1" applyFill="1"/>
    <xf numFmtId="10" fontId="20" fillId="44" borderId="0" xfId="1" applyNumberFormat="1" applyFont="1" applyFill="1"/>
    <xf numFmtId="2" fontId="20" fillId="44" borderId="0" xfId="1" applyNumberFormat="1" applyFont="1" applyFill="1"/>
    <xf numFmtId="0" fontId="30" fillId="44" borderId="0" xfId="1" applyFont="1" applyFill="1"/>
    <xf numFmtId="10" fontId="20" fillId="45" borderId="0" xfId="1" applyNumberFormat="1" applyFont="1" applyFill="1"/>
    <xf numFmtId="2" fontId="20" fillId="45" borderId="0" xfId="1" applyNumberFormat="1" applyFont="1" applyFill="1"/>
    <xf numFmtId="0" fontId="30" fillId="45" borderId="0" xfId="1" applyFont="1" applyFill="1"/>
    <xf numFmtId="10" fontId="20" fillId="46" borderId="0" xfId="1" applyNumberFormat="1" applyFont="1" applyFill="1"/>
    <xf numFmtId="2" fontId="20" fillId="46" borderId="0" xfId="1" applyNumberFormat="1" applyFont="1" applyFill="1"/>
    <xf numFmtId="0" fontId="30" fillId="46" borderId="0" xfId="1" applyFont="1" applyFill="1"/>
    <xf numFmtId="10" fontId="20" fillId="47" borderId="0" xfId="1" applyNumberFormat="1" applyFont="1" applyFill="1"/>
    <xf numFmtId="2" fontId="20" fillId="47" borderId="0" xfId="1" applyNumberFormat="1" applyFont="1" applyFill="1"/>
    <xf numFmtId="0" fontId="30" fillId="47" borderId="0" xfId="1" applyFont="1" applyFill="1"/>
    <xf numFmtId="10" fontId="20" fillId="48" borderId="0" xfId="1" applyNumberFormat="1" applyFont="1" applyFill="1"/>
    <xf numFmtId="2" fontId="20" fillId="48" borderId="0" xfId="1" applyNumberFormat="1" applyFont="1" applyFill="1"/>
    <xf numFmtId="0" fontId="30" fillId="48" borderId="0" xfId="1" applyFont="1" applyFill="1"/>
    <xf numFmtId="10" fontId="20" fillId="49" borderId="0" xfId="1" applyNumberFormat="1" applyFont="1" applyFill="1"/>
    <xf numFmtId="2" fontId="20" fillId="49" borderId="0" xfId="1" applyNumberFormat="1" applyFont="1" applyFill="1"/>
    <xf numFmtId="0" fontId="30" fillId="49" borderId="0" xfId="1" applyFont="1" applyFill="1"/>
    <xf numFmtId="10" fontId="20" fillId="50" borderId="0" xfId="1" applyNumberFormat="1" applyFont="1" applyFill="1"/>
    <xf numFmtId="2" fontId="20" fillId="50" borderId="0" xfId="1" applyNumberFormat="1" applyFont="1" applyFill="1"/>
    <xf numFmtId="0" fontId="30" fillId="50" borderId="0" xfId="1" applyFont="1" applyFill="1"/>
    <xf numFmtId="0" fontId="31" fillId="37" borderId="0" xfId="1" applyFont="1" applyFill="1"/>
    <xf numFmtId="0" fontId="10" fillId="51" borderId="0" xfId="1" applyFont="1" applyFill="1" applyAlignment="1">
      <alignment horizontal="center" vertical="center" wrapText="1"/>
    </xf>
    <xf numFmtId="0" fontId="22" fillId="0" borderId="0" xfId="1" applyFont="1"/>
    <xf numFmtId="3" fontId="32" fillId="0" borderId="0" xfId="1" applyNumberFormat="1" applyFont="1" applyAlignment="1">
      <alignment horizontal="center"/>
    </xf>
    <xf numFmtId="164" fontId="32" fillId="0" borderId="0" xfId="1" applyNumberFormat="1" applyFont="1" applyAlignment="1">
      <alignment horizontal="center"/>
    </xf>
    <xf numFmtId="2" fontId="32" fillId="0" borderId="0" xfId="1" applyNumberFormat="1" applyFont="1" applyAlignment="1">
      <alignment horizontal="center"/>
    </xf>
    <xf numFmtId="10" fontId="32" fillId="0" borderId="0" xfId="1" applyNumberFormat="1" applyFont="1" applyAlignment="1">
      <alignment horizontal="center"/>
    </xf>
    <xf numFmtId="0" fontId="32" fillId="0" borderId="0" xfId="1" applyFont="1" applyAlignment="1">
      <alignment horizontal="center"/>
    </xf>
    <xf numFmtId="0" fontId="8" fillId="3" borderId="0" xfId="1" applyFont="1" applyFill="1" applyAlignment="1">
      <alignment horizontal="center" vertical="center" wrapText="1"/>
    </xf>
    <xf numFmtId="0" fontId="8" fillId="52" borderId="0" xfId="1" applyFont="1" applyFill="1" applyAlignment="1">
      <alignment horizontal="center" vertical="center" wrapText="1"/>
    </xf>
    <xf numFmtId="0" fontId="8" fillId="6" borderId="0" xfId="1" applyFont="1" applyFill="1" applyAlignment="1">
      <alignment horizontal="center" vertical="center" wrapText="1"/>
    </xf>
    <xf numFmtId="165" fontId="20" fillId="45" borderId="0" xfId="1" applyNumberFormat="1" applyFont="1" applyFill="1"/>
    <xf numFmtId="165" fontId="20" fillId="50" borderId="0" xfId="1" applyNumberFormat="1" applyFont="1" applyFill="1"/>
    <xf numFmtId="165" fontId="20" fillId="41" borderId="0" xfId="1" applyNumberFormat="1" applyFont="1" applyFill="1"/>
    <xf numFmtId="165" fontId="20" fillId="42" borderId="0" xfId="1" applyNumberFormat="1" applyFont="1" applyFill="1"/>
    <xf numFmtId="165" fontId="20" fillId="48" borderId="0" xfId="1" applyNumberFormat="1" applyFont="1" applyFill="1"/>
    <xf numFmtId="165" fontId="20" fillId="40" borderId="0" xfId="1" applyNumberFormat="1" applyFont="1" applyFill="1"/>
    <xf numFmtId="165" fontId="20" fillId="39" borderId="0" xfId="1" applyNumberFormat="1" applyFont="1" applyFill="1"/>
    <xf numFmtId="165" fontId="20" fillId="34" borderId="0" xfId="1" applyNumberFormat="1" applyFont="1" applyFill="1"/>
    <xf numFmtId="165" fontId="20" fillId="36" borderId="0" xfId="1" applyNumberFormat="1" applyFont="1" applyFill="1"/>
    <xf numFmtId="165" fontId="20" fillId="46" borderId="0" xfId="1" applyNumberFormat="1" applyFont="1" applyFill="1"/>
    <xf numFmtId="165" fontId="20" fillId="43" borderId="0" xfId="1" applyNumberFormat="1" applyFont="1" applyFill="1"/>
    <xf numFmtId="165" fontId="20" fillId="47" borderId="0" xfId="1" applyNumberFormat="1" applyFont="1" applyFill="1"/>
    <xf numFmtId="165" fontId="20" fillId="49" borderId="0" xfId="1" applyNumberFormat="1" applyFont="1" applyFill="1"/>
    <xf numFmtId="0" fontId="36" fillId="0" borderId="0" xfId="1" applyFont="1"/>
    <xf numFmtId="3" fontId="37" fillId="0" borderId="0" xfId="1" applyNumberFormat="1" applyFont="1"/>
    <xf numFmtId="164" fontId="37" fillId="0" borderId="0" xfId="1" applyNumberFormat="1" applyFont="1"/>
    <xf numFmtId="2" fontId="37" fillId="0" borderId="0" xfId="1" applyNumberFormat="1" applyFont="1"/>
    <xf numFmtId="0" fontId="10" fillId="2" borderId="0" xfId="1" applyFont="1" applyFill="1"/>
    <xf numFmtId="3" fontId="10" fillId="2" borderId="0" xfId="1" applyNumberFormat="1" applyFont="1" applyFill="1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51" borderId="0" xfId="1" applyFont="1" applyFill="1" applyAlignment="1">
      <alignment horizontal="center" vertical="center"/>
    </xf>
    <xf numFmtId="0" fontId="10" fillId="3" borderId="0" xfId="1" applyFont="1" applyFill="1" applyAlignment="1">
      <alignment horizontal="left" vertical="center"/>
    </xf>
    <xf numFmtId="4" fontId="2" fillId="0" borderId="0" xfId="1" applyNumberFormat="1"/>
    <xf numFmtId="0" fontId="4" fillId="7" borderId="0" xfId="1" applyFont="1" applyFill="1" applyAlignment="1">
      <alignment horizontal="left" vertical="center"/>
    </xf>
    <xf numFmtId="0" fontId="4" fillId="8" borderId="0" xfId="1" applyFont="1" applyFill="1" applyAlignment="1">
      <alignment horizontal="left" vertical="center"/>
    </xf>
    <xf numFmtId="0" fontId="4" fillId="9" borderId="0" xfId="1" applyFont="1" applyFill="1" applyAlignment="1">
      <alignment horizontal="left" vertical="center"/>
    </xf>
    <xf numFmtId="0" fontId="3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4" fillId="3" borderId="0" xfId="1" applyFont="1" applyFill="1" applyAlignment="1">
      <alignment horizontal="left" vertical="center"/>
    </xf>
    <xf numFmtId="0" fontId="4" fillId="4" borderId="0" xfId="1" applyFont="1" applyFill="1" applyAlignment="1">
      <alignment horizontal="left" vertical="center"/>
    </xf>
    <xf numFmtId="0" fontId="4" fillId="5" borderId="0" xfId="1" applyFont="1" applyFill="1" applyAlignment="1">
      <alignment horizontal="left" vertical="center"/>
    </xf>
    <xf numFmtId="0" fontId="4" fillId="6" borderId="0" xfId="1" applyFont="1" applyFill="1" applyAlignment="1">
      <alignment horizontal="left" vertical="center"/>
    </xf>
    <xf numFmtId="0" fontId="10" fillId="20" borderId="0" xfId="1" applyFont="1" applyFill="1" applyAlignment="1">
      <alignment horizontal="left" vertical="top"/>
    </xf>
    <xf numFmtId="0" fontId="12" fillId="11" borderId="0" xfId="1" applyFont="1" applyFill="1" applyAlignment="1">
      <alignment horizontal="left" vertical="top" wrapText="1"/>
    </xf>
    <xf numFmtId="0" fontId="13" fillId="21" borderId="0" xfId="1" applyFont="1" applyFill="1" applyAlignment="1">
      <alignment horizontal="left" vertical="top"/>
    </xf>
    <xf numFmtId="0" fontId="10" fillId="28" borderId="0" xfId="1" applyFont="1" applyFill="1" applyAlignment="1">
      <alignment horizontal="left" vertical="top"/>
    </xf>
    <xf numFmtId="0" fontId="18" fillId="10" borderId="0" xfId="1" applyFont="1" applyFill="1" applyAlignment="1">
      <alignment horizontal="left" vertical="top"/>
    </xf>
    <xf numFmtId="0" fontId="10" fillId="31" borderId="0" xfId="1" applyFont="1" applyFill="1" applyAlignment="1">
      <alignment horizontal="left" vertical="top"/>
    </xf>
    <xf numFmtId="0" fontId="10" fillId="30" borderId="0" xfId="1" applyFont="1" applyFill="1" applyAlignment="1">
      <alignment horizontal="left" vertical="top"/>
    </xf>
    <xf numFmtId="0" fontId="10" fillId="25" borderId="0" xfId="1" applyFont="1" applyFill="1" applyAlignment="1">
      <alignment horizontal="left" vertical="top"/>
    </xf>
    <xf numFmtId="0" fontId="10" fillId="29" borderId="0" xfId="1" applyFont="1" applyFill="1" applyAlignment="1">
      <alignment horizontal="left" vertical="top"/>
    </xf>
    <xf numFmtId="0" fontId="10" fillId="27" borderId="0" xfId="1" applyFont="1" applyFill="1" applyAlignment="1">
      <alignment horizontal="left" vertical="top"/>
    </xf>
    <xf numFmtId="0" fontId="10" fillId="26" borderId="0" xfId="1" applyFont="1" applyFill="1" applyAlignment="1">
      <alignment horizontal="left" vertical="top"/>
    </xf>
    <xf numFmtId="0" fontId="10" fillId="24" borderId="0" xfId="1" applyFont="1" applyFill="1" applyAlignment="1">
      <alignment horizontal="left" vertical="top"/>
    </xf>
    <xf numFmtId="0" fontId="7" fillId="10" borderId="0" xfId="1" applyFont="1" applyFill="1" applyAlignment="1">
      <alignment horizontal="left" vertical="top"/>
    </xf>
    <xf numFmtId="0" fontId="10" fillId="14" borderId="0" xfId="1" applyFont="1" applyFill="1" applyAlignment="1">
      <alignment horizontal="left" vertical="top"/>
    </xf>
    <xf numFmtId="0" fontId="10" fillId="10" borderId="0" xfId="1" applyFont="1" applyFill="1" applyAlignment="1">
      <alignment horizontal="left" vertical="top"/>
    </xf>
    <xf numFmtId="0" fontId="19" fillId="2" borderId="0" xfId="1" applyFont="1" applyFill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19" fillId="6" borderId="0" xfId="1" applyFont="1" applyFill="1" applyAlignment="1">
      <alignment horizontal="center" vertical="center"/>
    </xf>
    <xf numFmtId="0" fontId="4" fillId="8" borderId="0" xfId="1" applyFont="1" applyFill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4" fillId="52" borderId="0" xfId="1" applyFont="1" applyFill="1" applyAlignment="1">
      <alignment horizontal="left" vertical="center"/>
    </xf>
    <xf numFmtId="0" fontId="33" fillId="2" borderId="0" xfId="1" applyFon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8" fillId="6" borderId="0" xfId="1" applyFont="1" applyFill="1" applyAlignment="1">
      <alignment horizontal="center" vertical="center"/>
    </xf>
    <xf numFmtId="0" fontId="8" fillId="7" borderId="0" xfId="1" applyFont="1" applyFill="1" applyAlignment="1">
      <alignment horizontal="center" vertical="center"/>
    </xf>
    <xf numFmtId="0" fontId="8" fillId="52" borderId="0" xfId="1" applyFont="1" applyFill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5" fillId="0" borderId="0" xfId="1" applyFont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0" fillId="0" borderId="0" xfId="0" applyNumberFormat="1"/>
    <xf numFmtId="0" fontId="2" fillId="0" borderId="0" xfId="1" applyFill="1"/>
    <xf numFmtId="0" fontId="2" fillId="0" borderId="0" xfId="1" applyNumberFormat="1" applyFill="1"/>
    <xf numFmtId="0" fontId="2" fillId="0" borderId="0" xfId="1" applyNumberFormat="1"/>
    <xf numFmtId="0" fontId="41" fillId="53" borderId="0" xfId="0" applyFont="1" applyFill="1" applyAlignment="1">
      <alignment horizontal="center"/>
    </xf>
    <xf numFmtId="0" fontId="0" fillId="53" borderId="0" xfId="0" applyFill="1" applyAlignment="1">
      <alignment horizontal="center"/>
    </xf>
    <xf numFmtId="0" fontId="42" fillId="54" borderId="0" xfId="0" applyFont="1" applyFill="1" applyAlignment="1">
      <alignment horizontal="center"/>
    </xf>
    <xf numFmtId="0" fontId="0" fillId="54" borderId="0" xfId="0" applyFill="1" applyAlignment="1">
      <alignment horizontal="center"/>
    </xf>
    <xf numFmtId="0" fontId="43" fillId="55" borderId="0" xfId="0" applyFont="1" applyFill="1" applyAlignment="1">
      <alignment wrapText="1"/>
    </xf>
    <xf numFmtId="0" fontId="43" fillId="53" borderId="0" xfId="0" applyFont="1" applyFill="1" applyAlignment="1">
      <alignment wrapText="1"/>
    </xf>
    <xf numFmtId="0" fontId="0" fillId="0" borderId="0" xfId="0" applyAlignment="1">
      <alignment wrapText="1"/>
    </xf>
    <xf numFmtId="0" fontId="46" fillId="58" borderId="0" xfId="0" applyFont="1" applyFill="1" applyAlignment="1">
      <alignment wrapText="1"/>
    </xf>
    <xf numFmtId="0" fontId="45" fillId="57" borderId="0" xfId="0" applyFont="1" applyFill="1" applyAlignment="1">
      <alignment wrapText="1"/>
    </xf>
    <xf numFmtId="0" fontId="44" fillId="56" borderId="0" xfId="0" applyFont="1" applyFill="1" applyAlignment="1">
      <alignment wrapText="1"/>
    </xf>
    <xf numFmtId="0" fontId="0" fillId="0" borderId="0" xfId="0" quotePrefix="1" applyAlignment="1">
      <alignment wrapText="1"/>
    </xf>
    <xf numFmtId="0" fontId="47" fillId="57" borderId="0" xfId="0" applyFont="1" applyFill="1" applyAlignment="1">
      <alignment wrapText="1"/>
    </xf>
  </cellXfs>
  <cellStyles count="2">
    <cellStyle name="Normal" xfId="0" builtinId="0"/>
    <cellStyle name="Normal 2" xfId="1" xr:uid="{CA000C33-2B9C-4115-A51F-9865CCBBCEC3}"/>
  </cellStyles>
  <dxfs count="2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595959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FFFFFF"/>
        <name val="Arial"/>
        <family val="2"/>
        <scheme val="none"/>
      </font>
      <fill>
        <patternFill patternType="solid">
          <fgColor rgb="FF833C00"/>
          <bgColor rgb="FF843C0C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283593"/>
          <bgColor rgb="FF1F386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595959"/>
        <name val="Arial"/>
        <charset val="1"/>
        <scheme val="none"/>
      </font>
      <fill>
        <patternFill patternType="solid">
          <fgColor rgb="FFFFF2CC"/>
          <bgColor rgb="FFFCE4D6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8B"/>
        <name val="Arial"/>
        <charset val="1"/>
        <scheme val="none"/>
      </font>
      <numFmt numFmtId="164" formatCode="0.0%"/>
      <fill>
        <patternFill patternType="solid">
          <fgColor rgb="FFFFF2CC"/>
          <bgColor rgb="FFFCE4D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8B"/>
        <name val="Arial"/>
        <charset val="1"/>
        <scheme val="none"/>
      </font>
      <numFmt numFmtId="164" formatCode="0.0%"/>
      <fill>
        <patternFill patternType="solid">
          <fgColor rgb="FFFFF2CC"/>
          <bgColor rgb="FFFCE4D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8B"/>
        <name val="Arial"/>
        <charset val="1"/>
        <scheme val="none"/>
      </font>
      <numFmt numFmtId="164" formatCode="0.0%"/>
      <fill>
        <patternFill patternType="solid">
          <fgColor rgb="FFFFF2CC"/>
          <bgColor rgb="FFFCE4D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FF2CC"/>
          <bgColor rgb="FFFCE4D6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FF2CC"/>
          <bgColor rgb="FFFCE4D6"/>
        </patternFill>
      </fill>
      <alignment horizontal="general" vertical="center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8B"/>
        <name val="Arial"/>
        <charset val="1"/>
        <scheme val="none"/>
      </font>
      <fill>
        <patternFill patternType="solid">
          <fgColor rgb="FFFFF2CC"/>
          <bgColor rgb="FFFCE4D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1565C0"/>
          <bgColor rgb="FF2E75B6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BF360C"/>
          <bgColor rgb="FFC0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595959"/>
        <name val="Arial"/>
        <charset val="1"/>
        <scheme val="none"/>
      </font>
      <numFmt numFmtId="164" formatCode="0.0%"/>
      <fill>
        <patternFill patternType="solid">
          <fgColor rgb="FFFFF2CC"/>
          <bgColor rgb="FFFCE4D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595959"/>
        <name val="Arial"/>
        <charset val="1"/>
        <scheme val="none"/>
      </font>
      <numFmt numFmtId="164" formatCode="0.0%"/>
      <fill>
        <patternFill patternType="solid">
          <fgColor rgb="FFE9F0FB"/>
          <bgColor rgb="FFEAF0F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595959"/>
        <name val="Arial"/>
        <charset val="1"/>
        <scheme val="none"/>
      </font>
      <numFmt numFmtId="164" formatCode="0.0%"/>
      <fill>
        <patternFill patternType="solid">
          <fgColor rgb="FFD9EAD3"/>
          <bgColor rgb="FFE2EFDA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8B"/>
        <name val="Arial"/>
        <charset val="1"/>
        <scheme val="none"/>
      </font>
      <numFmt numFmtId="164" formatCode="0.0%"/>
      <fill>
        <patternFill patternType="solid">
          <fgColor rgb="FFE9F0FB"/>
          <bgColor rgb="FFEAF0FB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1565C0"/>
          <bgColor rgb="FF2E75B6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theme" Target="theme/theme1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onnections" Target="connections.xml"/><Relationship Id="rId6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Taux de Gain par Lot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'09_DM_MATRICE_GAIN_RISQUE'!$E$2</c:f>
              <c:strCache>
                <c:ptCount val="1"/>
                <c:pt idx="0">
                  <c:v>TAUX GAIN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'09_DM_MATRICE_GAIN_RISQUE'!$A$3:$A$19</c:f>
              <c:strCache>
                <c:ptCount val="17"/>
                <c:pt idx="0">
                  <c:v>Lot 1</c:v>
                </c:pt>
                <c:pt idx="1">
                  <c:v>Lot 2</c:v>
                </c:pt>
                <c:pt idx="2">
                  <c:v>Lot 3</c:v>
                </c:pt>
                <c:pt idx="3">
                  <c:v>Lot 4</c:v>
                </c:pt>
                <c:pt idx="4">
                  <c:v>Lot 5</c:v>
                </c:pt>
                <c:pt idx="5">
                  <c:v>Lot 6</c:v>
                </c:pt>
                <c:pt idx="6">
                  <c:v>Lot 7</c:v>
                </c:pt>
                <c:pt idx="7">
                  <c:v>Lot 8</c:v>
                </c:pt>
                <c:pt idx="8">
                  <c:v>Lot 9</c:v>
                </c:pt>
                <c:pt idx="9">
                  <c:v>Lot 10</c:v>
                </c:pt>
                <c:pt idx="10">
                  <c:v>Lot 11</c:v>
                </c:pt>
                <c:pt idx="11">
                  <c:v>Lot 12</c:v>
                </c:pt>
                <c:pt idx="12">
                  <c:v>Lot 13</c:v>
                </c:pt>
                <c:pt idx="13">
                  <c:v>Lot 14</c:v>
                </c:pt>
                <c:pt idx="14">
                  <c:v>Lot 15</c:v>
                </c:pt>
                <c:pt idx="15">
                  <c:v>Lot 16</c:v>
                </c:pt>
                <c:pt idx="16">
                  <c:v>Lot 17</c:v>
                </c:pt>
              </c:strCache>
            </c:strRef>
          </c:cat>
          <c:val>
            <c:numRef>
              <c:f>'09_DM_MATRICE_GAIN_RISQUE'!$E$3:$E$19</c:f>
              <c:numCache>
                <c:formatCode>0.00%</c:formatCode>
                <c:ptCount val="17"/>
                <c:pt idx="0">
                  <c:v>0</c:v>
                </c:pt>
                <c:pt idx="1">
                  <c:v>0.60285659509202505</c:v>
                </c:pt>
                <c:pt idx="2">
                  <c:v>0.25210532554887799</c:v>
                </c:pt>
                <c:pt idx="3">
                  <c:v>0.29992979592283198</c:v>
                </c:pt>
                <c:pt idx="4">
                  <c:v>0.3</c:v>
                </c:pt>
                <c:pt idx="5">
                  <c:v>0.35</c:v>
                </c:pt>
                <c:pt idx="6">
                  <c:v>0.33182875740947898</c:v>
                </c:pt>
                <c:pt idx="7">
                  <c:v>0.80415593032370403</c:v>
                </c:pt>
                <c:pt idx="8">
                  <c:v>0.45</c:v>
                </c:pt>
                <c:pt idx="9">
                  <c:v>0.63833859160193995</c:v>
                </c:pt>
                <c:pt idx="10">
                  <c:v>0.80640789855773898</c:v>
                </c:pt>
                <c:pt idx="11">
                  <c:v>0.60474308300395296</c:v>
                </c:pt>
                <c:pt idx="12">
                  <c:v>0.647946488294314</c:v>
                </c:pt>
                <c:pt idx="13">
                  <c:v>0.57345971563981102</c:v>
                </c:pt>
                <c:pt idx="14">
                  <c:v>0.69227209055570704</c:v>
                </c:pt>
                <c:pt idx="15">
                  <c:v>0.4</c:v>
                </c:pt>
                <c:pt idx="16">
                  <c:v>0.36231884057970998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D-4A7F-8C7C-CC78A235D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19089"/>
        <c:axId val="84989424"/>
      </c:barChart>
      <c:catAx>
        <c:axId val="3991908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Taux de Gain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4989424"/>
        <c:crosses val="autoZero"/>
        <c:auto val="1"/>
        <c:lblAlgn val="ctr"/>
        <c:lblOffset val="100"/>
        <c:noMultiLvlLbl val="0"/>
      </c:catAx>
      <c:valAx>
        <c:axId val="8498942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Lot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99190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0</xdr:row>
      <xdr:rowOff>190499</xdr:rowOff>
    </xdr:from>
    <xdr:to>
      <xdr:col>8</xdr:col>
      <xdr:colOff>28575</xdr:colOff>
      <xdr:row>49</xdr:row>
      <xdr:rowOff>123825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4C0F3047-9407-BD9E-EF16-206AFE1A0668}"/>
            </a:ext>
          </a:extLst>
        </xdr:cNvPr>
        <xdr:cNvSpPr txBox="1"/>
      </xdr:nvSpPr>
      <xdr:spPr>
        <a:xfrm>
          <a:off x="752475" y="190499"/>
          <a:ext cx="5372100" cy="92678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6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DOCUMENTATION DETAILLEE - DOSSIER  06_ANALYTICS</a:t>
          </a:r>
        </a:p>
        <a:p>
          <a:endParaRPr lang="fr-FR" sz="11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fr-FR" sz="11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fr-FR" sz="11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fr-FR" sz="11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Ce document explique de manière simple et pédagogique le rôle du dossier 06_ANALYTICS dans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le système décisionnel du projet.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Objectif principal : transformer des données techniques (quantités et prix) en indicateurs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stratégiques compréhensibles par un investisseur ou un décideur.</a:t>
          </a:r>
        </a:p>
        <a:p>
          <a:endParaRPr lang="fr-FR" sz="11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fr-FR" sz="11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1. POSITION DANS L ARCHITECTURE DU MODELE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Le modele complet est organisé en couches successives :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01_RAW : Donnees brutes (fichiers Excel).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02_CLEAN : Nettoyage et correction des donnees.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03_STAGING : Application de la logique metier.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04_FACT : Consolidation finale des donnees calculées.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05_DIM : Tables de reference (familles, lots, etc.).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06_ANALYTICS : Analyse strategique (ce dossier).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07_DASHBOARD : Restitution visuelle pour decision.</a:t>
          </a:r>
        </a:p>
        <a:p>
          <a:endParaRPr lang="fr-FR" sz="11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fr-FR" sz="11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2. ROLE DU DOSSIER 06_ANALYTICS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Le dossier 06_ANALYTICS ne modifie pas les prix. Il ne nettoie pas les données. Il ne calcule pas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la logique métier principale.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Son rôle est uniquement d analyser les résultats déjà calculés afin de répondre aux questions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suivantes :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Ou gagne-t-on de l argent ?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Ou perd-on de l argent ?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Quelles zones sont prioritaires ?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Faut-il importer ou rester en local ?</a:t>
          </a:r>
        </a:p>
        <a:p>
          <a:endParaRPr lang="fr-FR" sz="11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fr-FR" sz="11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3. EXPLICATION DES INDICATEURS SIMPLEMENT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IPI (Indice Performance Import) : mesure le gain ou la perte liée à l importation.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Formule : TOTAL_ECONOMIE / TOTAL_LOCAL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TAUX_ECO : pourcentage de gain ou perte.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NOTE_STRATEGIQUE : score simplifié sur 100 permettant de classer les zones.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ZONE_STRATEGIQUE : classification automatique :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VERT : zone interessante a developper.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ORANGE : zone a surveiller.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ROUGE : zone critique a analyser.</a:t>
          </a:r>
        </a:p>
        <a:p>
          <a:endParaRPr lang="fr-FR" sz="11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fr-FR" sz="11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4. COMMENT UN INVESTISSEUR LIT CES DONNEES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Un investisseur ne regarde pas seulement si une zone est rentable. Il regarde aussi son poids dans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le projet.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Impact reel = Performance x Importance dans le projet.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Le dossier 06_ANALYTICS permet donc une priorisation intelligente des actions et des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négociations fournisseurs.</a:t>
          </a:r>
        </a:p>
        <a:p>
          <a:r>
            <a:rPr lang="fr-F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Conclusion : Ce dossier constitue le coeur strategique du systeme decisionnel CAPEX.</a:t>
          </a:r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190800</xdr:rowOff>
    </xdr:from>
    <xdr:to>
      <xdr:col>23</xdr:col>
      <xdr:colOff>580680</xdr:colOff>
      <xdr:row>27</xdr:row>
      <xdr:rowOff>164160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FBF70D-4288-416D-B37F-27EDF31E3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8" xr16:uid="{7CFFE920-DBE9-4DC4-960F-BE237926114F}" autoFormatId="16" applyNumberFormats="0" applyBorderFormats="0" applyFontFormats="0" applyPatternFormats="0" applyAlignmentFormats="0" applyWidthHeightFormats="0">
  <queryTableRefresh nextId="6">
    <queryTableFields count="5">
      <queryTableField id="1" name="FAM_METIER_ID" tableColumnId="1"/>
      <queryTableField id="2" name="CODE_FAM_METIER" tableColumnId="2"/>
      <queryTableField id="3" name="LIBELLE_FAM_METIER" tableColumnId="3"/>
      <queryTableField id="4" name="CATEGORIE_METIER" tableColumnId="4"/>
      <queryTableField id="5" name="ORDRE_AFFICHAG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37" xr16:uid="{AA6542AB-10CF-4D1B-BCA1-B136706D6D72}" autoFormatId="16" applyNumberFormats="0" applyBorderFormats="0" applyFontFormats="0" applyPatternFormats="0" applyAlignmentFormats="0" applyWidthHeightFormats="0">
  <queryTableRefresh nextId="4">
    <queryTableFields count="3">
      <queryTableField id="1" name="PARAM" tableColumnId="1"/>
      <queryTableField id="2" name="VALUE" tableColumnId="2"/>
      <queryTableField id="3" name="TYP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2" xr16:uid="{35C1984C-D548-4DEA-8A2C-C21F331147EA}" autoFormatId="16" applyNumberFormats="0" applyBorderFormats="0" applyFontFormats="0" applyPatternFormats="0" applyAlignmentFormats="0" applyWidthHeightFormats="0">
  <queryTableRefresh nextId="20">
    <queryTableFields count="19">
      <queryTableField id="1" name="PROJET_ID" tableColumnId="1"/>
      <queryTableField id="2" name="TRANSPORT" tableColumnId="2"/>
      <queryTableField id="3" name="ASSURANCE" tableColumnId="3"/>
      <queryTableField id="4" name="DOUANE" tableColumnId="4"/>
      <queryTableField id="5" name="PORT" tableColumnId="5"/>
      <queryTableField id="6" name="LOGISTIQUE" tableColumnId="6"/>
      <queryTableField id="7" name="TRANSPORT_LOCAL" tableColumnId="7"/>
      <queryTableField id="8" name="CHANGE" tableColumnId="8"/>
      <queryTableField id="9" name="MARGE" tableColumnId="9"/>
      <queryTableField id="10" name="IMPREVUS" tableColumnId="10"/>
      <queryTableField id="11" name="TAUX_TRANSPORT_MARITIME" tableColumnId="11"/>
      <queryTableField id="12" name="TAUX_ASSURANCE" tableColumnId="12"/>
      <queryTableField id="13" name="TAUX_DOUANE" tableColumnId="13"/>
      <queryTableField id="14" name="TAUX_FRAIS_PORT" tableColumnId="14"/>
      <queryTableField id="15" name="TAUX_LOGISTIQUE" tableColumnId="15"/>
      <queryTableField id="16" name="TAUX_TRANSPORT_LOCAL" tableColumnId="16"/>
      <queryTableField id="17" name="TAUX_CHANGE_USD" tableColumnId="17"/>
      <queryTableField id="18" name="TAUX_MARGE_IMPORT" tableColumnId="18"/>
      <queryTableField id="19" name="TAUX_IMPREVUS_IMPORT" tableColumnId="1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9" xr16:uid="{596464FB-25B0-406E-9C4A-048C119B01B5}" autoFormatId="16" applyNumberFormats="0" applyBorderFormats="0" applyFontFormats="0" applyPatternFormats="0" applyAlignmentFormats="0" applyWidthHeightFormats="0">
  <queryTableRefresh nextId="2">
    <queryTableFields count="1">
      <queryTableField id="1" name="PARAM_PROJET_ID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8" xr16:uid="{D66AA2B1-34F9-408D-929C-F4EFC90654F4}" autoFormatId="16" applyNumberFormats="0" applyBorderFormats="0" applyFontFormats="0" applyPatternFormats="0" applyAlignmentFormats="0" applyWidthHeightFormats="0">
  <queryTableRefresh nextId="9">
    <queryTableFields count="8">
      <queryTableField id="1" name="PROJET_ID" tableColumnId="1"/>
      <queryTableField id="2" name="CODE_BPU" tableColumnId="2"/>
      <queryTableField id="3" name="DESIGNATION" tableColumnId="3"/>
      <queryTableField id="4" name="LOT" tableColumnId="4"/>
      <queryTableField id="5" name="BATIMENT_ID" tableColumnId="5"/>
      <queryTableField id="6" name="NIVEAU_ID" tableColumnId="6"/>
      <queryTableField id="7" name="UNITE" tableColumnId="7"/>
      <queryTableField id="8" name="QTE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14" xr16:uid="{7F52D8E6-A885-45F4-B4B3-919424D5C798}" autoFormatId="16" applyNumberFormats="0" applyBorderFormats="0" applyFontFormats="0" applyPatternFormats="0" applyAlignmentFormats="0" applyWidthHeightFormats="0">
  <queryTableRefresh nextId="7">
    <queryTableFields count="6">
      <queryTableField id="1" name="LOT_ID" tableColumnId="1"/>
      <queryTableField id="2" name="CODE_LOT" tableColumnId="2"/>
      <queryTableField id="3" name="NOM_LOT" tableColumnId="3"/>
      <queryTableField id="4" name="DESCRIPTION_LOT" tableColumnId="4"/>
      <queryTableField id="5" name="ORDRE_LOT" tableColumnId="5"/>
      <queryTableField id="6" name="TYPE_LOT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40" xr16:uid="{66EA67A3-A692-4FA7-8B32-9191CBF48446}" autoFormatId="16" applyNumberFormats="0" applyBorderFormats="0" applyFontFormats="0" applyPatternFormats="0" applyAlignmentFormats="0" applyWidthHeightFormats="0">
  <queryTableRefresh nextId="7">
    <queryTableFields count="6">
      <queryTableField id="1" name="LOT_ID" tableColumnId="1"/>
      <queryTableField id="2" name="CODE_LOT" tableColumnId="2"/>
      <queryTableField id="3" name="NOM_LOT" tableColumnId="3"/>
      <queryTableField id="4" name="DESCRIPTION_LOT" tableColumnId="4"/>
      <queryTableField id="5" name="ORDRE_LOT" tableColumnId="5"/>
      <queryTableField id="6" name="TYPE_LOT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0" xr16:uid="{0E3CB0E8-0343-45E7-BC94-5DB3CC7568CD}" autoFormatId="16" applyNumberFormats="0" applyBorderFormats="0" applyFontFormats="0" applyPatternFormats="0" applyAlignmentFormats="0" applyWidthHeightFormats="0">
  <queryTableRefresh nextId="7">
    <queryTableFields count="6">
      <queryTableField id="1" name="LOT_ID" tableColumnId="1"/>
      <queryTableField id="2" name="CODE_LOT" tableColumnId="2"/>
      <queryTableField id="3" name="NOM_LOT" tableColumnId="3"/>
      <queryTableField id="4" name="DESCRIPTION_LOT" tableColumnId="4"/>
      <queryTableField id="5" name="ORDRE_LOT" tableColumnId="5"/>
      <queryTableField id="6" name="TYPE_LOT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6" xr16:uid="{522BA487-3C84-4280-98CC-A53AA9FB388D}" autoFormatId="16" applyNumberFormats="0" applyBorderFormats="0" applyFontFormats="0" applyPatternFormats="0" applyAlignmentFormats="0" applyWidthHeightFormats="0">
  <queryTableRefresh nextId="22">
    <queryTableFields count="13">
      <queryTableField id="2" name="CODE_BPU" tableColumnId="2"/>
      <queryTableField id="3" name="DESIGNATION" tableColumnId="3"/>
      <queryTableField id="4" name="LOT" tableColumnId="4"/>
      <queryTableField id="5" name="BATIMENT_ID" tableColumnId="5"/>
      <queryTableField id="6" name="NIVEAU_ID" tableColumnId="6"/>
      <queryTableField id="7" name="UNITE" tableColumnId="7"/>
      <queryTableField id="8" name="QTE" tableColumnId="8"/>
      <queryTableField id="9" name="DATE_MAJ" tableColumnId="9"/>
      <queryTableField id="1" name="PROJET_ID" tableColumnId="1"/>
      <queryTableField id="10" name="PU_LOCAL" tableColumnId="10"/>
      <queryTableField id="11" name="PU_CHINE" tableColumnId="11"/>
      <queryTableField id="12" name="PRIX_LOCAL_OK" tableColumnId="12"/>
      <queryTableField id="13" name="PRIX_CHINE_OK" tableColumnId="1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7" xr16:uid="{4A9C3997-A697-46D0-A392-9D4DA93C6111}" autoFormatId="16" applyNumberFormats="0" applyBorderFormats="0" applyFontFormats="0" applyPatternFormats="0" applyAlignmentFormats="0" applyWidthHeightFormats="0">
  <queryTableRefresh nextId="19">
    <queryTableFields count="9">
      <queryTableField id="2" name="CODE_BPU" tableColumnId="2"/>
      <queryTableField id="9" name="DESIGNATION" tableColumnId="9"/>
      <queryTableField id="3" name="LOT" tableColumnId="3"/>
      <queryTableField id="4" name="BATIMENT_ID" tableColumnId="4"/>
      <queryTableField id="5" name="NIVEAU_ID" tableColumnId="5"/>
      <queryTableField id="6" name="UNITE" tableColumnId="6"/>
      <queryTableField id="7" name="QTE" tableColumnId="7"/>
      <queryTableField id="8" name="DATE_MAJ" tableColumnId="8"/>
      <queryTableField id="1" name="PROJET_ID" tableColumnId="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5" xr16:uid="{2AE2714C-E719-4986-A7E6-6CCC0748E4CF}" autoFormatId="16" applyNumberFormats="0" applyBorderFormats="0" applyFontFormats="0" applyPatternFormats="0" applyAlignmentFormats="0" applyWidthHeightFormats="0">
  <queryTableRefresh nextId="25">
    <queryTableFields count="20">
      <queryTableField id="1" name="CODE_BPU" tableColumnId="1"/>
      <queryTableField id="6" name="DESIGNATION" tableColumnId="5"/>
      <queryTableField id="4" name="LOT" tableColumnId="4"/>
      <queryTableField id="3" name="FAM_ARTICLE_ID" tableColumnId="3"/>
      <queryTableField id="7" name="PU_LOCAL" tableColumnId="6"/>
      <queryTableField id="8" name="UNITE" tableColumnId="7"/>
      <queryTableField id="11" name="PU_CHINE_FOB" tableColumnId="10"/>
      <queryTableField id="9" name="PROJET_ID" tableColumnId="8"/>
      <queryTableField id="10" name="TYPE_ARTICLE" tableColumnId="9"/>
      <queryTableField id="12" name="PU_IMPORT_ESTIME" tableColumnId="11"/>
      <queryTableField id="13" name="IMPORTABLE" tableColumnId="12"/>
      <queryTableField id="14" name="CATEGORIE_IMPORT" tableColumnId="13"/>
      <queryTableField id="15" name="POIDS_KG" tableColumnId="14"/>
      <queryTableField id="16" name="VOLUME_M3" tableColumnId="15"/>
      <queryTableField id="17" name="SENSIBILITE_TRANSPORT" tableColumnId="16"/>
      <queryTableField id="18" name="SOURCE_PRIX_LOCAL" tableColumnId="17"/>
      <queryTableField id="19" name="SOURCE_PRIX_CHINE" tableColumnId="18"/>
      <queryTableField id="20" name="DATE_REFERENCE_PRIX" tableColumnId="19"/>
      <queryTableField id="21" name="ACTIF" tableColumnId="20"/>
      <queryTableField id="22" name="COMMENTAIRE" tableColumnId="2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6" xr16:uid="{725881DE-265F-4039-97F6-CD2044362C36}" autoFormatId="16" applyNumberFormats="0" applyBorderFormats="0" applyFontFormats="0" applyPatternFormats="0" applyAlignmentFormats="0" applyWidthHeightFormats="0">
  <queryTableRefresh nextId="27">
    <queryTableFields count="11">
      <queryTableField id="2" name="CODE_BPU" tableColumnId="2"/>
      <queryTableField id="3" name="DESIGNATION" tableColumnId="3"/>
      <queryTableField id="4" name="LOT" tableColumnId="4"/>
      <queryTableField id="5" name="UNITE" tableColumnId="5"/>
      <queryTableField id="7" name="PU_LOCAL" tableColumnId="7"/>
      <queryTableField id="9" name="DATE_REFERENCE" tableColumnId="9"/>
      <queryTableField id="11" name="SOURCE" tableColumnId="11"/>
      <queryTableField id="1" name="PROJET_ID" tableColumnId="1"/>
      <queryTableField id="8" name="TYPE_COUT" tableColumnId="8"/>
      <queryTableField id="10" name="ACTIF" tableColumnId="10"/>
      <queryTableField id="6" name="FAM_ARTICLE_ID" tableColumnId="6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5" xr16:uid="{9AB167D6-C48C-451C-A4AD-ECBA85200DFD}" autoFormatId="16" applyNumberFormats="0" applyBorderFormats="0" applyFontFormats="0" applyPatternFormats="0" applyAlignmentFormats="0" applyWidthHeightFormats="0">
  <queryTableRefresh nextId="20">
    <queryTableFields count="12">
      <queryTableField id="2" name="CODE_BPU" tableColumnId="2"/>
      <queryTableField id="3" name="DESIGNATION" tableColumnId="3"/>
      <queryTableField id="4" name="LOT" tableColumnId="4"/>
      <queryTableField id="5" name="UNITE" tableColumnId="5"/>
      <queryTableField id="7" name="PU_CHINE_FOB" tableColumnId="7"/>
      <queryTableField id="9" name="TYPE_COUT" tableColumnId="9"/>
      <queryTableField id="10" name="SOURCE" tableColumnId="10"/>
      <queryTableField id="1" name="PROJET_ID" tableColumnId="1"/>
      <queryTableField id="6" name="FAM_ARTICLE_ID" tableColumnId="6"/>
      <queryTableField id="8" name="PU_IMPORT_NET" tableColumnId="8"/>
      <queryTableField id="11" name="DATE_VALIDATION" tableColumnId="11"/>
      <queryTableField id="12" name="STATUT" tableColumnId="1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45" xr16:uid="{88055DFC-E0FE-4E21-A757-5742D5055DB3}" autoFormatId="16" applyNumberFormats="0" applyBorderFormats="0" applyFontFormats="0" applyPatternFormats="0" applyAlignmentFormats="0" applyWidthHeightFormats="0">
  <queryTableRefresh nextId="26">
    <queryTableFields count="25">
      <queryTableField id="1" name="CODE_BPU" tableColumnId="1"/>
      <queryTableField id="2" name="DESIGNATION" tableColumnId="2"/>
      <queryTableField id="3" name="BATIMENT_ID" tableColumnId="3"/>
      <queryTableField id="4" name="NIVEAU_ID" tableColumnId="4"/>
      <queryTableField id="5" name="UNITE" tableColumnId="5"/>
      <queryTableField id="6" name="QTE" tableColumnId="6"/>
      <queryTableField id="7" name="DATE_MAJ" tableColumnId="7"/>
      <queryTableField id="8" name="PROJET_ID" tableColumnId="8"/>
      <queryTableField id="9" name="FAM_ARTICLE_ID" tableColumnId="9"/>
      <queryTableField id="10" name="PU_LOCAL" tableColumnId="10"/>
      <queryTableField id="11" name="TYPE_COUT" tableColumnId="11"/>
      <queryTableField id="12" name="PU_CHINE_FOB" tableColumnId="12"/>
      <queryTableField id="13" name="IMPORTABLE" tableColumnId="13"/>
      <queryTableField id="14" name="RISQUE_IMPORT" tableColumnId="14"/>
      <queryTableField id="15" name="PU_CHINE_FOB_E" tableColumnId="15"/>
      <queryTableField id="16" name="STATUT_PRIX" tableColumnId="16"/>
      <queryTableField id="17" name="PU_IMPORT_NET" tableColumnId="17"/>
      <queryTableField id="18" name="PU_LOCAL_MARGE" tableColumnId="18"/>
      <queryTableField id="19" name="MONTANT_LOCAL" tableColumnId="19"/>
      <queryTableField id="20" name="MONTANT_IMPORT" tableColumnId="20"/>
      <queryTableField id="21" name="ECONOMIE_NETTE" tableColumnId="21"/>
      <queryTableField id="22" name="TAUX_ECONOMIE" tableColumnId="22"/>
      <queryTableField id="23" name="DECISION" tableColumnId="23"/>
      <queryTableField id="24" name="LOT_ID" tableColumnId="24"/>
      <queryTableField id="25" name="SCORE_STRATEGIQUE" tableColumnId="25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3" xr16:uid="{B2E2F53C-B68E-43F4-AEF9-A936086869D4}" autoFormatId="16" applyNumberFormats="0" applyBorderFormats="0" applyFontFormats="0" applyPatternFormats="0" applyAlignmentFormats="0" applyWidthHeightFormats="0">
  <queryTableRefresh nextId="2">
    <queryTableFields count="1">
      <queryTableField id="1" name="Fonction appelée" tableColumnId="1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9" xr16:uid="{F4CD1EAF-A06B-467D-9A28-EE977073475E}" autoFormatId="16" applyNumberFormats="0" applyBorderFormats="0" applyFontFormats="0" applyPatternFormats="0" applyAlignmentFormats="0" applyWidthHeightFormats="0">
  <queryTableRefresh nextId="9">
    <queryTableFields count="6">
      <queryTableField id="2" name="LOT_ID" tableColumnId="2"/>
      <queryTableField id="3" name="CODE_LOT" tableColumnId="3"/>
      <queryTableField id="1" name="NOM_LOT" tableColumnId="1"/>
      <queryTableField id="4" name="DESCRIPTION_LOT" tableColumnId="4"/>
      <queryTableField id="5" name="ORDRE_LOT" tableColumnId="5"/>
      <queryTableField id="6" name="TYPE_LOT" tableColumnId="6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2" xr16:uid="{364974D1-6936-4527-89D0-9401BDF7F3B9}" autoFormatId="16" applyNumberFormats="0" applyBorderFormats="0" applyFontFormats="0" applyPatternFormats="0" applyAlignmentFormats="0" applyWidthHeightFormats="0">
  <queryTableRefresh nextId="69">
    <queryTableFields count="11">
      <queryTableField id="44" name="PROJET_ID" tableColumnId="8"/>
      <queryTableField id="45" name="CODE_BPU" tableColumnId="9"/>
      <queryTableField id="46" name="LOT_ID" tableColumnId="10"/>
      <queryTableField id="47" name="FAM_ARTICLE_ID" tableColumnId="11"/>
      <queryTableField id="2" name="BATIMENT_ID" tableColumnId="2"/>
      <queryTableField id="48" name="NIVEAU_ID" tableColumnId="12"/>
      <queryTableField id="49" name="QTE" tableColumnId="13"/>
      <queryTableField id="50" name="MONTANT_LOCAL" tableColumnId="14"/>
      <queryTableField id="51" name="MONTANT_IMPORT" tableColumnId="15"/>
      <queryTableField id="54" name="DECISION" tableColumnId="18"/>
      <queryTableField id="60" name="NIVEAU_KEY" tableColumnId="20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30" xr16:uid="{9BC611F8-FDF7-4BBA-82AD-AB7E10248B35}" autoFormatId="16" applyNumberFormats="0" applyBorderFormats="0" applyFontFormats="0" applyPatternFormats="0" applyAlignmentFormats="0" applyWidthHeightFormats="0">
  <queryTableRefresh nextId="6">
    <queryTableFields count="5">
      <queryTableField id="1" name="PROJET_ID" tableColumnId="1"/>
      <queryTableField id="2" name="BATIMENT_ID" tableColumnId="2"/>
      <queryTableField id="3" name="NIVEAU_ID" tableColumnId="3"/>
      <queryTableField id="4" name="NIVEAU_KEY" tableColumnId="4"/>
      <queryTableField id="5" name="ORDRE_NIVEAU" tableColumnId="5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6" xr16:uid="{590CBD1E-CDD5-4AF1-8A9A-168C052F4541}" autoFormatId="16" applyNumberFormats="0" applyBorderFormats="0" applyFontFormats="0" applyPatternFormats="0" applyAlignmentFormats="0" applyWidthHeightFormats="0">
  <queryTableRefresh nextId="8">
    <queryTableFields count="5">
      <queryTableField id="2" name="BATIMENT_ID" tableColumnId="2"/>
      <queryTableField id="3" name="NOM_BATIMENT" tableColumnId="3"/>
      <queryTableField id="1" name="PROJET_ID" tableColumnId="1"/>
      <queryTableField id="4" name="ORDRE_AFFICHAGE" tableColumnId="4"/>
      <queryTableField id="7" name="TYPE_BATIMENT" tableColumnId="5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1" xr16:uid="{C851A46C-89EE-4693-8F0D-427DEFA2395F}" autoFormatId="16" applyNumberFormats="0" applyBorderFormats="0" applyFontFormats="0" applyPatternFormats="0" applyAlignmentFormats="0" applyWidthHeightFormats="0">
  <queryTableRefresh nextId="9">
    <queryTableFields count="8">
      <queryTableField id="1" name="PROJET_ID" tableColumnId="1"/>
      <queryTableField id="2" name="NOM_PROJET" tableColumnId="2"/>
      <queryTableField id="3" name="TYPE_PROJET" tableColumnId="3"/>
      <queryTableField id="4" name="STATUT" tableColumnId="4"/>
      <queryTableField id="5" name="DATE_CREATION" tableColumnId="5"/>
      <queryTableField id="6" name="DEVISE" tableColumnId="6"/>
      <queryTableField id="7" name="MODE_SOURCING" tableColumnId="7"/>
      <queryTableField id="8" name="NB_LOTS" tableColumnId="8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3" connectionId="23" xr16:uid="{F1BE0D02-89FE-48AA-B97A-045A0152C172}" autoFormatId="16" applyNumberFormats="0" applyBorderFormats="0" applyFontFormats="0" applyPatternFormats="0" applyAlignmentFormats="0" applyWidthHeightFormats="0">
  <queryTableRefresh nextId="11">
    <queryTableFields count="10">
      <queryTableField id="1" name="BATIMENT_ID" tableColumnId="1"/>
      <queryTableField id="2" name="NIVEAU_ID" tableColumnId="2"/>
      <queryTableField id="3" name="LOT_ID" tableColumnId="3"/>
      <queryTableField id="4" name="FAM_ARTICLE_ID" tableColumnId="4"/>
      <queryTableField id="5" name="TOTAL_LOCAL" tableColumnId="5"/>
      <queryTableField id="6" name="TOTAL_IMPORT" tableColumnId="6"/>
      <queryTableField id="7" name="TOTAL_ECONOMIE" tableColumnId="7"/>
      <queryTableField id="8" name="TAUX_ECO" tableColumnId="8"/>
      <queryTableField id="9" name="NOTE_STRATEGIQUE" tableColumnId="9"/>
      <queryTableField id="10" name="ZONE_STRATEGIQUE" tableColumnId="10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1" connectionId="19" xr16:uid="{778472F3-669A-43C5-84FA-84745DF910A3}" autoFormatId="16" applyNumberFormats="0" applyBorderFormats="0" applyFontFormats="0" applyPatternFormats="0" applyAlignmentFormats="0" applyWidthHeightFormats="0">
  <queryTableRefresh nextId="9">
    <queryTableFields count="8">
      <queryTableField id="1" name="BATIMENT_ID" tableColumnId="1"/>
      <queryTableField id="2" name="TOTAL_LOCAL" tableColumnId="2"/>
      <queryTableField id="3" name="TOTAL_IMPORT" tableColumnId="3"/>
      <queryTableField id="4" name="TOTAL_ECONOMIE" tableColumnId="4"/>
      <queryTableField id="5" name="TAUX_ECO" tableColumnId="5"/>
      <queryTableField id="6" name="TAUX_IMPORT_LIGNES" tableColumnId="6"/>
      <queryTableField id="7" name="NOTE_STRATEGIQUE" tableColumnId="7"/>
      <queryTableField id="8" name="ZONE_STRATEGIQUE" tableColumnId="8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5" connectionId="20" xr16:uid="{7A71C012-6A03-4696-82CF-6EC2B61506F8}" autoFormatId="16" applyNumberFormats="0" applyBorderFormats="0" applyFontFormats="0" applyPatternFormats="0" applyAlignmentFormats="0" applyWidthHeightFormats="0">
  <queryTableRefresh nextId="8">
    <queryTableFields count="7">
      <queryTableField id="1" name="BATIMENT_ID" tableColumnId="1"/>
      <queryTableField id="2" name="NIVEAU_ID" tableColumnId="2"/>
      <queryTableField id="3" name="TOTAL_LOCAL" tableColumnId="3"/>
      <queryTableField id="4" name="TOTAL_IMPORT" tableColumnId="4"/>
      <queryTableField id="5" name="TOTAL_ECONOMIE" tableColumnId="5"/>
      <queryTableField id="6" name="TAUX_ECO" tableColumnId="6"/>
      <queryTableField id="7" name="TAUX_IMPORT_LIGNES" tableColumnId="7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4" connectionId="24" xr16:uid="{B22BD6AD-ADE3-40BF-AB5C-B9544C4E5B19}" autoFormatId="16" applyNumberFormats="0" applyBorderFormats="0" applyFontFormats="0" applyPatternFormats="0" applyAlignmentFormats="0" applyWidthHeightFormats="0">
  <queryTableRefresh nextId="8">
    <queryTableFields count="7">
      <queryTableField id="1" name="LOT_ID" tableColumnId="1"/>
      <queryTableField id="2" name="TOTAL_LOCAL" tableColumnId="2"/>
      <queryTableField id="3" name="TOTAL_IMPORT" tableColumnId="3"/>
      <queryTableField id="4" name="TOTAL_ECONOMIE" tableColumnId="4"/>
      <queryTableField id="5" name="IPI_LOT" tableColumnId="5"/>
      <queryTableField id="6" name="TAUX_IMPORT_LIGNES" tableColumnId="6"/>
      <queryTableField id="7" name="DECISION_DOMINANTE" tableColumnId="7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3" connectionId="22" xr16:uid="{E52A8EF2-F53B-4128-9183-D919678733FB}" autoFormatId="16" applyNumberFormats="0" applyBorderFormats="0" applyFontFormats="0" applyPatternFormats="0" applyAlignmentFormats="0" applyWidthHeightFormats="0">
  <queryTableRefresh nextId="8">
    <queryTableFields count="7">
      <queryTableField id="1" name="FAM_ARTICLE_ID" tableColumnId="1"/>
      <queryTableField id="2" name="TOTAL_LOCAL" tableColumnId="2"/>
      <queryTableField id="3" name="TOTAL_IMPORT" tableColumnId="3"/>
      <queryTableField id="4" name="IPI_FAM" tableColumnId="4"/>
      <queryTableField id="5" name="RISQUE_MOYEN" tableColumnId="5"/>
      <queryTableField id="6" name="DECISION_DOMINANTE" tableColumnId="6"/>
      <queryTableField id="7" name="CAUSE_DOMINANTE" tableColumnId="7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2" connectionId="21" xr16:uid="{A571E700-BABE-4C51-9280-11CC0B41B58A}" autoFormatId="16" applyNumberFormats="0" applyBorderFormats="0" applyFontFormats="0" applyPatternFormats="0" applyAlignmentFormats="0" applyWidthHeightFormats="0">
  <queryTableRefresh nextId="9">
    <queryTableFields count="8">
      <queryTableField id="1" name="TOTAL_LOCAL" tableColumnId="1"/>
      <queryTableField id="2" name="TOTAL_IMPORT" tableColumnId="2"/>
      <queryTableField id="3" name="TOTAL_ECONOMIE" tableColumnId="3"/>
      <queryTableField id="4" name="IPI_PROJET" tableColumnId="4"/>
      <queryTableField id="5" name="SCORE_GLOBAL" tableColumnId="5"/>
      <queryTableField id="6" name="TAUX_IMPORT_LIGNES" tableColumnId="6"/>
      <queryTableField id="7" name="NB_FAMILLES_IMPORT" tableColumnId="7"/>
      <queryTableField id="8" name="NB_LOTS_IMPOR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F39EFA-65C5-4458-8248-44C07A7FA32F}" name="DIM_FAM_METIER_1" displayName="DIM_FAM_METIER_1" ref="A1:E5" tableType="queryTable" totalsRowShown="0">
  <autoFilter ref="A1:E5" xr:uid="{8B0441FA-D644-4FA8-BC68-CF200CC3145C}"/>
  <tableColumns count="5">
    <tableColumn id="1" xr3:uid="{3A4D2430-D078-462F-B8A9-3957DC514F34}" uniqueName="1" name="FAM_METIER_ID" queryTableFieldId="1" dataDxfId="217" dataCellStyle="Normal 2"/>
    <tableColumn id="2" xr3:uid="{17164B0F-2B6C-47C7-BF51-80A53EB4535F}" uniqueName="2" name="CODE_FAM_METIER" queryTableFieldId="2" dataDxfId="216" dataCellStyle="Normal 2"/>
    <tableColumn id="3" xr3:uid="{12654763-63F0-4C74-93B5-BBB599E72EE5}" uniqueName="3" name="LIBELLE_FAM_METIER" queryTableFieldId="3" dataDxfId="215" dataCellStyle="Normal 2"/>
    <tableColumn id="4" xr3:uid="{5D8C4EF5-DC2F-442A-A8BF-0670BAE30D01}" uniqueName="4" name="CATEGORIE_METIER" queryTableFieldId="4" dataDxfId="214" dataCellStyle="Normal 2"/>
    <tableColumn id="5" xr3:uid="{8FCC7536-269F-45C9-A7C9-6A9AB3D07E55}" uniqueName="5" name="ORDRE_AFFICHAGE" queryTableFieldId="5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CC1D499F-AB0F-41F8-9A13-2795F2151874}" name="PARAM_GLOBAL" displayName="PARAM_GLOBAL" ref="A1:C20" tableType="queryTable" totalsRowShown="0">
  <autoFilter ref="A1:C20" xr:uid="{CC1D499F-AB0F-41F8-9A13-2795F2151874}"/>
  <tableColumns count="3">
    <tableColumn id="1" xr3:uid="{184F42F6-6F61-4BFC-B999-FFE8B362A864}" uniqueName="1" name="PARAM" queryTableFieldId="1"/>
    <tableColumn id="2" xr3:uid="{F5C142A9-3BF9-4FA6-9566-B90B6E6D4B9C}" uniqueName="2" name="VALUE" queryTableFieldId="2"/>
    <tableColumn id="3" xr3:uid="{A2A1D03A-9FE5-4B10-81A6-FB7B823B7119}" uniqueName="3" name="TYP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BAD6897-E3D5-4C0D-A2CD-6D8AA24122F1}" name="T_PARAM_IMPORT" displayName="T_PARAM_IMPORT" ref="A1:S2" tableType="queryTable" totalsRowShown="0">
  <autoFilter ref="A1:S2" xr:uid="{DBAD6897-E3D5-4C0D-A2CD-6D8AA24122F1}"/>
  <tableColumns count="19">
    <tableColumn id="1" xr3:uid="{F1A8DE75-330C-4F0E-8D64-CF0525588909}" uniqueName="1" name="PROJET_ID" queryTableFieldId="1" dataDxfId="85"/>
    <tableColumn id="2" xr3:uid="{63C4F016-CEC1-4156-A23B-1988C481C358}" uniqueName="2" name="TRANSPORT" queryTableFieldId="2" dataDxfId="84"/>
    <tableColumn id="3" xr3:uid="{D27B7520-AB12-4076-985B-8CBF0C4C26D6}" uniqueName="3" name="ASSURANCE" queryTableFieldId="3" dataDxfId="83"/>
    <tableColumn id="4" xr3:uid="{1B59C873-5EA0-4F43-9D47-F8E66F31C947}" uniqueName="4" name="DOUANE" queryTableFieldId="4" dataDxfId="82"/>
    <tableColumn id="5" xr3:uid="{1CC57BBD-9FE2-4D70-975B-F666C9CBFB46}" uniqueName="5" name="PORT" queryTableFieldId="5" dataDxfId="81"/>
    <tableColumn id="6" xr3:uid="{DBC1C793-DCE0-48D3-BAF9-EDA569240B55}" uniqueName="6" name="LOGISTIQUE" queryTableFieldId="6" dataDxfId="80"/>
    <tableColumn id="7" xr3:uid="{62F34FAC-EB46-48E6-88C9-1499414ED0B2}" uniqueName="7" name="TRANSPORT_LOCAL" queryTableFieldId="7" dataDxfId="79"/>
    <tableColumn id="8" xr3:uid="{3A189C66-7CB0-499B-BC3E-D73099D42C5D}" uniqueName="8" name="CHANGE" queryTableFieldId="8" dataDxfId="78"/>
    <tableColumn id="9" xr3:uid="{6E376498-7158-445B-80A5-1B81F7B67328}" uniqueName="9" name="MARGE" queryTableFieldId="9" dataDxfId="77"/>
    <tableColumn id="10" xr3:uid="{B79E4F30-AB29-4238-A433-F2CCEEE6A4AF}" uniqueName="10" name="IMPREVUS" queryTableFieldId="10" dataDxfId="76"/>
    <tableColumn id="11" xr3:uid="{6EFB04C1-1B39-418E-A12D-BFCE13795B6E}" uniqueName="11" name="TAUX_TRANSPORT_MARITIME" queryTableFieldId="11"/>
    <tableColumn id="12" xr3:uid="{4E755C56-AD1D-4B9A-B971-89DA1782AFA5}" uniqueName="12" name="TAUX_ASSURANCE" queryTableFieldId="12"/>
    <tableColumn id="13" xr3:uid="{D46A9EE5-5CA5-443C-9878-D56096DCA499}" uniqueName="13" name="TAUX_DOUANE" queryTableFieldId="13"/>
    <tableColumn id="14" xr3:uid="{89EF160C-C759-4441-A4B8-A811F59825D6}" uniqueName="14" name="TAUX_FRAIS_PORT" queryTableFieldId="14"/>
    <tableColumn id="15" xr3:uid="{3C73B0E3-4E07-43A2-918B-73EB48A336C1}" uniqueName="15" name="TAUX_LOGISTIQUE" queryTableFieldId="15"/>
    <tableColumn id="16" xr3:uid="{58B1B1A4-94AE-446D-B1BF-C14DEB62A949}" uniqueName="16" name="TAUX_TRANSPORT_LOCAL" queryTableFieldId="16"/>
    <tableColumn id="17" xr3:uid="{C762057F-7A78-42CB-95D0-CE13357169AC}" uniqueName="17" name="TAUX_CHANGE_USD" queryTableFieldId="17"/>
    <tableColumn id="18" xr3:uid="{61F8F907-A87F-4C97-BF6A-1435AF565EED}" uniqueName="18" name="TAUX_MARGE_IMPORT" queryTableFieldId="18"/>
    <tableColumn id="19" xr3:uid="{AD4A892D-2D8A-4F42-951A-5C96C9F00430}" uniqueName="19" name="TAUX_IMPREVUS_IMPORT" queryTableField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E41B71-7692-4818-A3EB-59AA5AF4F64C}" name="T_PARAMETRES_ACTIVE" displayName="T_PARAMETRES_ACTIVE" ref="A3:E17" totalsRowShown="0" headerRowDxfId="213">
  <autoFilter ref="A3:E17" xr:uid="{42B44691-BD05-4115-A08B-A256816EE75F}"/>
  <tableColumns count="5">
    <tableColumn id="1" xr3:uid="{569EDCA9-53C5-4981-8478-B24F3C34EE99}" name="PARAMETRE" dataDxfId="212"/>
    <tableColumn id="2" xr3:uid="{C912B700-52DE-4BA0-9295-982E15E82870}" name="VALEUR ACTIVE" dataDxfId="211"/>
    <tableColumn id="3" xr3:uid="{548A1454-4002-4AD4-BCA2-6F2E086958D4}" name="OPTIMISTE" dataDxfId="210"/>
    <tableColumn id="4" xr3:uid="{5CBF1ECC-CB6F-486D-8861-9D86AFF1C60A}" name="RÉALISTE" dataDxfId="209"/>
    <tableColumn id="5" xr3:uid="{433EEF84-F226-4337-BEF6-C303FB9BFD83}" name="STRESS" dataDxfId="20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EB3D9E-129E-43A3-BA05-10480F01E8A0}" name="T_PARAMETRES_SCENARIOS" displayName="T_PARAMETRES_SCENARIOS" ref="H1:H3" totalsRowShown="0" headerRowDxfId="207">
  <autoFilter ref="H1:H3" xr:uid="{D6EA03DF-0AE6-4596-9874-DCCAF6B5575C}"/>
  <tableColumns count="1">
    <tableColumn id="1" xr3:uid="{8834AE39-A3E3-4405-B674-C83148A813E1}" name="🎯 SCENARIO ACTIF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5A2EB1-9FCC-4388-A80D-218833439A26}" name="T_PARAMETRES" displayName="T_PARAMETRES" ref="A2:F16" totalsRowShown="0" headerRowDxfId="206" dataDxfId="205" tableBorderDxfId="204">
  <autoFilter ref="A2:F16" xr:uid="{DCC4E484-61B6-486A-AC6D-B5A15E808703}"/>
  <tableColumns count="6">
    <tableColumn id="1" xr3:uid="{10FFDB3E-7053-4A0E-AFF3-9DD5CAEC0845}" name="CATEGORIE" dataDxfId="203"/>
    <tableColumn id="2" xr3:uid="{7807B088-2228-40B9-B576-DBDB8B713DF4}" name="PARAMETRE" dataDxfId="202"/>
    <tableColumn id="3" xr3:uid="{C936D00C-37C2-4795-90CB-66A94DD04331}" name="OPTIMISTE" dataDxfId="201"/>
    <tableColumn id="4" xr3:uid="{BA299DA4-E1E4-4EEB-8AE2-E3B73CEE91D3}" name="REALISTE" dataDxfId="200"/>
    <tableColumn id="5" xr3:uid="{2563FCDB-ABD6-40E3-A0BE-A8CD6AE4CD2D}" name="STRESS" dataDxfId="199"/>
    <tableColumn id="6" xr3:uid="{75E75165-7235-418C-93CA-163A4E5B253B}" name="DESCRIPTION" dataDxfId="198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B6803C9B-9605-476B-A637-2260DF6CEC9E}" name="PARAM_PROJET_ID" displayName="PARAM_PROJET_ID" ref="A1:A2" tableType="queryTable" totalsRowShown="0">
  <autoFilter ref="A1:A2" xr:uid="{B6803C9B-9605-476B-A637-2260DF6CEC9E}"/>
  <tableColumns count="1">
    <tableColumn id="1" xr3:uid="{DE270E7B-8853-4AC0-AA46-58C8C9736B40}" uniqueName="1" name="PARAM_PROJET_ID" queryTableFieldId="1" dataDxfId="7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22D5BD-0039-4A28-9A39-1185EC1C5AA2}" name="T_PARAM_PROJET" displayName="T_PARAM_PROJET" ref="A1:H2" totalsRowShown="0" headerRowDxfId="197" dataDxfId="196">
  <autoFilter ref="A1:H2" xr:uid="{BA0DFE58-C503-4DCB-8DC2-41A515314B3A}"/>
  <tableColumns count="8">
    <tableColumn id="1" xr3:uid="{17258B19-9F60-45F8-9397-35900506D38B}" name="PROJET_ID" dataDxfId="195"/>
    <tableColumn id="2" xr3:uid="{952ADFD8-F49C-48ED-AF02-E51E6F60D6E8}" name="NOM_PROJET" dataDxfId="194"/>
    <tableColumn id="3" xr3:uid="{DEFE1044-675D-4F06-9C1E-73A5CA07BBBB}" name="TYPE_PROJET" dataDxfId="193"/>
    <tableColumn id="4" xr3:uid="{C930C1DB-E771-46EF-856E-2567E4A20892}" name="STATUT" dataDxfId="192"/>
    <tableColumn id="5" xr3:uid="{F3FB9E93-999E-4BDF-ABB5-4700CE403406}" name="DATE_CREATION" dataDxfId="191"/>
    <tableColumn id="6" xr3:uid="{C5CE50B5-1F53-4C4F-BF5C-679515F135D6}" name="DEVISE" dataDxfId="190"/>
    <tableColumn id="7" xr3:uid="{48B00DE3-6405-4061-A50D-B5578A2BB731}" name="MODE_SOURCING" dataDxfId="189"/>
    <tableColumn id="8" xr3:uid="{6ADEFED4-62DF-4760-B7FE-7DA7D6FF4F00}" name="NB_LOTS" dataDxfId="188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215A13-E096-4B9F-BE7F-7AC75583A245}" name="T_FAM_ARTICLE" displayName="T_FAM_ARTICLE" ref="A1:G18" totalsRowShown="0">
  <autoFilter ref="A1:G18" xr:uid="{C324899C-AF01-4DBA-8DD9-A4A968890F62}"/>
  <tableColumns count="7">
    <tableColumn id="1" xr3:uid="{1025481F-9674-4524-A5D7-0E86FAE280ED}" name="FAM_ARTICLE_ID"/>
    <tableColumn id="2" xr3:uid="{8058B497-6D54-4638-AAF6-FFCCE3F2A96D}" name="CODE_FAM_ARTICLE"/>
    <tableColumn id="3" xr3:uid="{CDCF010D-65A5-41F5-9E5F-6D0474B196C6}" name="LIBELLE_FAM_ARTICLE"/>
    <tableColumn id="4" xr3:uid="{467D25F2-9B91-4C32-BFB6-1742F701B9E7}" name="FAM_METIER_ID"/>
    <tableColumn id="5" xr3:uid="{FF800F16-EAA0-4F11-A7BC-58162B5112B0}" name="IMPORTABLE"/>
    <tableColumn id="6" xr3:uid="{91E24860-8F76-4267-96A0-66E0987F807D}" name="TAUX_MAIN_OEUVRE"/>
    <tableColumn id="7" xr3:uid="{ED2E2568-F2ED-4EC7-A65D-5943A701384F}" name="RISQUE_IMPORT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4F9C70-984E-4C50-9A3D-C211155407F4}" name="T_FAM_METIER_1" displayName="T_FAM_METIER_1" ref="A1:E5" totalsRowShown="0">
  <autoFilter ref="A1:E5" xr:uid="{A9F38391-D76E-435F-9768-FF86A7992706}"/>
  <tableColumns count="5">
    <tableColumn id="1" xr3:uid="{DEF56BF7-75CD-4460-B373-34E4D58DC74A}" name="FAM_METIER_ID" dataDxfId="187"/>
    <tableColumn id="2" xr3:uid="{5C6F6192-8281-4118-8079-1A32DB3EAAA9}" name="CODE_FAM_METIER" dataDxfId="186"/>
    <tableColumn id="3" xr3:uid="{A37097D8-4D54-4336-B41F-3BDE15B4C545}" name="LIBELLE_FAM_METIER" dataDxfId="185"/>
    <tableColumn id="4" xr3:uid="{1C7BA8F3-EBF5-4A23-A29C-FA4D7DD8F632}" name="CATEGORIE_METIER" dataDxfId="184"/>
    <tableColumn id="5" xr3:uid="{7AC39332-866E-4BFD-A9E5-3F1684CF825E}" name="ORDRE_AFFICHAGE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1D010C-ECC4-4009-A279-DDD3812712F0}" name="T_BATIMENT" displayName="T_BATIMENT" ref="A1:D3" totalsRowShown="0">
  <autoFilter ref="A1:D3" xr:uid="{3E6FBE0D-7F6B-4A30-A924-F9B3BDAF54A9}"/>
  <tableColumns count="4">
    <tableColumn id="1" xr3:uid="{D7CAB8B7-A4BB-42AB-A819-63E08C2FE43E}" name="BATIMENT_ID"/>
    <tableColumn id="2" xr3:uid="{36DB4B26-A5E3-49EC-B7B2-33D6F6E0EEA0}" name="NOM_BATIMENT"/>
    <tableColumn id="3" xr3:uid="{E8851946-F865-4A2A-8F96-D07ACD3BAED3}" name="PROJET_ID"/>
    <tableColumn id="4" xr3:uid="{B0D5178A-1230-4D02-894C-A5C699B78C73}" name="ORDRE_AFFICHAGE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77054FF-8BE1-4C09-ABA2-75A46618FE78}" name="T_MAPPING_DOMAINE_FAM" displayName="T_MAPPING_DOMAINE_FAM" ref="A1:B17" totalsRowShown="0" headerRowDxfId="183" dataDxfId="182">
  <autoFilter ref="A1:B17" xr:uid="{A77054FF-8BE1-4C09-ABA2-75A46618FE78}"/>
  <tableColumns count="2">
    <tableColumn id="1" xr3:uid="{249A6DAA-BB5F-49D5-AADC-FAAA96A9EAA5}" name="DOMAINE" dataDxfId="181"/>
    <tableColumn id="2" xr3:uid="{F0C37976-800F-45AB-AB71-F0B1E5C36EFF}" name="FAM_ARTICLE_ID" dataDxfId="180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24228A2-5F93-403C-AA4F-CC6494C5CF92}" name="CLEAN_METRE_AGG" displayName="CLEAN_METRE_AGG" ref="A1:H301" tableType="queryTable" totalsRowShown="0">
  <autoFilter ref="A1:H301" xr:uid="{624228A2-5F93-403C-AA4F-CC6494C5CF92}"/>
  <tableColumns count="8">
    <tableColumn id="1" xr3:uid="{929777D0-85CC-44AA-9D1E-CF556C4D8C6F}" uniqueName="1" name="PROJET_ID" queryTableFieldId="1" dataDxfId="179"/>
    <tableColumn id="2" xr3:uid="{F97C3FA4-F45C-4809-91EF-DDF4071458F9}" uniqueName="2" name="CODE_BPU" queryTableFieldId="2" dataDxfId="178"/>
    <tableColumn id="3" xr3:uid="{72ADC75B-9563-4CE0-A487-99E0BE20AA04}" uniqueName="3" name="DESIGNATION" queryTableFieldId="3"/>
    <tableColumn id="4" xr3:uid="{319E36F6-1A6B-4C91-A4E3-ECE16236675C}" uniqueName="4" name="LOT" queryTableFieldId="4" dataDxfId="177"/>
    <tableColumn id="5" xr3:uid="{EDE65139-C0AD-401A-8A2E-7B38C4D2018C}" uniqueName="5" name="BATIMENT_ID" queryTableFieldId="5" dataDxfId="176"/>
    <tableColumn id="6" xr3:uid="{09506FC9-C468-46A4-BD6D-96F002F8361E}" uniqueName="6" name="NIVEAU_ID" queryTableFieldId="6" dataDxfId="175"/>
    <tableColumn id="7" xr3:uid="{33C9E414-4AC2-40C0-9E7C-460C6F9F606A}" uniqueName="7" name="UNITE" queryTableFieldId="7" dataDxfId="174"/>
    <tableColumn id="8" xr3:uid="{D1326EE2-20CE-44F7-8150-971BAC937663}" uniqueName="8" name="QTE" queryTableFieldId="8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E35FA53-0432-418D-A3C9-7000B3D1266F}" name="T_RAW__METRE" displayName="T_RAW__METRE" ref="A1:I302" totalsRowShown="0">
  <autoFilter ref="A1:I302" xr:uid="{C8329F41-BFE9-4056-BC42-AFC171B10CC9}"/>
  <tableColumns count="9">
    <tableColumn id="1" xr3:uid="{2CD286A8-2812-4131-A574-61FF0D4BC328}" name="PROJET_ID" dataDxfId="173" dataCellStyle="Normal 2"/>
    <tableColumn id="2" xr3:uid="{F2960F84-B1EC-46AF-B6C1-B225747E23AF}" name="CODE_BPU" dataDxfId="172" dataCellStyle="Normal 2"/>
    <tableColumn id="8" xr3:uid="{E92AB051-6784-46DF-BB0F-DBDB41748288}" name="DESIGNATION" dataDxfId="171" dataCellStyle="Normal 2"/>
    <tableColumn id="3" xr3:uid="{F47B988A-FD6C-4A0A-A6E7-66874868D66C}" name="LOT" dataDxfId="170" dataCellStyle="Normal 2"/>
    <tableColumn id="4" xr3:uid="{5AE49D40-5B5E-4AD8-8C16-707E17D4DA85}" name="BATIMENT_ID" dataDxfId="169" dataCellStyle="Normal 2"/>
    <tableColumn id="5" xr3:uid="{543BE22C-FCFF-4472-8D56-F733F4239C53}" name="NIVEAU_ID" dataDxfId="168" dataCellStyle="Normal 2"/>
    <tableColumn id="6" xr3:uid="{836CD19E-19FA-49C3-A283-B9D4AE8FD721}" name="UNITE" dataDxfId="167" dataCellStyle="Normal 2"/>
    <tableColumn id="7" xr3:uid="{C84F6592-1303-4A5D-B129-58772991867E}" name="QTE" dataCellStyle="Normal 2"/>
    <tableColumn id="9" xr3:uid="{003526AF-73AB-4F82-A125-95A014250E89}" name="DATE_MAJ" dataDxfId="166" dataCellStyle="Normal 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2F8DA0F5-B5DB-4ADE-9496-0F169871E01D}" name="CLEAN__LOT" displayName="CLEAN__LOT" ref="A1:F15" tableType="queryTable" totalsRowShown="0">
  <autoFilter ref="A1:F15" xr:uid="{2F8DA0F5-B5DB-4ADE-9496-0F169871E01D}"/>
  <tableColumns count="6">
    <tableColumn id="1" xr3:uid="{ACEA2132-4936-4136-B3A7-E3D17FC23860}" uniqueName="1" name="LOT_ID" queryTableFieldId="1"/>
    <tableColumn id="2" xr3:uid="{A657F2D5-4B43-42F8-81EF-4F8594C036E2}" uniqueName="2" name="CODE_LOT" queryTableFieldId="2" dataDxfId="52"/>
    <tableColumn id="3" xr3:uid="{70663E2E-063D-4B0E-BBFD-41D890B8D399}" uniqueName="3" name="NOM_LOT" queryTableFieldId="3" dataDxfId="51"/>
    <tableColumn id="4" xr3:uid="{E62A3244-0BCF-4B62-A7EB-DCA96FC6FCBD}" uniqueName="4" name="DESCRIPTION_LOT" queryTableFieldId="4" dataDxfId="50"/>
    <tableColumn id="5" xr3:uid="{BE75A6F8-890D-4355-8CA4-8436799B2906}" uniqueName="5" name="ORDRE_LOT" queryTableFieldId="5"/>
    <tableColumn id="6" xr3:uid="{6C3E1027-0C3A-4008-83B9-E2DD1A331676}" uniqueName="6" name="TYPE_LOT" queryTableFieldId="6" dataDxfId="49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8F56C9F0-B75B-4E20-986A-3A8A577A68B3}" name="RAW__LOT" displayName="RAW__LOT" ref="A1:F15" tableType="queryTable" totalsRowShown="0">
  <autoFilter ref="A1:F15" xr:uid="{8F56C9F0-B75B-4E20-986A-3A8A577A68B3}"/>
  <tableColumns count="6">
    <tableColumn id="1" xr3:uid="{DEB8A760-EDDD-43E3-BFBE-E715CD9BB896}" uniqueName="1" name="LOT_ID" queryTableFieldId="1"/>
    <tableColumn id="2" xr3:uid="{2AD631A2-266D-430F-9E66-EB7D771A3E2C}" uniqueName="2" name="CODE_LOT" queryTableFieldId="2" dataDxfId="74"/>
    <tableColumn id="3" xr3:uid="{1540893F-B17B-427C-BD71-D26F1A2E8AB1}" uniqueName="3" name="NOM_LOT" queryTableFieldId="3" dataDxfId="73"/>
    <tableColumn id="4" xr3:uid="{A1CFFC33-F0B2-4675-A9F1-3F719F3FB03E}" uniqueName="4" name="DESCRIPTION_LOT" queryTableFieldId="4" dataDxfId="72"/>
    <tableColumn id="5" xr3:uid="{0806631B-CF78-4BB4-9FE0-2F2A585BD078}" uniqueName="5" name="ORDRE_LOT" queryTableFieldId="5"/>
    <tableColumn id="6" xr3:uid="{2C4F70E1-B000-4B3E-A136-2F8C6E08FE16}" uniqueName="6" name="TYPE_LOT" queryTableFieldId="6" dataDxfId="71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974084CC-7250-4DC8-8291-4E0103F474D7}" name="T_LOT_1" displayName="T_LOT_1" ref="A1:F15" tableType="queryTable" totalsRowShown="0">
  <autoFilter ref="A1:F15" xr:uid="{974084CC-7250-4DC8-8291-4E0103F474D7}"/>
  <tableColumns count="6">
    <tableColumn id="1" xr3:uid="{7E6FE2C3-FB26-4907-B25C-D8F1457747A4}" uniqueName="1" name="LOT_ID" queryTableFieldId="1"/>
    <tableColumn id="2" xr3:uid="{A3377ECF-C34F-4B13-A50B-DE8B240F4375}" uniqueName="2" name="CODE_LOT" queryTableFieldId="2" dataDxfId="70"/>
    <tableColumn id="3" xr3:uid="{B4B76005-3B71-4DCB-B4CB-620038DBBE84}" uniqueName="3" name="NOM_LOT" queryTableFieldId="3" dataDxfId="69"/>
    <tableColumn id="4" xr3:uid="{3D6E5CA1-1CA1-45EE-9BD7-390A4296C878}" uniqueName="4" name="DESCRIPTION_LOT" queryTableFieldId="4" dataDxfId="68"/>
    <tableColumn id="5" xr3:uid="{578FF5B8-F754-4A69-8931-6C84B507987F}" uniqueName="5" name="ORDRE_LOT" queryTableFieldId="5"/>
    <tableColumn id="6" xr3:uid="{2FC7429F-FF67-4A40-8A1E-0DAF73027D01}" uniqueName="6" name="TYPE_LOT" queryTableFieldId="6" dataDxfId="6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D8E8030-B040-4074-B380-85F063CE0E04}" name="T_LOT" displayName="T_LOT" ref="A1:F15" totalsRowShown="0" headerRowDxfId="86" dataDxfId="87">
  <autoFilter ref="A1:F15" xr:uid="{0D8E8030-B040-4074-B380-85F063CE0E04}"/>
  <tableColumns count="6">
    <tableColumn id="1" xr3:uid="{2DCF64C0-4754-4A5E-82A3-D6A33EF00654}" name="LOT_ID" dataDxfId="93"/>
    <tableColumn id="2" xr3:uid="{CF4ED5BB-8AE7-4BEA-9293-BF0BD9A5EF1B}" name="CODE_LOT" dataDxfId="92"/>
    <tableColumn id="3" xr3:uid="{A9F4AA50-E684-4F8B-BD18-0EFA1E74015E}" name="NOM_LOT" dataDxfId="91"/>
    <tableColumn id="4" xr3:uid="{B128AED1-6629-4E64-9D2A-055F0A46997B}" name="DESCRIPTION_LOT" dataDxfId="90"/>
    <tableColumn id="5" xr3:uid="{A5DBB593-969D-4445-9ADD-79E8286A905D}" name="ORDRE_LOT" dataDxfId="89"/>
    <tableColumn id="6" xr3:uid="{FEA61485-920E-4CAA-BF33-D89DEE5DE262}" name="TYPE_LOT" dataDxfId="88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00D0214-388E-4E89-B2D3-B15BFF6F57A3}" name="T_RAW__BPU_LOCAL" displayName="T_RAW__BPU_LOCAL" ref="A1:K189" totalsRowShown="0">
  <autoFilter ref="A1:K189" xr:uid="{C46EE556-42A5-4943-8D1C-BC1BCBA27716}"/>
  <tableColumns count="11">
    <tableColumn id="2" xr3:uid="{77C56326-4863-437F-8D91-679D54836F27}" name="CODE_BPU" dataDxfId="165" dataCellStyle="Normal 2"/>
    <tableColumn id="3" xr3:uid="{BDE8311F-8A0A-47A7-9A68-9D6DD19C97CE}" name="DESIGNATION" dataDxfId="164" dataCellStyle="Normal 2"/>
    <tableColumn id="4" xr3:uid="{690F5314-030B-4449-BD6C-F79CC06603D9}" name="LOT" dataDxfId="163" dataCellStyle="Normal 2"/>
    <tableColumn id="5" xr3:uid="{B7BD71F4-7630-445D-B5C1-E3FE40185118}" name="UNITE" dataDxfId="162" dataCellStyle="Normal 2"/>
    <tableColumn id="7" xr3:uid="{212EC580-D37B-4022-9C5B-74F461BD1D5E}" name="PU_LOCAL" dataCellStyle="Normal 2"/>
    <tableColumn id="9" xr3:uid="{73B35F3C-D34E-48BC-9A0E-24C142BE80E0}" name="DATE_REFERENCE" dataDxfId="161" dataCellStyle="Normal 2"/>
    <tableColumn id="11" xr3:uid="{0CB1F44B-79B5-4F38-8A68-9537972AD03B}" name="SOURCE" dataDxfId="160" dataCellStyle="Normal 2"/>
    <tableColumn id="12" xr3:uid="{A0B5362E-8ED1-439A-BE08-D76206261FE0}" name="FAM_ARTICLE_ID" dataDxfId="159" dataCellStyle="Normal 2"/>
    <tableColumn id="1" xr3:uid="{667587D0-12E7-4433-A988-32D02A49B031}" name="PROJET_ID" dataDxfId="158" dataCellStyle="Normal 2"/>
    <tableColumn id="8" xr3:uid="{229F1062-9BE9-4C5F-A26F-8D6D5ED24F1D}" name="TYPE_COUT" dataDxfId="157" dataCellStyle="Normal 2"/>
    <tableColumn id="10" xr3:uid="{F0955987-0E3B-4805-9CAC-5093FFB41211}" name="ACTIF" dataCellStyle="Normal 2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A2BB6552-3DC4-4FAB-8EE7-7A5EBF8DFE09}" name="TEST_COHERENCE_PRIX" displayName="TEST_COHERENCE_PRIX" ref="A1:M302" tableType="queryTable" totalsRowShown="0">
  <autoFilter ref="A1:M302" xr:uid="{A2BB6552-3DC4-4FAB-8EE7-7A5EBF8DFE09}"/>
  <tableColumns count="13">
    <tableColumn id="2" xr3:uid="{6D41D28A-44CD-4911-8008-1ED57959D593}" uniqueName="2" name="CODE_BPU" queryTableFieldId="2" dataDxfId="98"/>
    <tableColumn id="3" xr3:uid="{2FFDCCAB-8FD0-4626-932B-A152C1558A41}" uniqueName="3" name="DESIGNATION" queryTableFieldId="3"/>
    <tableColumn id="4" xr3:uid="{CE64076E-0DEC-453F-BB9E-6D63BF9BE9EA}" uniqueName="4" name="LOT" queryTableFieldId="4" dataDxfId="97"/>
    <tableColumn id="5" xr3:uid="{70DB02B6-AB37-44D4-8802-053F14FB9D64}" uniqueName="5" name="BATIMENT_ID" queryTableFieldId="5" dataDxfId="96"/>
    <tableColumn id="6" xr3:uid="{7FD837C7-2E53-44D5-A3F4-728198BDF975}" uniqueName="6" name="NIVEAU_ID" queryTableFieldId="6" dataDxfId="95"/>
    <tableColumn id="7" xr3:uid="{2B956A4D-CF9A-49B9-BC7B-65053642EB8F}" uniqueName="7" name="UNITE" queryTableFieldId="7" dataDxfId="94"/>
    <tableColumn id="8" xr3:uid="{4741ED6C-4622-4705-9022-3651F85CD391}" uniqueName="8" name="QTE" queryTableFieldId="8"/>
    <tableColumn id="9" xr3:uid="{CCB80040-1DD4-4D9A-93EA-968A201763DB}" uniqueName="9" name="DATE_MAJ" queryTableFieldId="9" dataDxfId="47"/>
    <tableColumn id="1" xr3:uid="{E11A4D37-5C5B-45BD-B1E1-0107E0F6327E}" uniqueName="1" name="PROJET_ID" queryTableFieldId="1" dataDxfId="156"/>
    <tableColumn id="10" xr3:uid="{2EA1FD51-79D4-4AA3-9D57-55370811B18E}" uniqueName="10" name="PU_LOCAL" queryTableFieldId="10"/>
    <tableColumn id="11" xr3:uid="{E4227E1D-5F2D-4240-A80C-009C5B4BDC30}" uniqueName="11" name="PU_CHINE" queryTableFieldId="11"/>
    <tableColumn id="12" xr3:uid="{DED84529-26DA-47C0-9741-DC2ACA933E67}" uniqueName="12" name="PRIX_LOCAL_OK" queryTableFieldId="12"/>
    <tableColumn id="13" xr3:uid="{DCDA7749-ECF1-4092-B7FC-E4A0599003DA}" uniqueName="13" name="PRIX_CHINE_OK" queryTableFieldId="13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8A96812-D665-4B53-9FDD-794F1BA13700}" name="T_RAW__BPU_CHINE" displayName="T_RAW__BPU_CHINE" ref="A1:L101" totalsRowShown="0">
  <autoFilter ref="A1:L101" xr:uid="{C6120B6D-D5FA-4A69-9EDD-B9DD6AE288A2}"/>
  <tableColumns count="12">
    <tableColumn id="1" xr3:uid="{300A28ED-D848-42F1-B2EA-5310E7E67258}" name="CODE_BPU" dataDxfId="155"/>
    <tableColumn id="2" xr3:uid="{1BE22655-F4AB-4B7A-9370-84AB31482E42}" name="DESIGNATION" dataDxfId="154"/>
    <tableColumn id="3" xr3:uid="{F121A0A8-99EA-4913-8742-5AA20C56B614}" name="LOT" dataDxfId="153"/>
    <tableColumn id="4" xr3:uid="{23EC48F8-CB1F-40E2-971A-CCC846DC89E2}" name="UNITE" dataDxfId="152"/>
    <tableColumn id="5" xr3:uid="{EDA72122-19E0-4C64-839D-7B0F505950EA}" name="PU_CHINE_FOB" dataCellStyle="Normal 2"/>
    <tableColumn id="6" xr3:uid="{B6AB5972-8D32-4BFA-A418-5492663EFAB0}" name="TYPE_COUT" dataDxfId="151"/>
    <tableColumn id="7" xr3:uid="{610D97ED-611C-4B73-80F8-681ECFCAE9E0}" name="SOURCE" dataDxfId="150"/>
    <tableColumn id="8" xr3:uid="{6A25AA87-30AD-4F93-8842-DA762905F33D}" name="PROJET_ID" dataDxfId="149"/>
    <tableColumn id="9" xr3:uid="{FA51F971-8507-4F06-83A9-680F43BFA08E}" name="FAM_ARTICLE_ID" dataDxfId="148"/>
    <tableColumn id="10" xr3:uid="{36B67649-B413-4F33-BC23-AAB25A892897}" name="PU_IMPORT_NET"/>
    <tableColumn id="11" xr3:uid="{57605C23-600E-43B0-97BC-1741943E5119}" name="DATE_VALIDATION" dataDxfId="147"/>
    <tableColumn id="12" xr3:uid="{8545A964-50E8-49FC-963A-A301E9963D72}" name="STATUT" dataDxfId="146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41B9274-6F15-40C2-B313-189681C51A73}" name="CLEAN_METRE" displayName="CLEAN_METRE" ref="A1:I302" tableType="queryTable" totalsRowShown="0">
  <autoFilter ref="A1:I302" xr:uid="{CB757AC7-5919-4417-A9BF-6B13A532FEB2}"/>
  <tableColumns count="9">
    <tableColumn id="2" xr3:uid="{218CD29C-7E0A-4D0A-9EDF-702BE4FE36AF}" uniqueName="2" name="CODE_BPU" queryTableFieldId="2" dataDxfId="105" dataCellStyle="Normal 2"/>
    <tableColumn id="9" xr3:uid="{B23FD7FB-0A51-4AB7-929C-CA1224CDC53A}" uniqueName="9" name="DESIGNATION" queryTableFieldId="9" dataDxfId="104" dataCellStyle="Normal 2"/>
    <tableColumn id="3" xr3:uid="{D20FE704-D748-4FF5-8E7D-35D2E5BBBE5F}" uniqueName="3" name="LOT" queryTableFieldId="3" dataDxfId="103" dataCellStyle="Normal 2"/>
    <tableColumn id="4" xr3:uid="{0ED7B21B-F008-419B-BB5D-26426B33656B}" uniqueName="4" name="BATIMENT_ID" queryTableFieldId="4" dataDxfId="102" dataCellStyle="Normal 2"/>
    <tableColumn id="5" xr3:uid="{C9637913-2698-401E-BE1F-6F6C24932B7F}" uniqueName="5" name="NIVEAU_ID" queryTableFieldId="5" dataDxfId="101" dataCellStyle="Normal 2"/>
    <tableColumn id="6" xr3:uid="{94D931B8-EE4E-4D25-A70E-E74CA5A7CF73}" uniqueName="6" name="UNITE" queryTableFieldId="6" dataDxfId="100" dataCellStyle="Normal 2"/>
    <tableColumn id="7" xr3:uid="{F8885E47-17DC-4340-8E8B-C31356834BA7}" uniqueName="7" name="QTE" queryTableFieldId="7" dataDxfId="99" dataCellStyle="Normal 2"/>
    <tableColumn id="8" xr3:uid="{E2F55B39-50CE-4D4F-A9B9-76B9EEF4F423}" uniqueName="8" name="DATE_MAJ" queryTableFieldId="8" dataDxfId="48" dataCellStyle="Normal 2"/>
    <tableColumn id="1" xr3:uid="{6A6562BE-4364-4082-A322-4AB49943FAE3}" uniqueName="1" name="PROJET_ID" queryTableFieldId="1" dataDxfId="145" dataCellStyle="Normal 2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9D39EE1-3466-4581-B37F-2F487742BB7D}" name="DIM_ARTICLE_BPU" displayName="DIM_ARTICLE_BPU" ref="A1:T189" tableType="queryTable" totalsRowShown="0">
  <autoFilter ref="A1:T189" xr:uid="{49D39EE1-3466-4581-B37F-2F487742BB7D}"/>
  <tableColumns count="20">
    <tableColumn id="1" xr3:uid="{3FA96C89-1306-4F43-BCB1-F0DBD90D9801}" uniqueName="1" name="CODE_BPU" queryTableFieldId="1" dataDxfId="22"/>
    <tableColumn id="5" xr3:uid="{D7D23886-5BFB-48BF-884A-17E9918FE766}" uniqueName="5" name="DESIGNATION" queryTableFieldId="6" dataDxfId="21"/>
    <tableColumn id="4" xr3:uid="{D4B1BC13-627E-4AEF-B591-9D5CA038EFF3}" uniqueName="4" name="LOT" queryTableFieldId="4" dataDxfId="20"/>
    <tableColumn id="3" xr3:uid="{E8CA3008-3077-4A56-B51A-50E0EACCD124}" uniqueName="3" name="FAM_ARTICLE_ID" queryTableFieldId="3" dataDxfId="19"/>
    <tableColumn id="6" xr3:uid="{7EAB8D6D-2A97-4FB6-B017-C125EB99F604}" uniqueName="6" name="PU_LOCAL" queryTableFieldId="7"/>
    <tableColumn id="7" xr3:uid="{3403FA0B-C142-4780-9147-8A752B401F83}" uniqueName="7" name="UNITE" queryTableFieldId="8" dataDxfId="18"/>
    <tableColumn id="10" xr3:uid="{50A2A7B1-32D6-4B92-9498-2D4E4E408C64}" uniqueName="10" name="PU_CHINE_FOB" queryTableFieldId="11"/>
    <tableColumn id="8" xr3:uid="{C11D1ED4-4FD1-430B-BDC6-99C3FB3A3DFC}" uniqueName="8" name="PROJET_ID" queryTableFieldId="9" dataDxfId="17"/>
    <tableColumn id="9" xr3:uid="{B8494258-C291-467E-B356-5799695ECA33}" uniqueName="9" name="TYPE_ARTICLE" queryTableFieldId="10" dataDxfId="16"/>
    <tableColumn id="11" xr3:uid="{D3A3211A-13AA-4252-AAA7-D018E2F5F61F}" uniqueName="11" name="PU_IMPORT_ESTIME" queryTableFieldId="12"/>
    <tableColumn id="12" xr3:uid="{30E4BA41-67AD-4970-BAC0-380672C640B0}" uniqueName="12" name="IMPORTABLE" queryTableFieldId="13"/>
    <tableColumn id="13" xr3:uid="{6DF6ED90-9F61-4AD4-A246-83ED4EE623DF}" uniqueName="13" name="CATEGORIE_IMPORT" queryTableFieldId="14" dataDxfId="15"/>
    <tableColumn id="14" xr3:uid="{5331AD3A-E826-495E-8B13-6BD4C8D02402}" uniqueName="14" name="POIDS_KG" queryTableFieldId="15"/>
    <tableColumn id="15" xr3:uid="{CADCE937-B99D-4013-BB8A-69C81D7170F8}" uniqueName="15" name="VOLUME_M3" queryTableFieldId="16"/>
    <tableColumn id="16" xr3:uid="{D8BBD680-F431-4454-A905-A67C3AE40D26}" uniqueName="16" name="SENSIBILITE_TRANSPORT" queryTableFieldId="17"/>
    <tableColumn id="17" xr3:uid="{E89400B8-16B4-44E5-930F-9FD124D5C0DF}" uniqueName="17" name="SOURCE_PRIX_LOCAL" queryTableFieldId="18" dataDxfId="14"/>
    <tableColumn id="18" xr3:uid="{CA441E4C-BA4E-4D3C-AD8E-EB41C48A6927}" uniqueName="18" name="SOURCE_PRIX_CHINE" queryTableFieldId="19" dataDxfId="13"/>
    <tableColumn id="19" xr3:uid="{8FB67003-9E63-4F1D-800D-89CA174E39D2}" uniqueName="19" name="DATE_REFERENCE_PRIX" queryTableFieldId="20" dataDxfId="12"/>
    <tableColumn id="20" xr3:uid="{0E02D86C-702B-411D-98D0-BE48ABE3D3ED}" uniqueName="20" name="ACTIF" queryTableFieldId="21"/>
    <tableColumn id="21" xr3:uid="{35ED8A8C-E60B-4E8F-9A02-2C26524E26C1}" uniqueName="21" name="COMMENTAIRE" queryTableFieldId="22" dataDxfId="11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3998270-F4AC-4A1D-BC25-D37F097A073E}" name="CLEAN_BPU_LOCAL" displayName="CLEAN_BPU_LOCAL" ref="A1:K189" tableType="queryTable" totalsRowShown="0">
  <autoFilter ref="A1:K189" xr:uid="{385D7C7D-D18F-4993-B435-9CE4F89E99C9}"/>
  <tableColumns count="11">
    <tableColumn id="2" xr3:uid="{74EB95A0-F0ED-4FA2-AB62-EBB93129F8B5}" uniqueName="2" name="CODE_BPU" queryTableFieldId="2" dataDxfId="144" dataCellStyle="Normal 2"/>
    <tableColumn id="3" xr3:uid="{68D2DBF2-7F64-44F7-9760-9550ABCC3009}" uniqueName="3" name="DESIGNATION" queryTableFieldId="3" dataDxfId="143" dataCellStyle="Normal 2"/>
    <tableColumn id="4" xr3:uid="{4F2D8DAD-CDE3-4ACD-B4F2-0408322AD5AB}" uniqueName="4" name="LOT" queryTableFieldId="4" dataDxfId="142" dataCellStyle="Normal 2"/>
    <tableColumn id="5" xr3:uid="{CCB773AB-DF6B-463C-8706-3B23F942A404}" uniqueName="5" name="UNITE" queryTableFieldId="5" dataDxfId="141" dataCellStyle="Normal 2"/>
    <tableColumn id="7" xr3:uid="{46DE1580-F8DF-478B-80DC-6F0A60865927}" uniqueName="7" name="PU_LOCAL" queryTableFieldId="7" dataDxfId="140" dataCellStyle="Normal 2"/>
    <tableColumn id="9" xr3:uid="{4E1887C1-4C23-4C2A-9182-637427195A48}" uniqueName="9" name="DATE_REFERENCE" queryTableFieldId="9" dataDxfId="66" dataCellStyle="Normal 2"/>
    <tableColumn id="11" xr3:uid="{04B09C90-829C-4CB4-895A-7EB23F4A2F8E}" uniqueName="11" name="SOURCE" queryTableFieldId="11" dataDxfId="139" dataCellStyle="Normal 2"/>
    <tableColumn id="1" xr3:uid="{ACCDB5C3-2F1F-4FA1-BB80-146B84161D81}" uniqueName="1" name="PROJET_ID" queryTableFieldId="1" dataDxfId="138" dataCellStyle="Normal 2"/>
    <tableColumn id="8" xr3:uid="{B1A58236-A842-468F-B2B5-A46059969D68}" uniqueName="8" name="TYPE_COUT" queryTableFieldId="8" dataDxfId="137" dataCellStyle="Normal 2"/>
    <tableColumn id="10" xr3:uid="{CE53067B-E5F0-4BB7-A17F-07FFB7E308AF}" uniqueName="10" name="ACTIF" queryTableFieldId="10" dataDxfId="136" dataCellStyle="Normal 2"/>
    <tableColumn id="6" xr3:uid="{70A3A9B0-8710-41D6-8DCE-A55724AADFE5}" uniqueName="6" name="FAM_ARTICLE_ID" queryTableFieldId="6" dataDxfId="135" dataCellStyle="Normal 2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0F3DCEE-FB9C-47AB-938A-DDFE1E20F7D1}" name="CLEAN_BPU_CHINE" displayName="CLEAN_BPU_CHINE" ref="A1:L101" tableType="queryTable" totalsRowShown="0">
  <autoFilter ref="A1:L101" xr:uid="{16726DA7-2ACF-48A0-BAC9-81E1BFC5563E}"/>
  <tableColumns count="12">
    <tableColumn id="2" xr3:uid="{176A4E42-E0DA-4712-94BB-7168CF754EA7}" uniqueName="2" name="CODE_BPU" queryTableFieldId="2" dataDxfId="134" dataCellStyle="Normal 2"/>
    <tableColumn id="3" xr3:uid="{3E137FEA-E2CC-4E63-A65B-1CDD06050639}" uniqueName="3" name="DESIGNATION" queryTableFieldId="3" dataDxfId="133" dataCellStyle="Normal 2"/>
    <tableColumn id="4" xr3:uid="{196BAF7A-1CF0-43D4-8DA0-4D9D3DA6E7F9}" uniqueName="4" name="LOT" queryTableFieldId="4" dataDxfId="132" dataCellStyle="Normal 2"/>
    <tableColumn id="5" xr3:uid="{BCC755AF-F8CB-4755-A54F-C1181506546F}" uniqueName="5" name="UNITE" queryTableFieldId="5" dataDxfId="131" dataCellStyle="Normal 2"/>
    <tableColumn id="7" xr3:uid="{57D13B52-8AED-46EA-8776-FD7DBFB1FBAE}" uniqueName="7" name="PU_CHINE_FOB" queryTableFieldId="7" dataCellStyle="Normal 2"/>
    <tableColumn id="9" xr3:uid="{33080231-C92A-4161-B105-66DAF91A6912}" uniqueName="9" name="TYPE_COUT" queryTableFieldId="9" dataDxfId="130" dataCellStyle="Normal 2"/>
    <tableColumn id="10" xr3:uid="{DFCC9587-B515-4724-8CF8-BC0EA3138E1E}" uniqueName="10" name="SOURCE" queryTableFieldId="10" dataDxfId="129" dataCellStyle="Normal 2"/>
    <tableColumn id="1" xr3:uid="{FFE6B117-0BF1-4700-BC91-21F7EE14ECCF}" uniqueName="1" name="PROJET_ID" queryTableFieldId="1" dataDxfId="128" dataCellStyle="Normal 2"/>
    <tableColumn id="6" xr3:uid="{E8F807A5-981D-4FDF-AC9E-AD77ACFEAEC4}" uniqueName="6" name="FAM_ARTICLE_ID" queryTableFieldId="6" dataDxfId="127" dataCellStyle="Normal 2"/>
    <tableColumn id="8" xr3:uid="{F6544EBF-5E0D-4D08-A5F4-80BCE3A4D490}" uniqueName="8" name="PU_IMPORT_NET" queryTableFieldId="8" dataCellStyle="Normal 2"/>
    <tableColumn id="11" xr3:uid="{97A33748-3318-424D-8202-51C5D952193E}" uniqueName="11" name="DATE_VALIDATION" queryTableFieldId="11" dataDxfId="65" dataCellStyle="Normal 2"/>
    <tableColumn id="12" xr3:uid="{3DDACED5-DAC0-4148-8CC7-4FCEED8EE6DA}" uniqueName="12" name="STATUT" queryTableFieldId="12" dataDxfId="126" dataCellStyle="Normal 2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DE00D859-3128-467C-9E59-86E5E1859E05}" name="STAGING" displayName="STAGING" ref="A1:Y302" tableType="queryTable" totalsRowShown="0">
  <autoFilter ref="A1:Y302" xr:uid="{DE00D859-3128-467C-9E59-86E5E1859E05}"/>
  <tableColumns count="25">
    <tableColumn id="1" xr3:uid="{7F7B64F7-5407-44C4-98B7-AA2A7419B6B3}" uniqueName="1" name="CODE_BPU" queryTableFieldId="1" dataDxfId="10"/>
    <tableColumn id="2" xr3:uid="{DDF17581-E983-428F-BB8A-A875697078E0}" uniqueName="2" name="DESIGNATION" queryTableFieldId="2" dataDxfId="9"/>
    <tableColumn id="3" xr3:uid="{356C826F-75DC-4019-8576-EC5483BA933D}" uniqueName="3" name="BATIMENT_ID" queryTableFieldId="3" dataDxfId="8"/>
    <tableColumn id="4" xr3:uid="{071134B4-3649-4A3C-916C-0E843799EEC4}" uniqueName="4" name="NIVEAU_ID" queryTableFieldId="4" dataDxfId="7"/>
    <tableColumn id="5" xr3:uid="{C47A66C0-3001-48B4-8282-37BD6B5AFD4F}" uniqueName="5" name="UNITE" queryTableFieldId="5" dataDxfId="6"/>
    <tableColumn id="6" xr3:uid="{94222822-1FE4-42D6-8045-8A5FBB570C51}" uniqueName="6" name="QTE" queryTableFieldId="6"/>
    <tableColumn id="7" xr3:uid="{46FDF11D-8D13-48E2-83D2-C8680706680A}" uniqueName="7" name="DATE_MAJ" queryTableFieldId="7" dataDxfId="5"/>
    <tableColumn id="8" xr3:uid="{228E467F-3D6F-4A5D-9AE2-D1BA576AEEA6}" uniqueName="8" name="PROJET_ID" queryTableFieldId="8" dataDxfId="4"/>
    <tableColumn id="9" xr3:uid="{C8594FC5-CB1E-43CB-B315-7AE6DDCB8A28}" uniqueName="9" name="FAM_ARTICLE_ID" queryTableFieldId="9" dataDxfId="3"/>
    <tableColumn id="10" xr3:uid="{EA1989D7-47D5-44CA-8C14-5138E4A9EA90}" uniqueName="10" name="PU_LOCAL" queryTableFieldId="10"/>
    <tableColumn id="11" xr3:uid="{B6A7909E-406F-4ADC-A39D-6E7D77375D70}" uniqueName="11" name="TYPE_COUT" queryTableFieldId="11" dataDxfId="2"/>
    <tableColumn id="12" xr3:uid="{AA711CFA-A66B-4452-842F-976F1F25BF9B}" uniqueName="12" name="PU_CHINE_FOB" queryTableFieldId="12"/>
    <tableColumn id="13" xr3:uid="{ABEC3FA9-3B26-4873-B9F1-1A4A7730E521}" uniqueName="13" name="IMPORTABLE" queryTableFieldId="13"/>
    <tableColumn id="14" xr3:uid="{D47C5B9B-3063-491A-A4FC-83DFB8EDE645}" uniqueName="14" name="RISQUE_IMPORT" queryTableFieldId="14"/>
    <tableColumn id="15" xr3:uid="{2A5CBEA7-154F-4969-A175-5BC80DBF0B66}" uniqueName="15" name="PU_CHINE_FOB_E" queryTableFieldId="15"/>
    <tableColumn id="16" xr3:uid="{EBFF2781-7B91-47AF-ABC4-71B69AFC8E94}" uniqueName="16" name="STATUT_PRIX" queryTableFieldId="16" dataDxfId="1"/>
    <tableColumn id="17" xr3:uid="{DDEFFE23-3580-4C23-97D0-C4CAF2FFA906}" uniqueName="17" name="PU_IMPORT_NET" queryTableFieldId="17"/>
    <tableColumn id="18" xr3:uid="{7C33F336-092C-4664-B5A8-BD2D8FC19D53}" uniqueName="18" name="PU_LOCAL_MARGE" queryTableFieldId="18"/>
    <tableColumn id="19" xr3:uid="{13C96DDD-86B9-4EF4-923B-C96A09DC79A7}" uniqueName="19" name="MONTANT_LOCAL" queryTableFieldId="19"/>
    <tableColumn id="20" xr3:uid="{6CEDB273-038C-4B13-AD45-965F0F749AEE}" uniqueName="20" name="MONTANT_IMPORT" queryTableFieldId="20"/>
    <tableColumn id="21" xr3:uid="{C498470B-E087-48CB-8B22-F2913ECFBCEF}" uniqueName="21" name="ECONOMIE_NETTE" queryTableFieldId="21"/>
    <tableColumn id="22" xr3:uid="{483CC536-676E-46AC-BEE8-81DD7A7912FB}" uniqueName="22" name="TAUX_ECONOMIE" queryTableFieldId="22"/>
    <tableColumn id="23" xr3:uid="{1534980A-7817-40B6-B123-7E30258094A8}" uniqueName="23" name="DECISION" queryTableFieldId="23" dataDxfId="0"/>
    <tableColumn id="24" xr3:uid="{720697AE-1A46-4DB4-9F22-08983C4D0132}" uniqueName="24" name="LOT_ID" queryTableFieldId="24"/>
    <tableColumn id="25" xr3:uid="{8F16DEFF-B07C-4B2D-97A4-CA59A22BEE01}" uniqueName="25" name="SCORE_STRATEGIQUE" queryTableFieldId="25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2DA0FCF7-F4D1-4339-A686-B1A14EB4CDF6}" name="Fonction_appelée_1" displayName="Fonction_appelée_1" ref="A1:A2" tableType="queryTable" totalsRowShown="0">
  <autoFilter ref="A1:A2" xr:uid="{2DA0FCF7-F4D1-4339-A686-B1A14EB4CDF6}"/>
  <tableColumns count="1">
    <tableColumn id="1" xr3:uid="{922DFC68-3D55-454D-86E5-A831C1AD6C31}" uniqueName="1" name="Fonction appelée" queryTableFieldId="1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27FF29D7-E783-4EF4-BCAA-6E975D1EBECF}" name="DIM_LOT" displayName="DIM_LOT" ref="A1:F15" tableType="queryTable" totalsRowShown="0">
  <autoFilter ref="A1:F15" xr:uid="{27FF29D7-E783-4EF4-BCAA-6E975D1EBECF}"/>
  <tableColumns count="6">
    <tableColumn id="2" xr3:uid="{C0D5E99A-C4B5-40C7-AFDA-A10D25F76F65}" uniqueName="2" name="LOT_ID" queryTableFieldId="2"/>
    <tableColumn id="3" xr3:uid="{48F2C9A2-206A-47BB-B70B-F8F2C62E1862}" uniqueName="3" name="CODE_LOT" queryTableFieldId="3" dataDxfId="46"/>
    <tableColumn id="1" xr3:uid="{944B821D-4AA8-4890-9A92-B0E21D8C3C34}" uniqueName="1" name="NOM_LOT" queryTableFieldId="1" dataDxfId="125"/>
    <tableColumn id="4" xr3:uid="{54D25AF0-B9BA-4F84-8BAE-7805FBED9A1A}" uniqueName="4" name="DESCRIPTION_LOT" queryTableFieldId="4" dataDxfId="45"/>
    <tableColumn id="5" xr3:uid="{D99EE434-684A-4C7B-BBEB-B962D833BEE0}" uniqueName="5" name="ORDRE_LOT" queryTableFieldId="5"/>
    <tableColumn id="6" xr3:uid="{BCB768A8-EBFE-4D9E-AD81-C8BEA510DCD9}" uniqueName="6" name="TYPE_LOT" queryTableFieldId="6" dataDxfId="44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124F28A-6C43-4C68-A3AC-4CF1707CA3EB}" name="FACT_METRE" displayName="FACT_METRE" ref="A1:K301" tableType="queryTable" totalsRowShown="0">
  <autoFilter ref="A1:K301" xr:uid="{DB642676-8D23-4929-A9CC-8DD622F01D6A}"/>
  <tableColumns count="11">
    <tableColumn id="8" xr3:uid="{3E90D9F0-54AB-48EE-B61F-9499E95E7D10}" uniqueName="8" name="PROJET_ID" queryTableFieldId="44" dataDxfId="42" dataCellStyle="Normal 2"/>
    <tableColumn id="9" xr3:uid="{FECA251B-EB86-4841-AB02-472989DCE358}" uniqueName="9" name="CODE_BPU" queryTableFieldId="45" dataDxfId="41" dataCellStyle="Normal 2"/>
    <tableColumn id="10" xr3:uid="{AD53236E-59E7-4950-A527-1074FDF206A0}" uniqueName="10" name="LOT_ID" queryTableFieldId="46" dataDxfId="40" dataCellStyle="Normal 2"/>
    <tableColumn id="11" xr3:uid="{E173D29C-472C-4947-976F-13218B34B68A}" uniqueName="11" name="FAM_ARTICLE_ID" queryTableFieldId="47" dataDxfId="39" dataCellStyle="Normal 2"/>
    <tableColumn id="2" xr3:uid="{B6D003B2-6CA7-4E2D-8AC4-0683D6424963}" uniqueName="2" name="BATIMENT_ID" queryTableFieldId="2" dataDxfId="38" dataCellStyle="Normal 2"/>
    <tableColumn id="12" xr3:uid="{90C3B74F-E56F-4557-ADD3-3AABD1008DE3}" uniqueName="12" name="NIVEAU_ID" queryTableFieldId="48" dataDxfId="37" dataCellStyle="Normal 2"/>
    <tableColumn id="13" xr3:uid="{2A6277C7-7AA0-44B2-A136-4FF3948E9941}" uniqueName="13" name="QTE" queryTableFieldId="49" dataDxfId="36" dataCellStyle="Normal 2"/>
    <tableColumn id="14" xr3:uid="{613FD3A4-89E4-4E7D-8C13-84F560356505}" uniqueName="14" name="MONTANT_LOCAL" queryTableFieldId="50" dataDxfId="35" dataCellStyle="Normal 2"/>
    <tableColumn id="15" xr3:uid="{0284AED4-530E-4180-B854-2B881E9021E5}" uniqueName="15" name="MONTANT_IMPORT" queryTableFieldId="51" dataDxfId="34" dataCellStyle="Normal 2"/>
    <tableColumn id="18" xr3:uid="{E50AAF0A-84AE-42D2-9CD6-EC56BE3D4685}" uniqueName="18" name="DECISION" queryTableFieldId="54" dataDxfId="33" dataCellStyle="Normal 2"/>
    <tableColumn id="20" xr3:uid="{E8176A24-76A9-4EB4-815A-E1B927CCCE80}" uniqueName="20" name="NIVEAU_KEY" queryTableFieldId="60" dataDxfId="32" dataCellStyle="Normal 2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D1C7A7C-A5C4-4CA2-9E08-01765BC77527}" name="DIM_FAM_METIER" displayName="DIM_FAM_METIER" ref="A1:D5" totalsRowShown="0">
  <autoFilter ref="A1:D5" xr:uid="{C4CD5D43-0EE7-49BF-8AD3-C75F2E51F9FB}"/>
  <tableColumns count="4">
    <tableColumn id="1" xr3:uid="{E538B806-6355-41B7-9B78-A56425D6EAEC}" name="FAM_METIER_ID" dataDxfId="124"/>
    <tableColumn id="2" xr3:uid="{BF3AB120-0583-4906-A9D7-428B30567090}" name="CODE_FAM_METIER" dataDxfId="123"/>
    <tableColumn id="3" xr3:uid="{DD93913E-405D-4F08-89C9-69002BC4AA85}" name="LIBELLE_FAM_METIER" dataDxfId="122"/>
    <tableColumn id="4" xr3:uid="{13081B1A-415A-4307-AAFE-0C09CC13CFAD}" name="ACTIF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A13F32D-CC9A-465F-810F-EF7AC8580991}" name="DIM_FAM_ARTICLE" displayName="DIM_FAM_ARTICLE" ref="A1:G18" totalsRowShown="0">
  <autoFilter ref="A1:G18" xr:uid="{34D9C34D-E394-4FB2-A7A6-A2826167D874}"/>
  <tableColumns count="7">
    <tableColumn id="1" xr3:uid="{50612A54-77E2-4C46-B3B4-5094D720C32B}" name="FAM_ARTICLE_ID" dataDxfId="121" dataCellStyle="Normal 2"/>
    <tableColumn id="8" xr3:uid="{ABA0B973-0D0D-44FC-9A34-137FAAAC5286}" name="CODE_FAM_ARTICLE" dataDxfId="120" dataCellStyle="Normal 2"/>
    <tableColumn id="9" xr3:uid="{5BDD47E0-1EC1-470B-B1B3-19A16FC383FF}" name="LIBELLE_FAM_ARTICLE" dataDxfId="119" dataCellStyle="Normal 2"/>
    <tableColumn id="10" xr3:uid="{BEEC50E8-64A9-4EA4-9BE4-2D5CB6734C1F}" name="FAM_METIER_ID" dataDxfId="118" dataCellStyle="Normal 2"/>
    <tableColumn id="11" xr3:uid="{196CCB26-1593-42B2-9B6D-D82EAA4E61A3}" name="IMPORTABLE" dataCellStyle="Normal 2"/>
    <tableColumn id="12" xr3:uid="{A0DDA5F7-2D7B-40DE-974F-D7C25CDC7DA0}" name="TAUX_MAIN_OEUVRE" dataCellStyle="Normal 2"/>
    <tableColumn id="13" xr3:uid="{ABF5669E-F975-4F14-B681-F091A886AF21}" name="RISQUE_IMPORT" dataCellStyle="Normal 2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046DCD8-4DE9-4DD4-9086-4F75CFED9D76}" name="DIM_NIVEAU" displayName="DIM_NIVEAU" ref="A1:E14" tableType="queryTable" totalsRowShown="0">
  <autoFilter ref="A1:E14" xr:uid="{CCC66819-1C6C-4A35-98E9-70E1707AAC69}"/>
  <tableColumns count="5">
    <tableColumn id="1" xr3:uid="{AC7D21E3-6BA0-4A4E-8B28-BC7476187D9D}" uniqueName="1" name="PROJET_ID" queryTableFieldId="1" dataDxfId="117"/>
    <tableColumn id="2" xr3:uid="{C2430DBA-3739-4CB3-8229-2D160F4DF1DA}" uniqueName="2" name="BATIMENT_ID" queryTableFieldId="2" dataDxfId="116"/>
    <tableColumn id="3" xr3:uid="{5C1E0472-0370-4515-BE59-CDF88FEC1E02}" uniqueName="3" name="NIVEAU_ID" queryTableFieldId="3" dataDxfId="115"/>
    <tableColumn id="4" xr3:uid="{A9AB48DB-9FD5-4D93-B683-E229C1C099D0}" uniqueName="4" name="NIVEAU_KEY" queryTableFieldId="4" dataDxfId="43"/>
    <tableColumn id="5" xr3:uid="{2243121F-50CF-49AD-A0F4-091AF3308200}" uniqueName="5" name="ORDRE_NIVEAU" queryTableFieldId="5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99B55C4-A136-4816-901A-9807CA11BBC1}" name="DIM_BATIMENT" displayName="DIM_BATIMENT" ref="A1:E4" tableType="queryTable" totalsRowShown="0">
  <autoFilter ref="A1:E4" xr:uid="{14867541-3E61-4776-B9D7-EAE0267E9FAA}"/>
  <tableColumns count="5">
    <tableColumn id="2" xr3:uid="{39E099EB-23CB-4FCC-88E4-F45BBA1D357E}" uniqueName="2" name="BATIMENT_ID" queryTableFieldId="2" dataDxfId="64" dataCellStyle="Normal 2"/>
    <tableColumn id="3" xr3:uid="{75A9299C-3154-45E3-84FD-D6C7B8A2F60F}" uniqueName="3" name="NOM_BATIMENT" queryTableFieldId="3" dataDxfId="63" dataCellStyle="Normal 2"/>
    <tableColumn id="1" xr3:uid="{E856A9FF-B8FD-4F3B-9C9F-17D007CE39EA}" uniqueName="1" name="PROJET_ID" queryTableFieldId="1" dataDxfId="62" dataCellStyle="Normal 2"/>
    <tableColumn id="4" xr3:uid="{CD89C031-6A8B-4126-BBF6-F940C177DBDE}" uniqueName="4" name="ORDRE_AFFICHAGE" queryTableFieldId="4" dataDxfId="61" dataCellStyle="Normal 2"/>
    <tableColumn id="5" xr3:uid="{A819D421-59DD-41A1-9DF2-1D4645C50AD3}" uniqueName="5" name="TYPE_BATIMENT" queryTableFieldId="7" dataDxfId="60" dataCellStyle="Normal 2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E433A50-8FEE-4E60-8727-2B143CB169C5}" name="T_DIM_PROJET" displayName="T_DIM_PROJET" ref="A1:H2" tableType="queryTable" totalsRowShown="0">
  <autoFilter ref="A1:H2" xr:uid="{4E433A50-8FEE-4E60-8727-2B143CB169C5}"/>
  <tableColumns count="8">
    <tableColumn id="1" xr3:uid="{0853AECB-42D2-41A3-8B5F-74E3FA4FBC3A}" uniqueName="1" name="PROJET_ID" queryTableFieldId="1" dataDxfId="59"/>
    <tableColumn id="2" xr3:uid="{426477B2-5D7C-4988-B386-C818857CAE1C}" uniqueName="2" name="NOM_PROJET" queryTableFieldId="2" dataDxfId="58"/>
    <tableColumn id="3" xr3:uid="{9D7AE0D5-12F8-44D8-89EB-4C24247CCAEB}" uniqueName="3" name="TYPE_PROJET" queryTableFieldId="3" dataDxfId="57"/>
    <tableColumn id="4" xr3:uid="{6A9524CE-49CD-4234-8640-FDA5CA842F37}" uniqueName="4" name="STATUT" queryTableFieldId="4" dataDxfId="56"/>
    <tableColumn id="5" xr3:uid="{9EDAA793-9A33-4FEA-80A0-F07611C1DCB0}" uniqueName="5" name="DATE_CREATION" queryTableFieldId="5" dataDxfId="55"/>
    <tableColumn id="6" xr3:uid="{75059061-2E52-426D-B7D8-C7D3E07DE664}" uniqueName="6" name="DEVISE" queryTableFieldId="6" dataDxfId="54"/>
    <tableColumn id="7" xr3:uid="{493ED13E-13C4-41A2-B855-B50738D78FA8}" uniqueName="7" name="MODE_SOURCING" queryTableFieldId="7" dataDxfId="53"/>
    <tableColumn id="8" xr3:uid="{C5288EBB-0543-498C-B086-A956401806FF}" uniqueName="8" name="NB_LOTS" queryTableFieldId="8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48328650-6F16-449D-A549-581BEC8722CA}" name="DASHBOARD_HIERARCHIE" displayName="DASHBOARD_HIERARCHIE" ref="A1:J48" tableType="queryTable" totalsRowShown="0">
  <autoFilter ref="A1:J48" xr:uid="{48328650-6F16-449D-A549-581BEC8722CA}"/>
  <tableColumns count="10">
    <tableColumn id="1" xr3:uid="{9A2472A4-17B8-4EF4-BD56-844619568001}" uniqueName="1" name="BATIMENT_ID" queryTableFieldId="1" dataDxfId="27"/>
    <tableColumn id="2" xr3:uid="{E3503C30-6D22-4B3A-9CF7-B52B0AB7C574}" uniqueName="2" name="NIVEAU_ID" queryTableFieldId="2" dataDxfId="26"/>
    <tableColumn id="3" xr3:uid="{17074356-7329-4E11-9A69-EC7BA9BC2C01}" uniqueName="3" name="LOT_ID" queryTableFieldId="3" dataDxfId="25"/>
    <tableColumn id="4" xr3:uid="{CE74CD93-87B2-42AB-9D40-D6602E74D598}" uniqueName="4" name="FAM_ARTICLE_ID" queryTableFieldId="4" dataDxfId="24"/>
    <tableColumn id="5" xr3:uid="{0273BEA1-E474-4975-AFF0-C4F90D6609E7}" uniqueName="5" name="TOTAL_LOCAL" queryTableFieldId="5"/>
    <tableColumn id="6" xr3:uid="{C4135466-1C25-4CDF-8E70-11B019C3AF04}" uniqueName="6" name="TOTAL_IMPORT" queryTableFieldId="6"/>
    <tableColumn id="7" xr3:uid="{BF6750CE-BB03-4281-BFD9-A65095A17023}" uniqueName="7" name="TOTAL_ECONOMIE" queryTableFieldId="7"/>
    <tableColumn id="8" xr3:uid="{396B7693-1B8E-40A5-80F4-CD1CDE97A8B7}" uniqueName="8" name="TAUX_ECO" queryTableFieldId="8"/>
    <tableColumn id="9" xr3:uid="{332FACBA-425A-4073-B445-2AEFB0D2AAA3}" uniqueName="9" name="NOTE_STRATEGIQUE" queryTableFieldId="9"/>
    <tableColumn id="10" xr3:uid="{CB8AB442-DD2E-4863-BDA1-E17589740D1C}" uniqueName="10" name="ZONE_STRATEGIQUE" queryTableFieldId="10" dataDxfId="23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57A6B149-2B7C-4D0A-A0B4-E860A3B84232}" name="DASHBOARD_BATIMENT" displayName="DASHBOARD_BATIMENT" ref="A1:H3" tableType="queryTable" totalsRowShown="0">
  <autoFilter ref="A1:H3" xr:uid="{57A6B149-2B7C-4D0A-A0B4-E860A3B84232}"/>
  <tableColumns count="8">
    <tableColumn id="1" xr3:uid="{5B15036B-0B58-42BD-8B82-0E98E3D287EA}" uniqueName="1" name="BATIMENT_ID" queryTableFieldId="1" dataDxfId="31"/>
    <tableColumn id="2" xr3:uid="{11E6CD15-F05E-405C-97D7-D682CB452C81}" uniqueName="2" name="TOTAL_LOCAL" queryTableFieldId="2"/>
    <tableColumn id="3" xr3:uid="{2A2235F9-EF11-453E-B741-D731C8285519}" uniqueName="3" name="TOTAL_IMPORT" queryTableFieldId="3"/>
    <tableColumn id="4" xr3:uid="{1FEAFAC2-095F-4EEB-AB6B-06DB2B8D5520}" uniqueName="4" name="TOTAL_ECONOMIE" queryTableFieldId="4"/>
    <tableColumn id="5" xr3:uid="{40BB5616-4FCC-47AA-BDC9-540C21889AE2}" uniqueName="5" name="TAUX_ECO" queryTableFieldId="5"/>
    <tableColumn id="6" xr3:uid="{23AD26B3-9667-4CFC-9910-C0A4AE5509A4}" uniqueName="6" name="TAUX_IMPORT_LIGNES" queryTableFieldId="6"/>
    <tableColumn id="7" xr3:uid="{9F104D25-1DEB-4B6B-87C0-C472FF5E4543}" uniqueName="7" name="NOTE_STRATEGIQUE" queryTableFieldId="7"/>
    <tableColumn id="8" xr3:uid="{0C5AAD93-5EE2-4BDD-B0C5-25B3A1AA96D4}" uniqueName="8" name="ZONE_STRATEGIQUE" queryTableFieldId="8" dataDxfId="30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4F030BFF-7252-472E-8D73-EB20BB047D9C}" name="FACT_METRE_AUDIT" displayName="FACT_METRE_AUDIT" ref="A1:F14" totalsRowShown="0">
  <autoFilter ref="A1:F14" xr:uid="{4F030BFF-7252-472E-8D73-EB20BB047D9C}"/>
  <tableColumns count="6">
    <tableColumn id="1" xr3:uid="{8AEE1C48-D3F5-421F-AA30-BB01402924E3}" name="FAM_ARTICLE_ID" dataDxfId="114"/>
    <tableColumn id="2" xr3:uid="{E731FDB7-9747-44BD-A50E-C2700FE862D8}" name="NB_LIGNES"/>
    <tableColumn id="3" xr3:uid="{CBCE046C-5785-4EFB-9B99-DD723B4D4348}" name="NB_IMPORT"/>
    <tableColumn id="4" xr3:uid="{7F7C8FAE-E2E2-4E8F-A4DD-D5F1E6B6C313}" name="NB_LOCAL"/>
    <tableColumn id="5" xr3:uid="{2669312D-B210-4474-AD67-A33E945B3D5A}" name="NB_ARBITRAGE"/>
    <tableColumn id="6" xr3:uid="{3DAFD324-68F4-4A60-AB58-029F477CB8A8}" name="TAUX_ECO_MOYEN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43EC6066-AD42-4EA5-9D21-01301558F1A0}" name="DASHBOARD_CHANTIER" displayName="DASHBOARD_CHANTIER" ref="A1:G14" tableType="queryTable" totalsRowShown="0">
  <autoFilter ref="A1:G14" xr:uid="{43EC6066-AD42-4EA5-9D21-01301558F1A0}"/>
  <tableColumns count="7">
    <tableColumn id="1" xr3:uid="{F02A7669-7D70-4EA3-9051-B74E7E06D7D1}" uniqueName="1" name="BATIMENT_ID" queryTableFieldId="1" dataDxfId="113"/>
    <tableColumn id="2" xr3:uid="{D1CDB946-DC36-4786-A12A-07D5E50DB7DE}" uniqueName="2" name="NIVEAU_ID" queryTableFieldId="2" dataDxfId="112"/>
    <tableColumn id="3" xr3:uid="{37C9F6C2-113C-4CED-83D4-47FD97D8F05C}" uniqueName="3" name="TOTAL_LOCAL" queryTableFieldId="3"/>
    <tableColumn id="4" xr3:uid="{280C22FB-7F11-4BD2-A6FB-2B464618ED2B}" uniqueName="4" name="TOTAL_IMPORT" queryTableFieldId="4"/>
    <tableColumn id="5" xr3:uid="{0BEAFB6E-99BC-4C1D-8AE3-37C76B1C1208}" uniqueName="5" name="TOTAL_ECONOMIE" queryTableFieldId="5"/>
    <tableColumn id="6" xr3:uid="{D4ABC661-1BD5-4C48-95E4-6BA600C69BDA}" uniqueName="6" name="TAUX_ECO" queryTableFieldId="6"/>
    <tableColumn id="7" xr3:uid="{FB09CE82-1217-42AF-A4FD-D83C364534A2}" uniqueName="7" name="TAUX_IMPORT_LIGNES" queryTableFieldId="7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755883F-4261-4B7D-842E-4F0E668A25E9}" name="DASHBOARD_LOTS" displayName="DASHBOARD_LOTS" ref="A1:G14" tableType="queryTable" totalsRowShown="0">
  <autoFilter ref="A1:G14" xr:uid="{6755883F-4261-4B7D-842E-4F0E668A25E9}"/>
  <tableColumns count="7">
    <tableColumn id="1" xr3:uid="{B700B9C0-12A9-40B5-AE73-396C3EF565FE}" uniqueName="1" name="LOT_ID" queryTableFieldId="1" dataDxfId="29"/>
    <tableColumn id="2" xr3:uid="{39D0D64B-8130-40AA-B351-2225F2BFB878}" uniqueName="2" name="TOTAL_LOCAL" queryTableFieldId="2"/>
    <tableColumn id="3" xr3:uid="{FC34F3BE-7B3E-4C56-8D6F-F7B566D5FDB8}" uniqueName="3" name="TOTAL_IMPORT" queryTableFieldId="3"/>
    <tableColumn id="4" xr3:uid="{1D457DA6-0834-465D-8E16-88CF144D3675}" uniqueName="4" name="TOTAL_ECONOMIE" queryTableFieldId="4"/>
    <tableColumn id="5" xr3:uid="{06089085-17A6-499E-8776-F7B0CC12C411}" uniqueName="5" name="IPI_LOT" queryTableFieldId="5"/>
    <tableColumn id="6" xr3:uid="{80F12993-13D9-451F-BB71-36D0992F45F0}" uniqueName="6" name="TAUX_IMPORT_LIGNES" queryTableFieldId="6"/>
    <tableColumn id="7" xr3:uid="{13108AF9-68B8-40B7-8FDB-FACEB17220AD}" uniqueName="7" name="DECISION_DOMINANTE" queryTableFieldId="7" dataDxfId="28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32158ED2-B210-4BB4-8920-EEEE5F079D23}" name="DASHBOARD_FAMILLES" displayName="DASHBOARD_FAMILLES" ref="A1:G14" tableType="queryTable" totalsRowShown="0">
  <autoFilter ref="A1:G14" xr:uid="{32158ED2-B210-4BB4-8920-EEEE5F079D23}"/>
  <tableColumns count="7">
    <tableColumn id="1" xr3:uid="{7C66D559-1255-4F56-B9D6-0A07E48C5752}" uniqueName="1" name="FAM_ARTICLE_ID" queryTableFieldId="1" dataDxfId="111"/>
    <tableColumn id="2" xr3:uid="{DB893E6A-0997-48F8-9CA0-7FAAB6BE4148}" uniqueName="2" name="TOTAL_LOCAL" queryTableFieldId="2"/>
    <tableColumn id="3" xr3:uid="{B766A185-3362-45A9-BEFB-118A15ACEF95}" uniqueName="3" name="TOTAL_IMPORT" queryTableFieldId="3"/>
    <tableColumn id="4" xr3:uid="{D204E1F5-9386-4355-AB4D-793473FFC3D3}" uniqueName="4" name="IPI_FAM" queryTableFieldId="4"/>
    <tableColumn id="5" xr3:uid="{A760212D-D6DC-4981-AF37-5CEE84A71B59}" uniqueName="5" name="RISQUE_MOYEN" queryTableFieldId="5"/>
    <tableColumn id="6" xr3:uid="{09B5573B-0E16-42DD-A1BD-9ADE8610E550}" uniqueName="6" name="DECISION_DOMINANTE" queryTableFieldId="6" dataDxfId="110"/>
    <tableColumn id="7" xr3:uid="{2441D7BE-7710-4766-9789-EF73FEE8F555}" uniqueName="7" name="CAUSE_DOMINANTE" queryTableFieldId="7" dataDxfId="109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2931F76-A31E-485C-95E9-C412B4F285DD}" name="DASHBOARD_DIRECTION" displayName="DASHBOARD_DIRECTION" ref="A1:H2" tableType="queryTable" totalsRowShown="0">
  <autoFilter ref="A1:H2" xr:uid="{12931F76-A31E-485C-95E9-C412B4F285DD}"/>
  <tableColumns count="8">
    <tableColumn id="1" xr3:uid="{B8A84E60-576E-4B43-A256-3A19138F30A3}" uniqueName="1" name="TOTAL_LOCAL" queryTableFieldId="1"/>
    <tableColumn id="2" xr3:uid="{1A19D52C-A79F-46DB-9A57-C2A48012CB44}" uniqueName="2" name="TOTAL_IMPORT" queryTableFieldId="2"/>
    <tableColumn id="3" xr3:uid="{C8E2B7EB-B998-405E-8EBD-B793717A65C8}" uniqueName="3" name="TOTAL_ECONOMIE" queryTableFieldId="3"/>
    <tableColumn id="4" xr3:uid="{02401A60-B702-4E46-BBA6-61E3713E49BD}" uniqueName="4" name="IPI_PROJET" queryTableFieldId="4"/>
    <tableColumn id="5" xr3:uid="{31D877DB-1EED-4C94-9B9D-C6837AD44DD9}" uniqueName="5" name="SCORE_GLOBAL" queryTableFieldId="5"/>
    <tableColumn id="6" xr3:uid="{2CA266BA-378A-41AA-A488-37604ECD6813}" uniqueName="6" name="TAUX_IMPORT_LIGNES" queryTableFieldId="6"/>
    <tableColumn id="7" xr3:uid="{A6FA889D-032F-4F85-A624-08F58220005B}" uniqueName="7" name="NB_FAMILLES_IMPORT" queryTableFieldId="7"/>
    <tableColumn id="8" xr3:uid="{5235EAF4-F8E5-4751-B46A-8A16C1921C97}" uniqueName="8" name="NB_LOTS_IMPORT" queryTableFieldId="8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37F11CA1-0348-4F8B-9A52-B3383340FC9C}" name="Tableau42" displayName="Tableau42" ref="A1:D25" totalsRowShown="0" headerRowDxfId="108" headerRowCellStyle="Normal 2">
  <autoFilter ref="A1:D25" xr:uid="{37F11CA1-0348-4F8B-9A52-B3383340FC9C}"/>
  <tableColumns count="4">
    <tableColumn id="1" xr3:uid="{59297517-1AC7-4257-98D4-A9BDF621D374}" name="📊  KPI PROJET — PNMC MEDICAL CENTER POINTE NOIRE" dataDxfId="107" dataCellStyle="Normal 2"/>
    <tableColumn id="2" xr3:uid="{5AD0A792-8806-478E-965B-D56897F8EE53}" name="Colonne1"/>
    <tableColumn id="3" xr3:uid="{9D4CD20D-C68A-403C-A89E-10AAC8D6AEED}" name="Colonne2" dataCellStyle="Normal 2"/>
    <tableColumn id="4" xr3:uid="{BB29E39A-F4A3-4CD9-B8B6-9CD09ECB6811}" name="Colonne3" dataDxfId="106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1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296A1B-F864-4EA4-9E51-1A8C2B588209}">
  <we:reference id="wa200009404" version="1.0.0.5" store="fr-FR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1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C85F-61C5-4733-B1FF-377F732BF9E0}">
  <sheetPr>
    <tabColor theme="3" tint="-0.249977111117893"/>
  </sheetPr>
  <dimension ref="A1:E5"/>
  <sheetViews>
    <sheetView workbookViewId="0">
      <selection sqref="A1:E5"/>
    </sheetView>
  </sheetViews>
  <sheetFormatPr baseColWidth="10" defaultRowHeight="15" x14ac:dyDescent="0.25"/>
  <cols>
    <col min="1" max="1" width="17.85546875" style="1" bestFit="1" customWidth="1"/>
    <col min="2" max="2" width="21" style="1" bestFit="1" customWidth="1"/>
    <col min="3" max="3" width="22.42578125" style="1" bestFit="1" customWidth="1"/>
    <col min="4" max="4" width="21" style="1" bestFit="1" customWidth="1"/>
    <col min="5" max="5" width="20.42578125" style="1" bestFit="1" customWidth="1"/>
    <col min="6" max="16384" width="11.42578125" style="1"/>
  </cols>
  <sheetData>
    <row r="1" spans="1:5" x14ac:dyDescent="0.25">
      <c r="A1" s="1" t="s">
        <v>1050</v>
      </c>
      <c r="B1" s="1" t="s">
        <v>1054</v>
      </c>
      <c r="C1" s="1" t="s">
        <v>1055</v>
      </c>
      <c r="D1" s="1" t="s">
        <v>1056</v>
      </c>
      <c r="E1" s="1" t="s">
        <v>1057</v>
      </c>
    </row>
    <row r="2" spans="1:5" x14ac:dyDescent="0.25">
      <c r="A2" s="1" t="s">
        <v>1043</v>
      </c>
      <c r="B2" s="1" t="s">
        <v>1058</v>
      </c>
      <c r="C2" s="1" t="s">
        <v>1059</v>
      </c>
      <c r="D2" s="1" t="s">
        <v>1058</v>
      </c>
      <c r="E2" s="1">
        <v>1</v>
      </c>
    </row>
    <row r="3" spans="1:5" x14ac:dyDescent="0.25">
      <c r="A3" s="1" t="s">
        <v>1036</v>
      </c>
      <c r="B3" s="1" t="s">
        <v>1060</v>
      </c>
      <c r="C3" s="1" t="s">
        <v>1061</v>
      </c>
      <c r="D3" s="1" t="s">
        <v>1062</v>
      </c>
      <c r="E3" s="1">
        <v>2</v>
      </c>
    </row>
    <row r="4" spans="1:5" x14ac:dyDescent="0.25">
      <c r="A4" s="1" t="s">
        <v>1002</v>
      </c>
      <c r="B4" s="1" t="s">
        <v>1062</v>
      </c>
      <c r="C4" s="1" t="s">
        <v>1063</v>
      </c>
      <c r="D4" s="1" t="s">
        <v>1062</v>
      </c>
      <c r="E4" s="1">
        <v>3</v>
      </c>
    </row>
    <row r="5" spans="1:5" x14ac:dyDescent="0.25">
      <c r="A5" s="1" t="s">
        <v>992</v>
      </c>
      <c r="B5" s="1" t="s">
        <v>1064</v>
      </c>
      <c r="C5" s="1" t="s">
        <v>1065</v>
      </c>
      <c r="D5" s="1" t="s">
        <v>1064</v>
      </c>
      <c r="E5" s="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7C35-FCBA-4C13-9179-2BE20D4498D1}">
  <sheetPr codeName="Feuil1">
    <tabColor rgb="FF595959"/>
  </sheetPr>
  <dimension ref="A1:D53"/>
  <sheetViews>
    <sheetView zoomScaleNormal="100" workbookViewId="0">
      <selection activeCell="I21" sqref="I21"/>
    </sheetView>
  </sheetViews>
  <sheetFormatPr baseColWidth="10" defaultColWidth="8.7109375" defaultRowHeight="15" x14ac:dyDescent="0.25"/>
  <cols>
    <col min="1" max="1" width="4" style="1" customWidth="1"/>
    <col min="2" max="2" width="32" style="1" customWidth="1"/>
    <col min="3" max="3" width="50" style="1" customWidth="1"/>
    <col min="4" max="4" width="30" style="1" customWidth="1"/>
    <col min="5" max="5" width="4" style="1" customWidth="1"/>
    <col min="6" max="16384" width="8.7109375" style="1"/>
  </cols>
  <sheetData>
    <row r="1" spans="1:4" ht="30" customHeight="1" x14ac:dyDescent="0.25">
      <c r="A1" s="224" t="s">
        <v>0</v>
      </c>
      <c r="B1" s="224"/>
      <c r="C1" s="224"/>
      <c r="D1" s="224"/>
    </row>
    <row r="3" spans="1:4" ht="27.75" customHeight="1" x14ac:dyDescent="0.25">
      <c r="B3" s="225" t="s">
        <v>1</v>
      </c>
      <c r="C3" s="225"/>
      <c r="D3" s="225"/>
    </row>
    <row r="4" spans="1:4" ht="15.75" customHeight="1" x14ac:dyDescent="0.25">
      <c r="B4" s="2" t="s">
        <v>2</v>
      </c>
    </row>
    <row r="5" spans="1:4" ht="15.75" customHeight="1" x14ac:dyDescent="0.25">
      <c r="B5" s="2" t="s">
        <v>3</v>
      </c>
    </row>
    <row r="6" spans="1:4" ht="15.75" customHeight="1" x14ac:dyDescent="0.25">
      <c r="B6" s="2" t="s">
        <v>4</v>
      </c>
    </row>
    <row r="7" spans="1:4" ht="15.75" customHeight="1" x14ac:dyDescent="0.25">
      <c r="C7" s="3" t="s">
        <v>5</v>
      </c>
    </row>
    <row r="9" spans="1:4" ht="27.75" customHeight="1" x14ac:dyDescent="0.25">
      <c r="B9" s="226" t="s">
        <v>6</v>
      </c>
      <c r="C9" s="226"/>
      <c r="D9" s="226"/>
    </row>
    <row r="10" spans="1:4" ht="15.75" customHeight="1" x14ac:dyDescent="0.25">
      <c r="B10" s="2" t="s">
        <v>7</v>
      </c>
    </row>
    <row r="11" spans="1:4" ht="15.75" customHeight="1" x14ac:dyDescent="0.25">
      <c r="B11" s="2" t="s">
        <v>8</v>
      </c>
    </row>
    <row r="12" spans="1:4" ht="15.75" customHeight="1" x14ac:dyDescent="0.25">
      <c r="B12" s="2" t="s">
        <v>9</v>
      </c>
    </row>
    <row r="13" spans="1:4" ht="15.75" customHeight="1" x14ac:dyDescent="0.25">
      <c r="C13" s="3" t="s">
        <v>10</v>
      </c>
    </row>
    <row r="15" spans="1:4" ht="27.75" customHeight="1" x14ac:dyDescent="0.25">
      <c r="B15" s="227" t="s">
        <v>11</v>
      </c>
      <c r="C15" s="227"/>
      <c r="D15" s="227"/>
    </row>
    <row r="16" spans="1:4" ht="15.75" customHeight="1" x14ac:dyDescent="0.25">
      <c r="B16" s="2" t="s">
        <v>12</v>
      </c>
    </row>
    <row r="17" spans="2:4" ht="15.75" customHeight="1" x14ac:dyDescent="0.25">
      <c r="B17" s="2" t="s">
        <v>13</v>
      </c>
    </row>
    <row r="18" spans="2:4" ht="15.75" customHeight="1" x14ac:dyDescent="0.25">
      <c r="B18" s="2" t="s">
        <v>14</v>
      </c>
    </row>
    <row r="19" spans="2:4" ht="15.75" customHeight="1" x14ac:dyDescent="0.25">
      <c r="C19" s="3" t="s">
        <v>15</v>
      </c>
    </row>
    <row r="21" spans="2:4" ht="27.75" customHeight="1" x14ac:dyDescent="0.25">
      <c r="B21" s="228" t="s">
        <v>16</v>
      </c>
      <c r="C21" s="228"/>
      <c r="D21" s="228"/>
    </row>
    <row r="22" spans="2:4" ht="15.75" customHeight="1" x14ac:dyDescent="0.25">
      <c r="B22" s="2" t="s">
        <v>17</v>
      </c>
    </row>
    <row r="23" spans="2:4" ht="15.75" customHeight="1" x14ac:dyDescent="0.25">
      <c r="B23" s="2" t="s">
        <v>18</v>
      </c>
    </row>
    <row r="24" spans="2:4" ht="15.75" customHeight="1" x14ac:dyDescent="0.25">
      <c r="B24" s="2" t="s">
        <v>19</v>
      </c>
    </row>
    <row r="25" spans="2:4" ht="15.75" customHeight="1" x14ac:dyDescent="0.25">
      <c r="C25" s="3" t="s">
        <v>20</v>
      </c>
    </row>
    <row r="27" spans="2:4" ht="27.75" customHeight="1" x14ac:dyDescent="0.25">
      <c r="B27" s="229" t="s">
        <v>21</v>
      </c>
      <c r="C27" s="229"/>
      <c r="D27" s="229"/>
    </row>
    <row r="28" spans="2:4" ht="15.75" customHeight="1" x14ac:dyDescent="0.25">
      <c r="B28" s="2" t="s">
        <v>22</v>
      </c>
    </row>
    <row r="29" spans="2:4" ht="15.75" customHeight="1" x14ac:dyDescent="0.25">
      <c r="B29" s="2" t="s">
        <v>23</v>
      </c>
    </row>
    <row r="30" spans="2:4" ht="15.75" customHeight="1" x14ac:dyDescent="0.25">
      <c r="B30" s="2" t="s">
        <v>24</v>
      </c>
    </row>
    <row r="31" spans="2:4" ht="15.75" customHeight="1" x14ac:dyDescent="0.25">
      <c r="C31" s="3" t="s">
        <v>25</v>
      </c>
    </row>
    <row r="33" spans="2:4" ht="27.75" customHeight="1" x14ac:dyDescent="0.25">
      <c r="B33" s="221" t="s">
        <v>26</v>
      </c>
      <c r="C33" s="221"/>
      <c r="D33" s="221"/>
    </row>
    <row r="34" spans="2:4" ht="15.75" customHeight="1" x14ac:dyDescent="0.25">
      <c r="B34" s="2" t="s">
        <v>27</v>
      </c>
    </row>
    <row r="35" spans="2:4" ht="15.75" customHeight="1" x14ac:dyDescent="0.25">
      <c r="C35" s="3" t="s">
        <v>28</v>
      </c>
    </row>
    <row r="37" spans="2:4" ht="27.75" customHeight="1" x14ac:dyDescent="0.25">
      <c r="B37" s="222" t="s">
        <v>29</v>
      </c>
      <c r="C37" s="222"/>
      <c r="D37" s="222"/>
    </row>
    <row r="38" spans="2:4" ht="15.75" customHeight="1" x14ac:dyDescent="0.25">
      <c r="B38" s="2" t="s">
        <v>30</v>
      </c>
    </row>
    <row r="39" spans="2:4" ht="15.75" customHeight="1" x14ac:dyDescent="0.25">
      <c r="B39" s="2" t="s">
        <v>31</v>
      </c>
    </row>
    <row r="40" spans="2:4" ht="15.75" customHeight="1" x14ac:dyDescent="0.25">
      <c r="B40" s="2" t="s">
        <v>32</v>
      </c>
    </row>
    <row r="41" spans="2:4" ht="15.75" customHeight="1" x14ac:dyDescent="0.25">
      <c r="C41" s="3" t="s">
        <v>33</v>
      </c>
    </row>
    <row r="43" spans="2:4" ht="27.75" customHeight="1" x14ac:dyDescent="0.25">
      <c r="B43" s="221" t="s">
        <v>34</v>
      </c>
      <c r="C43" s="221"/>
      <c r="D43" s="221"/>
    </row>
    <row r="44" spans="2:4" ht="15.75" customHeight="1" x14ac:dyDescent="0.25">
      <c r="B44" s="2" t="s">
        <v>35</v>
      </c>
    </row>
    <row r="45" spans="2:4" ht="15.75" customHeight="1" x14ac:dyDescent="0.25">
      <c r="B45" s="2" t="s">
        <v>36</v>
      </c>
    </row>
    <row r="46" spans="2:4" ht="15.75" customHeight="1" x14ac:dyDescent="0.25">
      <c r="B46" s="2" t="s">
        <v>37</v>
      </c>
    </row>
    <row r="47" spans="2:4" ht="15.75" customHeight="1" x14ac:dyDescent="0.25">
      <c r="C47" s="3" t="s">
        <v>38</v>
      </c>
    </row>
    <row r="49" spans="2:4" ht="27.75" customHeight="1" x14ac:dyDescent="0.25">
      <c r="B49" s="223" t="s">
        <v>39</v>
      </c>
      <c r="C49" s="223"/>
      <c r="D49" s="223"/>
    </row>
    <row r="50" spans="2:4" ht="15.75" customHeight="1" x14ac:dyDescent="0.25">
      <c r="B50" s="2" t="s">
        <v>40</v>
      </c>
    </row>
    <row r="51" spans="2:4" ht="15.75" customHeight="1" x14ac:dyDescent="0.25">
      <c r="B51" s="2" t="s">
        <v>41</v>
      </c>
    </row>
    <row r="52" spans="2:4" ht="15.75" customHeight="1" x14ac:dyDescent="0.25">
      <c r="B52" s="2" t="s">
        <v>42</v>
      </c>
    </row>
    <row r="53" spans="2:4" ht="15.75" customHeight="1" x14ac:dyDescent="0.25">
      <c r="C53" s="3" t="s">
        <v>43</v>
      </c>
    </row>
  </sheetData>
  <mergeCells count="10">
    <mergeCell ref="B33:D33"/>
    <mergeCell ref="B37:D37"/>
    <mergeCell ref="B43:D43"/>
    <mergeCell ref="B49:D49"/>
    <mergeCell ref="A1:D1"/>
    <mergeCell ref="B3:D3"/>
    <mergeCell ref="B9:D9"/>
    <mergeCell ref="B15:D15"/>
    <mergeCell ref="B21:D21"/>
    <mergeCell ref="B27:D27"/>
  </mergeCells>
  <pageMargins left="0.75" right="0.75" top="1" bottom="1" header="0.511811023622047" footer="0.511811023622047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33E5-A8C6-4EDD-9105-3BA562378502}">
  <sheetPr>
    <tabColor rgb="FFFF0000"/>
  </sheetPr>
  <dimension ref="A1"/>
  <sheetViews>
    <sheetView workbookViewId="0"/>
  </sheetViews>
  <sheetFormatPr baseColWidth="10" defaultRowHeight="15" x14ac:dyDescent="0.25"/>
  <cols>
    <col min="1" max="16384" width="11.42578125" style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EE07-65DC-49E9-9F9E-F309088A6C73}">
  <sheetPr>
    <tabColor theme="3" tint="0.249977111117893"/>
  </sheetPr>
  <dimension ref="A1:C20"/>
  <sheetViews>
    <sheetView workbookViewId="0">
      <selection sqref="A1:C20"/>
    </sheetView>
  </sheetViews>
  <sheetFormatPr baseColWidth="10" defaultRowHeight="15" x14ac:dyDescent="0.25"/>
  <cols>
    <col min="1" max="1" width="26.7109375" bestFit="1" customWidth="1"/>
    <col min="2" max="2" width="9" bestFit="1" customWidth="1"/>
  </cols>
  <sheetData>
    <row r="1" spans="1:3" x14ac:dyDescent="0.25">
      <c r="A1" t="s">
        <v>2180</v>
      </c>
      <c r="B1" t="s">
        <v>2181</v>
      </c>
      <c r="C1" t="s">
        <v>2182</v>
      </c>
    </row>
    <row r="2" spans="1:3" x14ac:dyDescent="0.25">
      <c r="A2" t="s">
        <v>938</v>
      </c>
      <c r="B2" t="s">
        <v>965</v>
      </c>
      <c r="C2" t="s">
        <v>962</v>
      </c>
    </row>
    <row r="3" spans="1:3" x14ac:dyDescent="0.25">
      <c r="A3" t="s">
        <v>939</v>
      </c>
      <c r="B3" t="s">
        <v>961</v>
      </c>
      <c r="C3" t="s">
        <v>962</v>
      </c>
    </row>
    <row r="4" spans="1:3" x14ac:dyDescent="0.25">
      <c r="A4" t="s">
        <v>2183</v>
      </c>
      <c r="B4">
        <v>2500000</v>
      </c>
      <c r="C4" t="s">
        <v>953</v>
      </c>
    </row>
    <row r="5" spans="1:3" x14ac:dyDescent="0.25">
      <c r="A5" t="s">
        <v>2184</v>
      </c>
      <c r="B5">
        <v>28</v>
      </c>
      <c r="C5" t="s">
        <v>953</v>
      </c>
    </row>
    <row r="6" spans="1:3" x14ac:dyDescent="0.25">
      <c r="A6" t="s">
        <v>2185</v>
      </c>
      <c r="B6">
        <v>0.05</v>
      </c>
      <c r="C6" t="s">
        <v>947</v>
      </c>
    </row>
    <row r="7" spans="1:3" x14ac:dyDescent="0.25">
      <c r="A7" t="s">
        <v>2186</v>
      </c>
      <c r="B7">
        <v>0.4</v>
      </c>
      <c r="C7" t="s">
        <v>947</v>
      </c>
    </row>
    <row r="8" spans="1:3" x14ac:dyDescent="0.25">
      <c r="A8" t="s">
        <v>2187</v>
      </c>
      <c r="B8">
        <v>0.3</v>
      </c>
      <c r="C8" t="s">
        <v>947</v>
      </c>
    </row>
    <row r="9" spans="1:3" x14ac:dyDescent="0.25">
      <c r="A9" t="s">
        <v>2188</v>
      </c>
      <c r="B9">
        <v>0.2</v>
      </c>
      <c r="C9" t="s">
        <v>947</v>
      </c>
    </row>
    <row r="10" spans="1:3" x14ac:dyDescent="0.25">
      <c r="A10" t="s">
        <v>2189</v>
      </c>
      <c r="B10">
        <v>0.1</v>
      </c>
      <c r="C10" t="s">
        <v>947</v>
      </c>
    </row>
    <row r="11" spans="1:3" x14ac:dyDescent="0.25">
      <c r="A11" t="s">
        <v>2190</v>
      </c>
      <c r="B11">
        <v>0.15</v>
      </c>
      <c r="C11" t="s">
        <v>958</v>
      </c>
    </row>
    <row r="12" spans="1:3" x14ac:dyDescent="0.25">
      <c r="A12" t="s">
        <v>2163</v>
      </c>
      <c r="B12">
        <v>0.08</v>
      </c>
      <c r="C12" t="s">
        <v>958</v>
      </c>
    </row>
    <row r="13" spans="1:3" x14ac:dyDescent="0.25">
      <c r="A13" t="s">
        <v>2156</v>
      </c>
      <c r="B13">
        <v>0.12</v>
      </c>
      <c r="C13" t="s">
        <v>953</v>
      </c>
    </row>
    <row r="14" spans="1:3" x14ac:dyDescent="0.25">
      <c r="A14" t="s">
        <v>2157</v>
      </c>
      <c r="B14">
        <v>5.0000000000000001E-3</v>
      </c>
      <c r="C14" t="s">
        <v>953</v>
      </c>
    </row>
    <row r="15" spans="1:3" x14ac:dyDescent="0.25">
      <c r="A15" t="s">
        <v>2158</v>
      </c>
      <c r="B15">
        <v>0.18</v>
      </c>
      <c r="C15" t="s">
        <v>953</v>
      </c>
    </row>
    <row r="16" spans="1:3" x14ac:dyDescent="0.25">
      <c r="A16" t="s">
        <v>2159</v>
      </c>
      <c r="B16">
        <v>0.04</v>
      </c>
      <c r="C16" t="s">
        <v>953</v>
      </c>
    </row>
    <row r="17" spans="1:3" x14ac:dyDescent="0.25">
      <c r="A17" t="s">
        <v>2160</v>
      </c>
      <c r="B17">
        <v>0.03</v>
      </c>
      <c r="C17" t="s">
        <v>953</v>
      </c>
    </row>
    <row r="18" spans="1:3" x14ac:dyDescent="0.25">
      <c r="A18" t="s">
        <v>2161</v>
      </c>
      <c r="B18">
        <v>0.05</v>
      </c>
      <c r="C18" t="s">
        <v>953</v>
      </c>
    </row>
    <row r="19" spans="1:3" x14ac:dyDescent="0.25">
      <c r="A19" t="s">
        <v>2164</v>
      </c>
      <c r="B19">
        <v>0.03</v>
      </c>
      <c r="C19" t="s">
        <v>953</v>
      </c>
    </row>
    <row r="20" spans="1:3" x14ac:dyDescent="0.25">
      <c r="A20" t="s">
        <v>2162</v>
      </c>
      <c r="B20">
        <v>600</v>
      </c>
      <c r="C20" t="s">
        <v>958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9B20F-A049-4140-884C-975116714702}">
  <dimension ref="A1:S2"/>
  <sheetViews>
    <sheetView workbookViewId="0">
      <selection activeCell="H20" sqref="H20"/>
    </sheetView>
  </sheetViews>
  <sheetFormatPr baseColWidth="10" defaultRowHeight="15" x14ac:dyDescent="0.25"/>
  <cols>
    <col min="1" max="1" width="20.85546875" bestFit="1" customWidth="1"/>
    <col min="2" max="2" width="14.140625" bestFit="1" customWidth="1"/>
    <col min="3" max="3" width="14.42578125" bestFit="1" customWidth="1"/>
    <col min="4" max="4" width="11.140625" bestFit="1" customWidth="1"/>
    <col min="5" max="5" width="8.140625" bestFit="1" customWidth="1"/>
    <col min="6" max="6" width="14.28515625" bestFit="1" customWidth="1"/>
    <col min="7" max="7" width="21.140625" bestFit="1" customWidth="1"/>
    <col min="8" max="8" width="11.28515625" bestFit="1" customWidth="1"/>
    <col min="9" max="9" width="9.85546875" bestFit="1" customWidth="1"/>
    <col min="10" max="10" width="12.5703125" bestFit="1" customWidth="1"/>
    <col min="11" max="11" width="29.7109375" bestFit="1" customWidth="1"/>
    <col min="12" max="12" width="20" bestFit="1" customWidth="1"/>
    <col min="13" max="13" width="16.5703125" bestFit="1" customWidth="1"/>
    <col min="14" max="14" width="19.7109375" bestFit="1" customWidth="1"/>
    <col min="15" max="15" width="19.85546875" bestFit="1" customWidth="1"/>
    <col min="16" max="16" width="26.7109375" bestFit="1" customWidth="1"/>
    <col min="17" max="17" width="21.5703125" bestFit="1" customWidth="1"/>
    <col min="18" max="18" width="23.28515625" bestFit="1" customWidth="1"/>
    <col min="19" max="19" width="26.140625" bestFit="1" customWidth="1"/>
  </cols>
  <sheetData>
    <row r="1" spans="1:19" x14ac:dyDescent="0.25">
      <c r="A1" t="s">
        <v>979</v>
      </c>
      <c r="B1" t="s">
        <v>2165</v>
      </c>
      <c r="C1" t="s">
        <v>2166</v>
      </c>
      <c r="D1" t="s">
        <v>2167</v>
      </c>
      <c r="E1" t="s">
        <v>2168</v>
      </c>
      <c r="F1" t="s">
        <v>953</v>
      </c>
      <c r="G1" t="s">
        <v>2169</v>
      </c>
      <c r="H1" t="s">
        <v>2170</v>
      </c>
      <c r="I1" t="s">
        <v>2171</v>
      </c>
      <c r="J1" t="s">
        <v>2172</v>
      </c>
      <c r="K1" t="s">
        <v>2156</v>
      </c>
      <c r="L1" t="s">
        <v>2157</v>
      </c>
      <c r="M1" t="s">
        <v>2158</v>
      </c>
      <c r="N1" t="s">
        <v>2159</v>
      </c>
      <c r="O1" t="s">
        <v>2160</v>
      </c>
      <c r="P1" t="s">
        <v>2161</v>
      </c>
      <c r="Q1" t="s">
        <v>2162</v>
      </c>
      <c r="R1" t="s">
        <v>2163</v>
      </c>
      <c r="S1" t="s">
        <v>2164</v>
      </c>
    </row>
    <row r="2" spans="1:19" x14ac:dyDescent="0.25">
      <c r="A2" s="261" t="s">
        <v>987</v>
      </c>
      <c r="B2" s="261" t="s">
        <v>2173</v>
      </c>
      <c r="C2" s="261" t="s">
        <v>2174</v>
      </c>
      <c r="D2" s="261" t="s">
        <v>2175</v>
      </c>
      <c r="E2" s="261" t="s">
        <v>2176</v>
      </c>
      <c r="F2" s="261" t="s">
        <v>2177</v>
      </c>
      <c r="G2" s="261" t="s">
        <v>2178</v>
      </c>
      <c r="H2" s="261">
        <v>600</v>
      </c>
      <c r="I2" s="261" t="s">
        <v>2179</v>
      </c>
      <c r="J2" s="261" t="s">
        <v>2177</v>
      </c>
      <c r="K2">
        <v>0.12</v>
      </c>
      <c r="L2">
        <v>5.0000000000000001E-3</v>
      </c>
      <c r="M2">
        <v>0.18</v>
      </c>
      <c r="N2">
        <v>0.04</v>
      </c>
      <c r="O2">
        <v>0.03</v>
      </c>
      <c r="P2">
        <v>0.05</v>
      </c>
      <c r="Q2">
        <v>600</v>
      </c>
      <c r="R2">
        <v>0.08</v>
      </c>
      <c r="S2">
        <v>0.03</v>
      </c>
    </row>
  </sheetData>
  <phoneticPr fontId="3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6084-4FDC-48F4-A939-DB6F30BE82B7}">
  <sheetPr codeName="Feuil2">
    <tabColor rgb="FF1565C0"/>
  </sheetPr>
  <dimension ref="A1:D1093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0" sqref="C10"/>
    </sheetView>
  </sheetViews>
  <sheetFormatPr baseColWidth="10" defaultColWidth="8.7109375" defaultRowHeight="15" x14ac:dyDescent="0.25"/>
  <cols>
    <col min="1" max="1" width="3" style="1" customWidth="1"/>
    <col min="2" max="2" width="28" style="1" customWidth="1"/>
    <col min="3" max="3" width="90" style="1" customWidth="1"/>
    <col min="4" max="4" width="3" style="1" customWidth="1"/>
    <col min="5" max="16384" width="8.7109375" style="1"/>
  </cols>
  <sheetData>
    <row r="1" spans="1:4" ht="31.5" customHeight="1" x14ac:dyDescent="0.25">
      <c r="A1" s="4"/>
      <c r="B1" s="242" t="s">
        <v>44</v>
      </c>
      <c r="C1" s="242"/>
      <c r="D1" s="4"/>
    </row>
    <row r="2" spans="1:4" ht="18" customHeight="1" x14ac:dyDescent="0.25">
      <c r="A2" s="5"/>
      <c r="B2" s="6" t="s">
        <v>45</v>
      </c>
      <c r="C2" s="7" t="s">
        <v>46</v>
      </c>
      <c r="D2" s="5"/>
    </row>
    <row r="3" spans="1:4" ht="18" customHeight="1" x14ac:dyDescent="0.25">
      <c r="A3" s="5"/>
      <c r="B3" s="8" t="s">
        <v>47</v>
      </c>
      <c r="C3" s="9" t="s">
        <v>48</v>
      </c>
      <c r="D3" s="5"/>
    </row>
    <row r="4" spans="1:4" ht="18" customHeight="1" x14ac:dyDescent="0.25">
      <c r="A4" s="5"/>
      <c r="B4" s="8" t="s">
        <v>49</v>
      </c>
      <c r="C4" s="9" t="s">
        <v>50</v>
      </c>
      <c r="D4" s="5"/>
    </row>
    <row r="5" spans="1:4" ht="18" customHeight="1" x14ac:dyDescent="0.25">
      <c r="A5" s="5"/>
      <c r="B5" s="10" t="s">
        <v>51</v>
      </c>
      <c r="C5" s="11" t="s">
        <v>52</v>
      </c>
      <c r="D5" s="5"/>
    </row>
    <row r="6" spans="1:4" ht="7.5" customHeight="1" x14ac:dyDescent="0.25">
      <c r="A6" s="12"/>
      <c r="B6" s="12"/>
      <c r="C6" s="12"/>
      <c r="D6" s="12"/>
    </row>
    <row r="7" spans="1:4" ht="21.75" customHeight="1" x14ac:dyDescent="0.25">
      <c r="A7" s="13"/>
      <c r="B7" s="243" t="s">
        <v>53</v>
      </c>
      <c r="C7" s="243"/>
      <c r="D7" s="13"/>
    </row>
    <row r="8" spans="1:4" ht="16.5" customHeight="1" x14ac:dyDescent="0.25">
      <c r="A8" s="5"/>
      <c r="B8" s="14" t="s">
        <v>54</v>
      </c>
      <c r="C8" s="15" t="s">
        <v>55</v>
      </c>
      <c r="D8" s="5"/>
    </row>
    <row r="9" spans="1:4" ht="16.5" customHeight="1" x14ac:dyDescent="0.25">
      <c r="A9" s="5"/>
      <c r="B9" s="14" t="s">
        <v>56</v>
      </c>
      <c r="C9" s="15" t="s">
        <v>57</v>
      </c>
      <c r="D9" s="5"/>
    </row>
    <row r="10" spans="1:4" ht="16.5" customHeight="1" x14ac:dyDescent="0.25">
      <c r="A10" s="5"/>
      <c r="B10" s="14" t="s">
        <v>58</v>
      </c>
      <c r="C10" s="15" t="s">
        <v>59</v>
      </c>
      <c r="D10" s="5"/>
    </row>
    <row r="11" spans="1:4" ht="16.5" customHeight="1" x14ac:dyDescent="0.25">
      <c r="A11" s="5"/>
      <c r="B11" s="14" t="s">
        <v>60</v>
      </c>
      <c r="C11" s="15" t="s">
        <v>61</v>
      </c>
      <c r="D11" s="5"/>
    </row>
    <row r="12" spans="1:4" ht="16.5" customHeight="1" x14ac:dyDescent="0.25">
      <c r="A12" s="5"/>
      <c r="B12" s="14" t="s">
        <v>62</v>
      </c>
      <c r="C12" s="15" t="s">
        <v>63</v>
      </c>
      <c r="D12" s="5"/>
    </row>
    <row r="13" spans="1:4" ht="16.5" customHeight="1" x14ac:dyDescent="0.25">
      <c r="A13" s="5"/>
      <c r="B13" s="14" t="s">
        <v>64</v>
      </c>
      <c r="C13" s="15" t="s">
        <v>65</v>
      </c>
      <c r="D13" s="5"/>
    </row>
    <row r="14" spans="1:4" ht="16.5" customHeight="1" x14ac:dyDescent="0.25">
      <c r="A14" s="5"/>
      <c r="B14" s="14" t="s">
        <v>66</v>
      </c>
      <c r="C14" s="15" t="s">
        <v>67</v>
      </c>
      <c r="D14" s="5"/>
    </row>
    <row r="15" spans="1:4" ht="16.5" customHeight="1" x14ac:dyDescent="0.25">
      <c r="A15" s="5"/>
      <c r="B15" s="14" t="s">
        <v>68</v>
      </c>
      <c r="C15" s="15" t="s">
        <v>69</v>
      </c>
      <c r="D15" s="5"/>
    </row>
    <row r="16" spans="1:4" ht="16.5" customHeight="1" x14ac:dyDescent="0.25">
      <c r="A16" s="5"/>
      <c r="B16" s="14" t="s">
        <v>70</v>
      </c>
      <c r="C16" s="15" t="s">
        <v>71</v>
      </c>
      <c r="D16" s="5"/>
    </row>
    <row r="17" spans="1:4" ht="7.5" customHeight="1" x14ac:dyDescent="0.25">
      <c r="A17" s="16"/>
      <c r="B17" s="16"/>
      <c r="C17" s="16"/>
      <c r="D17" s="16"/>
    </row>
    <row r="18" spans="1:4" ht="21.75" customHeight="1" x14ac:dyDescent="0.25">
      <c r="A18" s="4"/>
      <c r="B18" s="244" t="s">
        <v>72</v>
      </c>
      <c r="C18" s="244"/>
      <c r="D18" s="4"/>
    </row>
    <row r="19" spans="1:4" ht="6" customHeight="1" x14ac:dyDescent="0.25">
      <c r="A19" s="16"/>
      <c r="B19" s="16"/>
      <c r="C19" s="16"/>
      <c r="D19" s="16"/>
    </row>
    <row r="20" spans="1:4" ht="21.75" customHeight="1" x14ac:dyDescent="0.25">
      <c r="A20" s="17"/>
      <c r="B20" s="230" t="s">
        <v>73</v>
      </c>
      <c r="C20" s="230"/>
      <c r="D20" s="17"/>
    </row>
    <row r="21" spans="1:4" ht="16.5" customHeight="1" x14ac:dyDescent="0.25">
      <c r="A21" s="5"/>
      <c r="B21" s="231" t="s">
        <v>74</v>
      </c>
      <c r="C21" s="231"/>
      <c r="D21" s="5"/>
    </row>
    <row r="22" spans="1:4" ht="15" customHeight="1" x14ac:dyDescent="0.25">
      <c r="A22" s="18"/>
      <c r="B22" s="232" t="s">
        <v>75</v>
      </c>
      <c r="C22" s="232"/>
      <c r="D22" s="18"/>
    </row>
    <row r="23" spans="1:4" ht="13.5" customHeight="1" x14ac:dyDescent="0.25">
      <c r="A23" s="19"/>
      <c r="B23" s="20" t="s">
        <v>76</v>
      </c>
      <c r="C23" s="19"/>
      <c r="D23" s="19"/>
    </row>
    <row r="24" spans="1:4" ht="13.5" customHeight="1" x14ac:dyDescent="0.25">
      <c r="A24" s="21"/>
      <c r="B24" s="22" t="s">
        <v>77</v>
      </c>
      <c r="C24" s="21"/>
      <c r="D24" s="21"/>
    </row>
    <row r="25" spans="1:4" ht="13.5" customHeight="1" x14ac:dyDescent="0.25">
      <c r="A25" s="21"/>
      <c r="B25" s="22" t="s">
        <v>78</v>
      </c>
      <c r="C25" s="21"/>
      <c r="D25" s="21"/>
    </row>
    <row r="26" spans="1:4" ht="13.5" customHeight="1" x14ac:dyDescent="0.25">
      <c r="A26" s="21"/>
      <c r="B26" s="22" t="s">
        <v>79</v>
      </c>
      <c r="C26" s="21"/>
      <c r="D26" s="21"/>
    </row>
    <row r="27" spans="1:4" ht="13.5" customHeight="1" x14ac:dyDescent="0.25">
      <c r="A27" s="21"/>
      <c r="B27" s="22" t="s">
        <v>77</v>
      </c>
      <c r="C27" s="21"/>
      <c r="D27" s="21"/>
    </row>
    <row r="28" spans="1:4" ht="13.5" customHeight="1" x14ac:dyDescent="0.25">
      <c r="A28" s="21"/>
      <c r="B28" s="22" t="s">
        <v>80</v>
      </c>
      <c r="C28" s="21"/>
      <c r="D28" s="21"/>
    </row>
    <row r="29" spans="1:4" ht="13.5" customHeight="1" x14ac:dyDescent="0.25">
      <c r="A29" s="21"/>
      <c r="B29" s="22" t="s">
        <v>81</v>
      </c>
      <c r="C29" s="21"/>
      <c r="D29" s="21"/>
    </row>
    <row r="30" spans="1:4" ht="13.5" customHeight="1" x14ac:dyDescent="0.25">
      <c r="A30" s="21"/>
      <c r="B30" s="22" t="s">
        <v>82</v>
      </c>
      <c r="C30" s="21"/>
      <c r="D30" s="21"/>
    </row>
    <row r="31" spans="1:4" ht="13.5" customHeight="1" x14ac:dyDescent="0.25">
      <c r="A31" s="21"/>
      <c r="B31" s="22" t="s">
        <v>83</v>
      </c>
      <c r="C31" s="21"/>
      <c r="D31" s="21"/>
    </row>
    <row r="32" spans="1:4" ht="13.5" customHeight="1" x14ac:dyDescent="0.25">
      <c r="A32" s="21"/>
      <c r="B32" s="22" t="s">
        <v>84</v>
      </c>
      <c r="C32" s="21"/>
      <c r="D32" s="21"/>
    </row>
    <row r="33" spans="1:4" ht="13.5" customHeight="1" x14ac:dyDescent="0.25">
      <c r="A33" s="21"/>
      <c r="B33" s="22"/>
      <c r="C33" s="21"/>
      <c r="D33" s="21"/>
    </row>
    <row r="34" spans="1:4" ht="13.5" customHeight="1" x14ac:dyDescent="0.25">
      <c r="A34" s="21"/>
      <c r="B34" s="22" t="s">
        <v>85</v>
      </c>
      <c r="C34" s="21"/>
      <c r="D34" s="21"/>
    </row>
    <row r="35" spans="1:4" ht="13.5" customHeight="1" x14ac:dyDescent="0.25">
      <c r="A35" s="21"/>
      <c r="B35" s="22" t="s">
        <v>86</v>
      </c>
      <c r="C35" s="21"/>
      <c r="D35" s="21"/>
    </row>
    <row r="36" spans="1:4" ht="13.5" customHeight="1" x14ac:dyDescent="0.25">
      <c r="A36" s="21"/>
      <c r="B36" s="22" t="s">
        <v>87</v>
      </c>
      <c r="C36" s="21"/>
      <c r="D36" s="21"/>
    </row>
    <row r="37" spans="1:4" ht="13.5" customHeight="1" x14ac:dyDescent="0.25">
      <c r="A37" s="21"/>
      <c r="B37" s="22" t="s">
        <v>88</v>
      </c>
      <c r="C37" s="23" t="s">
        <v>89</v>
      </c>
      <c r="D37" s="21"/>
    </row>
    <row r="38" spans="1:4" ht="13.5" customHeight="1" x14ac:dyDescent="0.25">
      <c r="A38" s="21"/>
      <c r="B38" s="22" t="s">
        <v>90</v>
      </c>
      <c r="C38" s="21"/>
      <c r="D38" s="21"/>
    </row>
    <row r="39" spans="1:4" ht="13.5" customHeight="1" x14ac:dyDescent="0.25">
      <c r="A39" s="21"/>
      <c r="B39" s="22" t="s">
        <v>91</v>
      </c>
      <c r="C39" s="21"/>
      <c r="D39" s="21"/>
    </row>
    <row r="40" spans="1:4" ht="13.5" customHeight="1" x14ac:dyDescent="0.25">
      <c r="A40" s="21"/>
      <c r="B40" s="22" t="s">
        <v>92</v>
      </c>
      <c r="C40" s="21"/>
      <c r="D40" s="21"/>
    </row>
    <row r="41" spans="1:4" ht="13.5" customHeight="1" x14ac:dyDescent="0.25">
      <c r="A41" s="21"/>
      <c r="B41" s="22" t="s">
        <v>93</v>
      </c>
      <c r="C41" s="21"/>
      <c r="D41" s="21"/>
    </row>
    <row r="42" spans="1:4" ht="13.5" customHeight="1" x14ac:dyDescent="0.25">
      <c r="A42" s="21"/>
      <c r="B42" s="22" t="s">
        <v>94</v>
      </c>
      <c r="C42" s="21"/>
      <c r="D42" s="21"/>
    </row>
    <row r="43" spans="1:4" ht="13.5" customHeight="1" x14ac:dyDescent="0.25">
      <c r="A43" s="21"/>
      <c r="B43" s="22" t="s">
        <v>95</v>
      </c>
      <c r="C43" s="21"/>
      <c r="D43" s="21"/>
    </row>
    <row r="44" spans="1:4" ht="9.75" customHeight="1" x14ac:dyDescent="0.25">
      <c r="A44" s="12"/>
      <c r="B44" s="12"/>
      <c r="C44" s="12"/>
      <c r="D44" s="12"/>
    </row>
    <row r="45" spans="1:4" ht="21.75" customHeight="1" x14ac:dyDescent="0.25">
      <c r="A45" s="24"/>
      <c r="B45" s="241" t="s">
        <v>96</v>
      </c>
      <c r="C45" s="241"/>
      <c r="D45" s="24"/>
    </row>
    <row r="46" spans="1:4" ht="6" customHeight="1" x14ac:dyDescent="0.25">
      <c r="A46" s="16"/>
      <c r="B46" s="16"/>
      <c r="C46" s="16"/>
      <c r="D46" s="16"/>
    </row>
    <row r="47" spans="1:4" ht="21.75" customHeight="1" x14ac:dyDescent="0.25">
      <c r="A47" s="17"/>
      <c r="B47" s="230" t="s">
        <v>97</v>
      </c>
      <c r="C47" s="230"/>
      <c r="D47" s="17"/>
    </row>
    <row r="48" spans="1:4" ht="16.5" customHeight="1" x14ac:dyDescent="0.25">
      <c r="A48" s="5"/>
      <c r="B48" s="231" t="s">
        <v>98</v>
      </c>
      <c r="C48" s="231"/>
      <c r="D48" s="5"/>
    </row>
    <row r="49" spans="1:4" ht="15" customHeight="1" x14ac:dyDescent="0.25">
      <c r="A49" s="18"/>
      <c r="B49" s="232" t="s">
        <v>99</v>
      </c>
      <c r="C49" s="232"/>
      <c r="D49" s="18"/>
    </row>
    <row r="50" spans="1:4" ht="13.5" customHeight="1" x14ac:dyDescent="0.25">
      <c r="A50" s="19"/>
      <c r="B50" s="20" t="s">
        <v>100</v>
      </c>
      <c r="C50" s="19"/>
      <c r="D50" s="19"/>
    </row>
    <row r="51" spans="1:4" ht="13.5" customHeight="1" x14ac:dyDescent="0.25">
      <c r="A51" s="21"/>
      <c r="B51" s="22" t="s">
        <v>101</v>
      </c>
      <c r="C51" s="21"/>
      <c r="D51" s="21"/>
    </row>
    <row r="52" spans="1:4" ht="13.5" customHeight="1" x14ac:dyDescent="0.25">
      <c r="A52" s="21"/>
      <c r="B52" s="22" t="s">
        <v>102</v>
      </c>
      <c r="C52" s="21"/>
      <c r="D52" s="21"/>
    </row>
    <row r="53" spans="1:4" ht="13.5" customHeight="1" x14ac:dyDescent="0.25">
      <c r="A53" s="21"/>
      <c r="B53" s="22" t="s">
        <v>103</v>
      </c>
      <c r="C53" s="21"/>
      <c r="D53" s="21"/>
    </row>
    <row r="54" spans="1:4" ht="13.5" customHeight="1" x14ac:dyDescent="0.25">
      <c r="A54" s="21"/>
      <c r="B54" s="22" t="s">
        <v>104</v>
      </c>
      <c r="C54" s="21"/>
      <c r="D54" s="21"/>
    </row>
    <row r="55" spans="1:4" ht="13.5" customHeight="1" x14ac:dyDescent="0.25">
      <c r="A55" s="21"/>
      <c r="B55" s="22" t="s">
        <v>105</v>
      </c>
      <c r="C55" s="21"/>
      <c r="D55" s="21"/>
    </row>
    <row r="56" spans="1:4" ht="13.5" customHeight="1" x14ac:dyDescent="0.25">
      <c r="A56" s="21"/>
      <c r="B56" s="22" t="s">
        <v>80</v>
      </c>
      <c r="C56" s="21"/>
      <c r="D56" s="21"/>
    </row>
    <row r="57" spans="1:4" ht="13.5" customHeight="1" x14ac:dyDescent="0.25">
      <c r="A57" s="21"/>
      <c r="B57" s="22" t="s">
        <v>106</v>
      </c>
      <c r="C57" s="21"/>
      <c r="D57" s="21"/>
    </row>
    <row r="58" spans="1:4" ht="13.5" customHeight="1" x14ac:dyDescent="0.25">
      <c r="A58" s="21"/>
      <c r="B58" s="22"/>
      <c r="C58" s="21"/>
      <c r="D58" s="21"/>
    </row>
    <row r="59" spans="1:4" ht="13.5" customHeight="1" x14ac:dyDescent="0.25">
      <c r="A59" s="21"/>
      <c r="B59" s="22" t="s">
        <v>107</v>
      </c>
      <c r="C59" s="21"/>
      <c r="D59" s="21"/>
    </row>
    <row r="60" spans="1:4" ht="13.5" customHeight="1" x14ac:dyDescent="0.25">
      <c r="A60" s="21"/>
      <c r="B60" s="22" t="s">
        <v>108</v>
      </c>
      <c r="C60" s="21"/>
      <c r="D60" s="21"/>
    </row>
    <row r="61" spans="1:4" ht="13.5" customHeight="1" x14ac:dyDescent="0.25">
      <c r="A61" s="21"/>
      <c r="B61" s="22"/>
      <c r="C61" s="21"/>
      <c r="D61" s="21"/>
    </row>
    <row r="62" spans="1:4" ht="13.5" customHeight="1" x14ac:dyDescent="0.25">
      <c r="A62" s="21"/>
      <c r="B62" s="22" t="s">
        <v>109</v>
      </c>
      <c r="C62" s="21"/>
      <c r="D62" s="21"/>
    </row>
    <row r="63" spans="1:4" ht="13.5" customHeight="1" x14ac:dyDescent="0.25">
      <c r="A63" s="21"/>
      <c r="B63" s="22" t="s">
        <v>110</v>
      </c>
      <c r="C63" s="21"/>
      <c r="D63" s="21"/>
    </row>
    <row r="64" spans="1:4" ht="13.5" customHeight="1" x14ac:dyDescent="0.25">
      <c r="A64" s="21"/>
      <c r="B64" s="22" t="s">
        <v>111</v>
      </c>
      <c r="C64" s="21"/>
      <c r="D64" s="21"/>
    </row>
    <row r="65" spans="1:4" ht="13.5" customHeight="1" x14ac:dyDescent="0.25">
      <c r="A65" s="21"/>
      <c r="B65" s="22" t="s">
        <v>112</v>
      </c>
      <c r="C65" s="21"/>
      <c r="D65" s="21"/>
    </row>
    <row r="66" spans="1:4" ht="13.5" customHeight="1" x14ac:dyDescent="0.25">
      <c r="A66" s="21"/>
      <c r="B66" s="22"/>
      <c r="C66" s="21"/>
      <c r="D66" s="21"/>
    </row>
    <row r="67" spans="1:4" ht="13.5" customHeight="1" x14ac:dyDescent="0.25">
      <c r="A67" s="21"/>
      <c r="B67" s="22" t="s">
        <v>113</v>
      </c>
      <c r="C67" s="21"/>
      <c r="D67" s="21"/>
    </row>
    <row r="68" spans="1:4" ht="13.5" customHeight="1" x14ac:dyDescent="0.25">
      <c r="A68" s="21"/>
      <c r="B68" s="22" t="s">
        <v>114</v>
      </c>
      <c r="C68" s="23" t="s">
        <v>115</v>
      </c>
      <c r="D68" s="21"/>
    </row>
    <row r="69" spans="1:4" ht="13.5" customHeight="1" x14ac:dyDescent="0.25">
      <c r="A69" s="21"/>
      <c r="B69" s="22"/>
      <c r="C69" s="21"/>
      <c r="D69" s="21"/>
    </row>
    <row r="70" spans="1:4" ht="13.5" customHeight="1" x14ac:dyDescent="0.25">
      <c r="A70" s="21"/>
      <c r="B70" s="22" t="s">
        <v>116</v>
      </c>
      <c r="C70" s="21"/>
      <c r="D70" s="21"/>
    </row>
    <row r="71" spans="1:4" ht="13.5" customHeight="1" x14ac:dyDescent="0.25">
      <c r="A71" s="21"/>
      <c r="B71" s="22" t="s">
        <v>117</v>
      </c>
      <c r="C71" s="21"/>
      <c r="D71" s="21"/>
    </row>
    <row r="72" spans="1:4" ht="13.5" customHeight="1" x14ac:dyDescent="0.25">
      <c r="A72" s="21"/>
      <c r="B72" s="22" t="s">
        <v>118</v>
      </c>
      <c r="C72" s="21"/>
      <c r="D72" s="21"/>
    </row>
    <row r="73" spans="1:4" ht="13.5" customHeight="1" x14ac:dyDescent="0.25">
      <c r="A73" s="21"/>
      <c r="B73" s="22" t="s">
        <v>119</v>
      </c>
      <c r="C73" s="21"/>
      <c r="D73" s="21"/>
    </row>
    <row r="74" spans="1:4" ht="13.5" customHeight="1" x14ac:dyDescent="0.25">
      <c r="A74" s="21"/>
      <c r="B74" s="22"/>
      <c r="C74" s="21"/>
      <c r="D74" s="21"/>
    </row>
    <row r="75" spans="1:4" ht="13.5" customHeight="1" x14ac:dyDescent="0.25">
      <c r="A75" s="21"/>
      <c r="B75" s="22" t="s">
        <v>120</v>
      </c>
      <c r="C75" s="21"/>
      <c r="D75" s="21"/>
    </row>
    <row r="76" spans="1:4" ht="13.5" customHeight="1" x14ac:dyDescent="0.25">
      <c r="A76" s="21"/>
      <c r="B76" s="22" t="s">
        <v>121</v>
      </c>
      <c r="C76" s="21"/>
      <c r="D76" s="21"/>
    </row>
    <row r="77" spans="1:4" ht="13.5" customHeight="1" x14ac:dyDescent="0.25">
      <c r="A77" s="21"/>
      <c r="B77" s="22" t="s">
        <v>122</v>
      </c>
      <c r="C77" s="23" t="s">
        <v>123</v>
      </c>
      <c r="D77" s="21"/>
    </row>
    <row r="78" spans="1:4" ht="13.5" customHeight="1" x14ac:dyDescent="0.25">
      <c r="A78" s="21"/>
      <c r="B78" s="22" t="s">
        <v>124</v>
      </c>
      <c r="C78" s="21"/>
      <c r="D78" s="21"/>
    </row>
    <row r="79" spans="1:4" ht="13.5" customHeight="1" x14ac:dyDescent="0.25">
      <c r="A79" s="21"/>
      <c r="B79" s="22"/>
      <c r="C79" s="21"/>
      <c r="D79" s="21"/>
    </row>
    <row r="80" spans="1:4" ht="13.5" customHeight="1" x14ac:dyDescent="0.25">
      <c r="A80" s="21"/>
      <c r="B80" s="22" t="s">
        <v>125</v>
      </c>
      <c r="C80" s="21"/>
      <c r="D80" s="21"/>
    </row>
    <row r="81" spans="1:4" ht="13.5" customHeight="1" x14ac:dyDescent="0.25">
      <c r="A81" s="21"/>
      <c r="B81" s="22" t="s">
        <v>126</v>
      </c>
      <c r="C81" s="21"/>
      <c r="D81" s="21"/>
    </row>
    <row r="82" spans="1:4" ht="13.5" customHeight="1" x14ac:dyDescent="0.25">
      <c r="A82" s="21"/>
      <c r="B82" s="22" t="s">
        <v>127</v>
      </c>
      <c r="C82" s="21"/>
      <c r="D82" s="21"/>
    </row>
    <row r="83" spans="1:4" ht="13.5" customHeight="1" x14ac:dyDescent="0.25">
      <c r="A83" s="21"/>
      <c r="B83" s="22" t="s">
        <v>128</v>
      </c>
      <c r="C83" s="21"/>
      <c r="D83" s="21"/>
    </row>
    <row r="84" spans="1:4" ht="13.5" customHeight="1" x14ac:dyDescent="0.25">
      <c r="A84" s="21"/>
      <c r="B84" s="22" t="s">
        <v>129</v>
      </c>
      <c r="C84" s="21"/>
      <c r="D84" s="21"/>
    </row>
    <row r="85" spans="1:4" ht="13.5" customHeight="1" x14ac:dyDescent="0.25">
      <c r="A85" s="21"/>
      <c r="B85" s="22" t="s">
        <v>130</v>
      </c>
      <c r="C85" s="21"/>
      <c r="D85" s="21"/>
    </row>
    <row r="86" spans="1:4" ht="13.5" customHeight="1" x14ac:dyDescent="0.25">
      <c r="A86" s="21"/>
      <c r="B86" s="22" t="s">
        <v>131</v>
      </c>
      <c r="C86" s="21"/>
      <c r="D86" s="21"/>
    </row>
    <row r="87" spans="1:4" ht="13.5" customHeight="1" x14ac:dyDescent="0.25">
      <c r="A87" s="21"/>
      <c r="B87" s="22" t="s">
        <v>132</v>
      </c>
      <c r="C87" s="21"/>
      <c r="D87" s="21"/>
    </row>
    <row r="88" spans="1:4" ht="13.5" customHeight="1" x14ac:dyDescent="0.25">
      <c r="A88" s="21"/>
      <c r="B88" s="22" t="s">
        <v>133</v>
      </c>
      <c r="C88" s="21"/>
      <c r="D88" s="21"/>
    </row>
    <row r="89" spans="1:4" ht="13.5" customHeight="1" x14ac:dyDescent="0.25">
      <c r="A89" s="21"/>
      <c r="B89" s="22" t="s">
        <v>134</v>
      </c>
      <c r="C89" s="21"/>
      <c r="D89" s="21"/>
    </row>
    <row r="90" spans="1:4" ht="13.5" customHeight="1" x14ac:dyDescent="0.25">
      <c r="A90" s="21"/>
      <c r="B90" s="22" t="s">
        <v>94</v>
      </c>
      <c r="C90" s="21"/>
      <c r="D90" s="21"/>
    </row>
    <row r="91" spans="1:4" ht="13.5" customHeight="1" x14ac:dyDescent="0.25">
      <c r="A91" s="21"/>
      <c r="B91" s="22" t="s">
        <v>135</v>
      </c>
      <c r="C91" s="21"/>
      <c r="D91" s="21"/>
    </row>
    <row r="92" spans="1:4" ht="9.75" customHeight="1" x14ac:dyDescent="0.25">
      <c r="A92" s="12"/>
      <c r="B92" s="12"/>
      <c r="C92" s="12"/>
      <c r="D92" s="12"/>
    </row>
    <row r="93" spans="1:4" ht="21.75" customHeight="1" x14ac:dyDescent="0.25">
      <c r="A93" s="17"/>
      <c r="B93" s="230" t="s">
        <v>136</v>
      </c>
      <c r="C93" s="230"/>
      <c r="D93" s="17"/>
    </row>
    <row r="94" spans="1:4" ht="16.5" customHeight="1" x14ac:dyDescent="0.25">
      <c r="A94" s="5"/>
      <c r="B94" s="231" t="s">
        <v>137</v>
      </c>
      <c r="C94" s="231"/>
      <c r="D94" s="5"/>
    </row>
    <row r="95" spans="1:4" ht="15" customHeight="1" x14ac:dyDescent="0.25">
      <c r="A95" s="18"/>
      <c r="B95" s="232" t="s">
        <v>138</v>
      </c>
      <c r="C95" s="232"/>
      <c r="D95" s="18"/>
    </row>
    <row r="96" spans="1:4" ht="13.5" customHeight="1" x14ac:dyDescent="0.25">
      <c r="A96" s="19"/>
      <c r="B96" s="20" t="s">
        <v>139</v>
      </c>
      <c r="C96" s="19"/>
      <c r="D96" s="19"/>
    </row>
    <row r="97" spans="1:4" ht="13.5" customHeight="1" x14ac:dyDescent="0.25">
      <c r="A97" s="21"/>
      <c r="B97" s="22" t="s">
        <v>140</v>
      </c>
      <c r="C97" s="21"/>
      <c r="D97" s="21"/>
    </row>
    <row r="98" spans="1:4" ht="13.5" customHeight="1" x14ac:dyDescent="0.25">
      <c r="A98" s="21"/>
      <c r="B98" s="22" t="s">
        <v>141</v>
      </c>
      <c r="C98" s="21"/>
      <c r="D98" s="21"/>
    </row>
    <row r="99" spans="1:4" ht="13.5" customHeight="1" x14ac:dyDescent="0.25">
      <c r="A99" s="21"/>
      <c r="B99" s="22" t="s">
        <v>142</v>
      </c>
      <c r="C99" s="21"/>
      <c r="D99" s="21"/>
    </row>
    <row r="100" spans="1:4" ht="13.5" customHeight="1" x14ac:dyDescent="0.25">
      <c r="A100" s="21"/>
      <c r="B100" s="22" t="s">
        <v>143</v>
      </c>
      <c r="C100" s="21"/>
      <c r="D100" s="21"/>
    </row>
    <row r="101" spans="1:4" ht="13.5" customHeight="1" x14ac:dyDescent="0.25">
      <c r="A101" s="21"/>
      <c r="B101" s="22" t="s">
        <v>144</v>
      </c>
      <c r="C101" s="21"/>
      <c r="D101" s="21"/>
    </row>
    <row r="102" spans="1:4" ht="13.5" customHeight="1" x14ac:dyDescent="0.25">
      <c r="A102" s="21"/>
      <c r="B102" s="22" t="s">
        <v>145</v>
      </c>
      <c r="C102" s="21"/>
      <c r="D102" s="21"/>
    </row>
    <row r="103" spans="1:4" ht="13.5" customHeight="1" x14ac:dyDescent="0.25">
      <c r="A103" s="21"/>
      <c r="B103" s="22" t="s">
        <v>146</v>
      </c>
      <c r="C103" s="21"/>
      <c r="D103" s="21"/>
    </row>
    <row r="104" spans="1:4" ht="13.5" customHeight="1" x14ac:dyDescent="0.25">
      <c r="A104" s="21"/>
      <c r="B104" s="22" t="s">
        <v>147</v>
      </c>
      <c r="C104" s="21"/>
      <c r="D104" s="21"/>
    </row>
    <row r="105" spans="1:4" ht="13.5" customHeight="1" x14ac:dyDescent="0.25">
      <c r="A105" s="21"/>
      <c r="B105" s="22" t="s">
        <v>148</v>
      </c>
      <c r="C105" s="21"/>
      <c r="D105" s="21"/>
    </row>
    <row r="106" spans="1:4" ht="13.5" customHeight="1" x14ac:dyDescent="0.25">
      <c r="A106" s="21"/>
      <c r="B106" s="22" t="s">
        <v>149</v>
      </c>
      <c r="C106" s="21"/>
      <c r="D106" s="21"/>
    </row>
    <row r="107" spans="1:4" ht="13.5" customHeight="1" x14ac:dyDescent="0.25">
      <c r="A107" s="21"/>
      <c r="B107" s="22" t="s">
        <v>150</v>
      </c>
      <c r="C107" s="21"/>
      <c r="D107" s="21"/>
    </row>
    <row r="108" spans="1:4" ht="13.5" customHeight="1" x14ac:dyDescent="0.25">
      <c r="A108" s="21"/>
      <c r="B108" s="22" t="s">
        <v>105</v>
      </c>
      <c r="C108" s="21"/>
      <c r="D108" s="21"/>
    </row>
    <row r="109" spans="1:4" ht="13.5" customHeight="1" x14ac:dyDescent="0.25">
      <c r="A109" s="21"/>
      <c r="B109" s="22" t="s">
        <v>80</v>
      </c>
      <c r="C109" s="21"/>
      <c r="D109" s="21"/>
    </row>
    <row r="110" spans="1:4" ht="13.5" customHeight="1" x14ac:dyDescent="0.25">
      <c r="A110" s="21"/>
      <c r="B110" s="22" t="s">
        <v>151</v>
      </c>
      <c r="C110" s="21"/>
      <c r="D110" s="21"/>
    </row>
    <row r="111" spans="1:4" ht="13.5" customHeight="1" x14ac:dyDescent="0.25">
      <c r="A111" s="21"/>
      <c r="B111" s="22" t="s">
        <v>152</v>
      </c>
      <c r="C111" s="21"/>
      <c r="D111" s="21"/>
    </row>
    <row r="112" spans="1:4" ht="13.5" customHeight="1" x14ac:dyDescent="0.25">
      <c r="A112" s="21"/>
      <c r="B112" s="22" t="s">
        <v>153</v>
      </c>
      <c r="C112" s="21"/>
      <c r="D112" s="21"/>
    </row>
    <row r="113" spans="1:4" ht="13.5" customHeight="1" x14ac:dyDescent="0.25">
      <c r="A113" s="21"/>
      <c r="B113" s="22"/>
      <c r="C113" s="21"/>
      <c r="D113" s="21"/>
    </row>
    <row r="114" spans="1:4" ht="13.5" customHeight="1" x14ac:dyDescent="0.25">
      <c r="A114" s="21"/>
      <c r="B114" s="22" t="s">
        <v>154</v>
      </c>
      <c r="C114" s="21"/>
      <c r="D114" s="21"/>
    </row>
    <row r="115" spans="1:4" ht="13.5" customHeight="1" x14ac:dyDescent="0.25">
      <c r="A115" s="21"/>
      <c r="B115" s="22" t="s">
        <v>155</v>
      </c>
      <c r="C115" s="21"/>
      <c r="D115" s="21"/>
    </row>
    <row r="116" spans="1:4" ht="13.5" customHeight="1" x14ac:dyDescent="0.25">
      <c r="A116" s="21"/>
      <c r="B116" s="22" t="s">
        <v>156</v>
      </c>
      <c r="C116" s="21"/>
      <c r="D116" s="21"/>
    </row>
    <row r="117" spans="1:4" ht="13.5" customHeight="1" x14ac:dyDescent="0.25">
      <c r="A117" s="21"/>
      <c r="B117" s="22"/>
      <c r="C117" s="21"/>
      <c r="D117" s="21"/>
    </row>
    <row r="118" spans="1:4" ht="13.5" customHeight="1" x14ac:dyDescent="0.25">
      <c r="A118" s="21"/>
      <c r="B118" s="22" t="s">
        <v>157</v>
      </c>
      <c r="C118" s="21"/>
      <c r="D118" s="21"/>
    </row>
    <row r="119" spans="1:4" ht="13.5" customHeight="1" x14ac:dyDescent="0.25">
      <c r="A119" s="21"/>
      <c r="B119" s="22" t="s">
        <v>158</v>
      </c>
      <c r="C119" s="21"/>
      <c r="D119" s="21"/>
    </row>
    <row r="120" spans="1:4" ht="13.5" customHeight="1" x14ac:dyDescent="0.25">
      <c r="A120" s="21"/>
      <c r="B120" s="22"/>
      <c r="C120" s="21"/>
      <c r="D120" s="21"/>
    </row>
    <row r="121" spans="1:4" ht="13.5" customHeight="1" x14ac:dyDescent="0.25">
      <c r="A121" s="21"/>
      <c r="B121" s="22" t="s">
        <v>159</v>
      </c>
      <c r="C121" s="21"/>
      <c r="D121" s="21"/>
    </row>
    <row r="122" spans="1:4" ht="13.5" customHeight="1" x14ac:dyDescent="0.25">
      <c r="A122" s="21"/>
      <c r="B122" s="22" t="s">
        <v>160</v>
      </c>
      <c r="C122" s="21"/>
      <c r="D122" s="21"/>
    </row>
    <row r="123" spans="1:4" ht="13.5" customHeight="1" x14ac:dyDescent="0.25">
      <c r="A123" s="21"/>
      <c r="B123" s="22" t="s">
        <v>161</v>
      </c>
      <c r="C123" s="21"/>
      <c r="D123" s="21"/>
    </row>
    <row r="124" spans="1:4" ht="13.5" customHeight="1" x14ac:dyDescent="0.25">
      <c r="A124" s="21"/>
      <c r="B124" s="22" t="s">
        <v>162</v>
      </c>
      <c r="C124" s="21"/>
      <c r="D124" s="21"/>
    </row>
    <row r="125" spans="1:4" ht="13.5" customHeight="1" x14ac:dyDescent="0.25">
      <c r="A125" s="21"/>
      <c r="B125" s="22" t="s">
        <v>163</v>
      </c>
      <c r="C125" s="21"/>
      <c r="D125" s="21"/>
    </row>
    <row r="126" spans="1:4" ht="13.5" customHeight="1" x14ac:dyDescent="0.25">
      <c r="A126" s="21"/>
      <c r="B126" s="22" t="s">
        <v>164</v>
      </c>
      <c r="C126" s="21"/>
      <c r="D126" s="21"/>
    </row>
    <row r="127" spans="1:4" ht="13.5" customHeight="1" x14ac:dyDescent="0.25">
      <c r="A127" s="21"/>
      <c r="B127" s="22" t="s">
        <v>124</v>
      </c>
      <c r="C127" s="21"/>
      <c r="D127" s="21"/>
    </row>
    <row r="128" spans="1:4" ht="13.5" customHeight="1" x14ac:dyDescent="0.25">
      <c r="A128" s="21"/>
      <c r="B128" s="22"/>
      <c r="C128" s="21"/>
      <c r="D128" s="21"/>
    </row>
    <row r="129" spans="1:4" ht="13.5" customHeight="1" x14ac:dyDescent="0.25">
      <c r="A129" s="21"/>
      <c r="B129" s="22" t="s">
        <v>165</v>
      </c>
      <c r="C129" s="21"/>
      <c r="D129" s="21"/>
    </row>
    <row r="130" spans="1:4" ht="13.5" customHeight="1" x14ac:dyDescent="0.25">
      <c r="A130" s="21"/>
      <c r="B130" s="22" t="s">
        <v>166</v>
      </c>
      <c r="C130" s="21"/>
      <c r="D130" s="21"/>
    </row>
    <row r="131" spans="1:4" ht="13.5" customHeight="1" x14ac:dyDescent="0.25">
      <c r="A131" s="21"/>
      <c r="B131" s="22"/>
      <c r="C131" s="21"/>
      <c r="D131" s="21"/>
    </row>
    <row r="132" spans="1:4" ht="13.5" customHeight="1" x14ac:dyDescent="0.25">
      <c r="A132" s="21"/>
      <c r="B132" s="22" t="s">
        <v>167</v>
      </c>
      <c r="C132" s="21"/>
      <c r="D132" s="21"/>
    </row>
    <row r="133" spans="1:4" ht="13.5" customHeight="1" x14ac:dyDescent="0.25">
      <c r="A133" s="21"/>
      <c r="B133" s="22" t="s">
        <v>168</v>
      </c>
      <c r="C133" s="21"/>
      <c r="D133" s="21"/>
    </row>
    <row r="134" spans="1:4" ht="13.5" customHeight="1" x14ac:dyDescent="0.25">
      <c r="A134" s="21"/>
      <c r="B134" s="22" t="s">
        <v>169</v>
      </c>
      <c r="C134" s="21"/>
      <c r="D134" s="21"/>
    </row>
    <row r="135" spans="1:4" ht="13.5" customHeight="1" x14ac:dyDescent="0.25">
      <c r="A135" s="21"/>
      <c r="B135" s="22" t="s">
        <v>93</v>
      </c>
      <c r="C135" s="21"/>
      <c r="D135" s="21"/>
    </row>
    <row r="136" spans="1:4" ht="13.5" customHeight="1" x14ac:dyDescent="0.25">
      <c r="A136" s="21"/>
      <c r="B136" s="22" t="s">
        <v>94</v>
      </c>
      <c r="C136" s="21"/>
      <c r="D136" s="21"/>
    </row>
    <row r="137" spans="1:4" ht="13.5" customHeight="1" x14ac:dyDescent="0.25">
      <c r="A137" s="21"/>
      <c r="B137" s="22" t="s">
        <v>135</v>
      </c>
      <c r="C137" s="21"/>
      <c r="D137" s="21"/>
    </row>
    <row r="138" spans="1:4" ht="13.5" customHeight="1" x14ac:dyDescent="0.25">
      <c r="A138" s="21"/>
      <c r="B138" s="22"/>
      <c r="C138" s="21"/>
      <c r="D138" s="21"/>
    </row>
    <row r="139" spans="1:4" ht="13.5" customHeight="1" x14ac:dyDescent="0.25">
      <c r="A139" s="21"/>
      <c r="B139" s="22" t="s">
        <v>170</v>
      </c>
      <c r="C139" s="21"/>
      <c r="D139" s="21"/>
    </row>
    <row r="140" spans="1:4" ht="13.5" customHeight="1" x14ac:dyDescent="0.25">
      <c r="A140" s="21"/>
      <c r="B140" s="22" t="s">
        <v>171</v>
      </c>
      <c r="C140" s="21"/>
      <c r="D140" s="21"/>
    </row>
    <row r="141" spans="1:4" ht="13.5" customHeight="1" x14ac:dyDescent="0.25">
      <c r="A141" s="21"/>
      <c r="B141" s="22" t="s">
        <v>172</v>
      </c>
      <c r="C141" s="21"/>
      <c r="D141" s="21"/>
    </row>
    <row r="142" spans="1:4" ht="13.5" customHeight="1" x14ac:dyDescent="0.25">
      <c r="A142" s="21"/>
      <c r="B142" s="22" t="s">
        <v>173</v>
      </c>
      <c r="C142" s="21"/>
      <c r="D142" s="21"/>
    </row>
    <row r="143" spans="1:4" ht="13.5" customHeight="1" x14ac:dyDescent="0.25">
      <c r="A143" s="21"/>
      <c r="B143" s="22" t="s">
        <v>174</v>
      </c>
      <c r="C143" s="21"/>
      <c r="D143" s="21"/>
    </row>
    <row r="144" spans="1:4" ht="9.75" customHeight="1" x14ac:dyDescent="0.25">
      <c r="A144" s="12"/>
      <c r="B144" s="12"/>
      <c r="C144" s="12"/>
      <c r="D144" s="12"/>
    </row>
    <row r="145" spans="1:4" ht="21.75" customHeight="1" x14ac:dyDescent="0.25">
      <c r="A145" s="17"/>
      <c r="B145" s="230" t="s">
        <v>175</v>
      </c>
      <c r="C145" s="230"/>
      <c r="D145" s="17"/>
    </row>
    <row r="146" spans="1:4" ht="16.5" customHeight="1" x14ac:dyDescent="0.25">
      <c r="A146" s="5"/>
      <c r="B146" s="231" t="s">
        <v>176</v>
      </c>
      <c r="C146" s="231"/>
      <c r="D146" s="5"/>
    </row>
    <row r="147" spans="1:4" ht="15" customHeight="1" x14ac:dyDescent="0.25">
      <c r="A147" s="18"/>
      <c r="B147" s="232" t="s">
        <v>177</v>
      </c>
      <c r="C147" s="232"/>
      <c r="D147" s="18"/>
    </row>
    <row r="148" spans="1:4" ht="13.5" customHeight="1" x14ac:dyDescent="0.25">
      <c r="A148" s="19"/>
      <c r="B148" s="20" t="s">
        <v>178</v>
      </c>
      <c r="C148" s="19"/>
      <c r="D148" s="19"/>
    </row>
    <row r="149" spans="1:4" ht="13.5" customHeight="1" x14ac:dyDescent="0.25">
      <c r="A149" s="21"/>
      <c r="B149" s="22" t="s">
        <v>179</v>
      </c>
      <c r="C149" s="21"/>
      <c r="D149" s="21"/>
    </row>
    <row r="150" spans="1:4" ht="13.5" customHeight="1" x14ac:dyDescent="0.25">
      <c r="A150" s="21"/>
      <c r="B150" s="22" t="s">
        <v>180</v>
      </c>
      <c r="C150" s="21"/>
      <c r="D150" s="21"/>
    </row>
    <row r="151" spans="1:4" ht="13.5" customHeight="1" x14ac:dyDescent="0.25">
      <c r="A151" s="21"/>
      <c r="B151" s="22" t="s">
        <v>181</v>
      </c>
      <c r="C151" s="21"/>
      <c r="D151" s="21"/>
    </row>
    <row r="152" spans="1:4" ht="13.5" customHeight="1" x14ac:dyDescent="0.25">
      <c r="A152" s="21"/>
      <c r="B152" s="22" t="s">
        <v>182</v>
      </c>
      <c r="C152" s="21"/>
      <c r="D152" s="21"/>
    </row>
    <row r="153" spans="1:4" ht="13.5" customHeight="1" x14ac:dyDescent="0.25">
      <c r="A153" s="21"/>
      <c r="B153" s="22" t="s">
        <v>183</v>
      </c>
      <c r="C153" s="21"/>
      <c r="D153" s="21"/>
    </row>
    <row r="154" spans="1:4" ht="13.5" customHeight="1" x14ac:dyDescent="0.25">
      <c r="A154" s="21"/>
      <c r="B154" s="22" t="s">
        <v>184</v>
      </c>
      <c r="C154" s="21"/>
      <c r="D154" s="21"/>
    </row>
    <row r="155" spans="1:4" ht="13.5" customHeight="1" x14ac:dyDescent="0.25">
      <c r="A155" s="21"/>
      <c r="B155" s="22" t="s">
        <v>105</v>
      </c>
      <c r="C155" s="21"/>
      <c r="D155" s="21"/>
    </row>
    <row r="156" spans="1:4" ht="13.5" customHeight="1" x14ac:dyDescent="0.25">
      <c r="A156" s="21"/>
      <c r="B156" s="22" t="s">
        <v>80</v>
      </c>
      <c r="C156" s="21"/>
      <c r="D156" s="21"/>
    </row>
    <row r="157" spans="1:4" ht="13.5" customHeight="1" x14ac:dyDescent="0.25">
      <c r="A157" s="21"/>
      <c r="B157" s="22" t="s">
        <v>185</v>
      </c>
      <c r="C157" s="21"/>
      <c r="D157" s="21"/>
    </row>
    <row r="158" spans="1:4" ht="13.5" customHeight="1" x14ac:dyDescent="0.25">
      <c r="A158" s="21"/>
      <c r="B158" s="22" t="s">
        <v>186</v>
      </c>
      <c r="C158" s="21"/>
      <c r="D158" s="21"/>
    </row>
    <row r="159" spans="1:4" ht="13.5" customHeight="1" x14ac:dyDescent="0.25">
      <c r="A159" s="21"/>
      <c r="B159" s="22" t="s">
        <v>187</v>
      </c>
      <c r="C159" s="21"/>
      <c r="D159" s="21"/>
    </row>
    <row r="160" spans="1:4" ht="13.5" customHeight="1" x14ac:dyDescent="0.25">
      <c r="A160" s="21"/>
      <c r="B160" s="22" t="s">
        <v>188</v>
      </c>
      <c r="C160" s="21"/>
      <c r="D160" s="21"/>
    </row>
    <row r="161" spans="1:4" ht="13.5" customHeight="1" x14ac:dyDescent="0.25">
      <c r="A161" s="21"/>
      <c r="B161" s="22" t="s">
        <v>189</v>
      </c>
      <c r="C161" s="21"/>
      <c r="D161" s="21"/>
    </row>
    <row r="162" spans="1:4" ht="13.5" customHeight="1" x14ac:dyDescent="0.25">
      <c r="A162" s="21"/>
      <c r="B162" s="22" t="s">
        <v>190</v>
      </c>
      <c r="C162" s="21"/>
      <c r="D162" s="21"/>
    </row>
    <row r="163" spans="1:4" ht="13.5" customHeight="1" x14ac:dyDescent="0.25">
      <c r="A163" s="21"/>
      <c r="B163" s="22"/>
      <c r="C163" s="21"/>
      <c r="D163" s="21"/>
    </row>
    <row r="164" spans="1:4" ht="13.5" customHeight="1" x14ac:dyDescent="0.25">
      <c r="A164" s="21"/>
      <c r="B164" s="22" t="s">
        <v>191</v>
      </c>
      <c r="C164" s="21"/>
      <c r="D164" s="21"/>
    </row>
    <row r="165" spans="1:4" ht="13.5" customHeight="1" x14ac:dyDescent="0.25">
      <c r="A165" s="21"/>
      <c r="B165" s="22" t="s">
        <v>192</v>
      </c>
      <c r="C165" s="21"/>
      <c r="D165" s="21"/>
    </row>
    <row r="166" spans="1:4" ht="13.5" customHeight="1" x14ac:dyDescent="0.25">
      <c r="A166" s="21"/>
      <c r="B166" s="22" t="s">
        <v>193</v>
      </c>
      <c r="C166" s="21"/>
      <c r="D166" s="21"/>
    </row>
    <row r="167" spans="1:4" ht="13.5" customHeight="1" x14ac:dyDescent="0.25">
      <c r="A167" s="21"/>
      <c r="B167" s="22" t="s">
        <v>194</v>
      </c>
      <c r="C167" s="21"/>
      <c r="D167" s="21"/>
    </row>
    <row r="168" spans="1:4" ht="13.5" customHeight="1" x14ac:dyDescent="0.25">
      <c r="A168" s="21"/>
      <c r="B168" s="22" t="s">
        <v>195</v>
      </c>
      <c r="C168" s="21"/>
      <c r="D168" s="21"/>
    </row>
    <row r="169" spans="1:4" ht="13.5" customHeight="1" x14ac:dyDescent="0.25">
      <c r="A169" s="21"/>
      <c r="B169" s="22" t="s">
        <v>196</v>
      </c>
      <c r="C169" s="21"/>
      <c r="D169" s="21"/>
    </row>
    <row r="170" spans="1:4" ht="13.5" customHeight="1" x14ac:dyDescent="0.25">
      <c r="A170" s="21"/>
      <c r="B170" s="22" t="s">
        <v>197</v>
      </c>
      <c r="C170" s="21"/>
      <c r="D170" s="21"/>
    </row>
    <row r="171" spans="1:4" ht="13.5" customHeight="1" x14ac:dyDescent="0.25">
      <c r="A171" s="21"/>
      <c r="B171" s="22" t="s">
        <v>94</v>
      </c>
      <c r="C171" s="21"/>
      <c r="D171" s="21"/>
    </row>
    <row r="172" spans="1:4" ht="13.5" customHeight="1" x14ac:dyDescent="0.25">
      <c r="A172" s="21"/>
      <c r="B172" s="22" t="s">
        <v>198</v>
      </c>
      <c r="C172" s="21"/>
      <c r="D172" s="21"/>
    </row>
    <row r="173" spans="1:4" ht="9.75" customHeight="1" x14ac:dyDescent="0.25">
      <c r="A173" s="12"/>
      <c r="B173" s="12"/>
      <c r="C173" s="12"/>
      <c r="D173" s="12"/>
    </row>
    <row r="174" spans="1:4" ht="21.75" customHeight="1" x14ac:dyDescent="0.25">
      <c r="A174" s="25"/>
      <c r="B174" s="237" t="s">
        <v>199</v>
      </c>
      <c r="C174" s="237"/>
      <c r="D174" s="25"/>
    </row>
    <row r="175" spans="1:4" ht="6" customHeight="1" x14ac:dyDescent="0.25">
      <c r="A175" s="16"/>
      <c r="B175" s="16"/>
      <c r="C175" s="16"/>
      <c r="D175" s="16"/>
    </row>
    <row r="176" spans="1:4" ht="21.75" customHeight="1" x14ac:dyDescent="0.25">
      <c r="A176" s="17"/>
      <c r="B176" s="230" t="s">
        <v>200</v>
      </c>
      <c r="C176" s="230"/>
      <c r="D176" s="17"/>
    </row>
    <row r="177" spans="1:4" ht="16.5" customHeight="1" x14ac:dyDescent="0.25">
      <c r="A177" s="5"/>
      <c r="B177" s="231" t="s">
        <v>201</v>
      </c>
      <c r="C177" s="231"/>
      <c r="D177" s="5"/>
    </row>
    <row r="178" spans="1:4" ht="15" customHeight="1" x14ac:dyDescent="0.25">
      <c r="A178" s="18"/>
      <c r="B178" s="232" t="s">
        <v>202</v>
      </c>
      <c r="C178" s="232"/>
      <c r="D178" s="18"/>
    </row>
    <row r="179" spans="1:4" ht="13.5" customHeight="1" x14ac:dyDescent="0.25">
      <c r="A179" s="19"/>
      <c r="B179" s="20" t="s">
        <v>203</v>
      </c>
      <c r="C179" s="19"/>
      <c r="D179" s="19"/>
    </row>
    <row r="180" spans="1:4" ht="13.5" customHeight="1" x14ac:dyDescent="0.25">
      <c r="A180" s="21"/>
      <c r="B180" s="22" t="s">
        <v>204</v>
      </c>
      <c r="C180" s="21"/>
      <c r="D180" s="21"/>
    </row>
    <row r="181" spans="1:4" ht="13.5" customHeight="1" x14ac:dyDescent="0.25">
      <c r="A181" s="21"/>
      <c r="B181" s="22" t="s">
        <v>205</v>
      </c>
      <c r="C181" s="21"/>
      <c r="D181" s="21"/>
    </row>
    <row r="182" spans="1:4" ht="13.5" customHeight="1" x14ac:dyDescent="0.25">
      <c r="A182" s="21"/>
      <c r="B182" s="22" t="s">
        <v>144</v>
      </c>
      <c r="C182" s="21"/>
      <c r="D182" s="21"/>
    </row>
    <row r="183" spans="1:4" ht="13.5" customHeight="1" x14ac:dyDescent="0.25">
      <c r="A183" s="21"/>
      <c r="B183" s="22" t="s">
        <v>206</v>
      </c>
      <c r="C183" s="21"/>
      <c r="D183" s="21"/>
    </row>
    <row r="184" spans="1:4" ht="13.5" customHeight="1" x14ac:dyDescent="0.25">
      <c r="A184" s="21"/>
      <c r="B184" s="22" t="s">
        <v>207</v>
      </c>
      <c r="C184" s="21"/>
      <c r="D184" s="21"/>
    </row>
    <row r="185" spans="1:4" ht="13.5" customHeight="1" x14ac:dyDescent="0.25">
      <c r="A185" s="21"/>
      <c r="B185" s="22" t="s">
        <v>208</v>
      </c>
      <c r="C185" s="21"/>
      <c r="D185" s="21"/>
    </row>
    <row r="186" spans="1:4" ht="13.5" customHeight="1" x14ac:dyDescent="0.25">
      <c r="A186" s="21"/>
      <c r="B186" s="22" t="s">
        <v>209</v>
      </c>
      <c r="C186" s="21"/>
      <c r="D186" s="21"/>
    </row>
    <row r="187" spans="1:4" ht="13.5" customHeight="1" x14ac:dyDescent="0.25">
      <c r="A187" s="21"/>
      <c r="B187" s="22" t="s">
        <v>105</v>
      </c>
      <c r="C187" s="21"/>
      <c r="D187" s="21"/>
    </row>
    <row r="188" spans="1:4" ht="13.5" customHeight="1" x14ac:dyDescent="0.25">
      <c r="A188" s="21"/>
      <c r="B188" s="22" t="s">
        <v>80</v>
      </c>
      <c r="C188" s="21"/>
      <c r="D188" s="21"/>
    </row>
    <row r="189" spans="1:4" ht="13.5" customHeight="1" x14ac:dyDescent="0.25">
      <c r="A189" s="21"/>
      <c r="B189" s="22" t="s">
        <v>106</v>
      </c>
      <c r="C189" s="21"/>
      <c r="D189" s="21"/>
    </row>
    <row r="190" spans="1:4" ht="13.5" customHeight="1" x14ac:dyDescent="0.25">
      <c r="A190" s="21"/>
      <c r="B190" s="22" t="s">
        <v>210</v>
      </c>
      <c r="C190" s="21"/>
      <c r="D190" s="21"/>
    </row>
    <row r="191" spans="1:4" ht="13.5" customHeight="1" x14ac:dyDescent="0.25">
      <c r="A191" s="21"/>
      <c r="B191" s="22"/>
      <c r="C191" s="21"/>
      <c r="D191" s="21"/>
    </row>
    <row r="192" spans="1:4" ht="13.5" customHeight="1" x14ac:dyDescent="0.25">
      <c r="A192" s="21"/>
      <c r="B192" s="22" t="s">
        <v>211</v>
      </c>
      <c r="C192" s="21"/>
      <c r="D192" s="21"/>
    </row>
    <row r="193" spans="1:4" ht="13.5" customHeight="1" x14ac:dyDescent="0.25">
      <c r="A193" s="21"/>
      <c r="B193" s="22" t="s">
        <v>212</v>
      </c>
      <c r="C193" s="21"/>
      <c r="D193" s="21"/>
    </row>
    <row r="194" spans="1:4" ht="13.5" customHeight="1" x14ac:dyDescent="0.25">
      <c r="A194" s="21"/>
      <c r="B194" s="22" t="s">
        <v>213</v>
      </c>
      <c r="C194" s="21"/>
      <c r="D194" s="21"/>
    </row>
    <row r="195" spans="1:4" ht="13.5" customHeight="1" x14ac:dyDescent="0.25">
      <c r="A195" s="21"/>
      <c r="B195" s="22" t="s">
        <v>124</v>
      </c>
      <c r="C195" s="21"/>
      <c r="D195" s="21"/>
    </row>
    <row r="196" spans="1:4" ht="13.5" customHeight="1" x14ac:dyDescent="0.25">
      <c r="A196" s="21"/>
      <c r="B196" s="22"/>
      <c r="C196" s="21"/>
      <c r="D196" s="21"/>
    </row>
    <row r="197" spans="1:4" ht="13.5" customHeight="1" x14ac:dyDescent="0.25">
      <c r="A197" s="21"/>
      <c r="B197" s="22" t="s">
        <v>127</v>
      </c>
      <c r="C197" s="21"/>
      <c r="D197" s="21"/>
    </row>
    <row r="198" spans="1:4" ht="13.5" customHeight="1" x14ac:dyDescent="0.25">
      <c r="A198" s="21"/>
      <c r="B198" s="22" t="s">
        <v>214</v>
      </c>
      <c r="C198" s="21"/>
      <c r="D198" s="21"/>
    </row>
    <row r="199" spans="1:4" ht="13.5" customHeight="1" x14ac:dyDescent="0.25">
      <c r="A199" s="21"/>
      <c r="B199" s="22" t="s">
        <v>215</v>
      </c>
      <c r="C199" s="21"/>
      <c r="D199" s="21"/>
    </row>
    <row r="200" spans="1:4" ht="13.5" customHeight="1" x14ac:dyDescent="0.25">
      <c r="A200" s="21"/>
      <c r="B200" s="22" t="s">
        <v>216</v>
      </c>
      <c r="C200" s="21"/>
      <c r="D200" s="21"/>
    </row>
    <row r="201" spans="1:4" ht="13.5" customHeight="1" x14ac:dyDescent="0.25">
      <c r="A201" s="21"/>
      <c r="B201" s="22" t="s">
        <v>217</v>
      </c>
      <c r="C201" s="21"/>
      <c r="D201" s="21"/>
    </row>
    <row r="202" spans="1:4" ht="13.5" customHeight="1" x14ac:dyDescent="0.25">
      <c r="A202" s="21"/>
      <c r="B202" s="22" t="s">
        <v>134</v>
      </c>
      <c r="C202" s="21"/>
      <c r="D202" s="21"/>
    </row>
    <row r="203" spans="1:4" ht="13.5" customHeight="1" x14ac:dyDescent="0.25">
      <c r="A203" s="21"/>
      <c r="B203" s="22" t="s">
        <v>94</v>
      </c>
      <c r="C203" s="21"/>
      <c r="D203" s="21"/>
    </row>
    <row r="204" spans="1:4" ht="13.5" customHeight="1" x14ac:dyDescent="0.25">
      <c r="A204" s="21"/>
      <c r="B204" s="22" t="s">
        <v>135</v>
      </c>
      <c r="C204" s="21"/>
      <c r="D204" s="21"/>
    </row>
    <row r="205" spans="1:4" ht="9.75" customHeight="1" x14ac:dyDescent="0.25">
      <c r="A205" s="12"/>
      <c r="B205" s="12"/>
      <c r="C205" s="12"/>
      <c r="D205" s="12"/>
    </row>
    <row r="206" spans="1:4" ht="21.75" customHeight="1" x14ac:dyDescent="0.25">
      <c r="A206" s="17"/>
      <c r="B206" s="230" t="s">
        <v>218</v>
      </c>
      <c r="C206" s="230"/>
      <c r="D206" s="17"/>
    </row>
    <row r="207" spans="1:4" ht="16.5" customHeight="1" x14ac:dyDescent="0.25">
      <c r="A207" s="5"/>
      <c r="B207" s="231" t="s">
        <v>219</v>
      </c>
      <c r="C207" s="231"/>
      <c r="D207" s="5"/>
    </row>
    <row r="208" spans="1:4" ht="15" customHeight="1" x14ac:dyDescent="0.25">
      <c r="A208" s="18"/>
      <c r="B208" s="232" t="s">
        <v>220</v>
      </c>
      <c r="C208" s="232"/>
      <c r="D208" s="18"/>
    </row>
    <row r="209" spans="1:4" ht="13.5" customHeight="1" x14ac:dyDescent="0.25">
      <c r="A209" s="19"/>
      <c r="B209" s="20" t="s">
        <v>221</v>
      </c>
      <c r="C209" s="19"/>
      <c r="D209" s="19"/>
    </row>
    <row r="210" spans="1:4" ht="13.5" customHeight="1" x14ac:dyDescent="0.25">
      <c r="A210" s="21"/>
      <c r="B210" s="22" t="s">
        <v>222</v>
      </c>
      <c r="C210" s="21"/>
      <c r="D210" s="21"/>
    </row>
    <row r="211" spans="1:4" ht="13.5" customHeight="1" x14ac:dyDescent="0.25">
      <c r="A211" s="21"/>
      <c r="B211" s="22" t="s">
        <v>223</v>
      </c>
      <c r="C211" s="21"/>
      <c r="D211" s="21"/>
    </row>
    <row r="212" spans="1:4" ht="13.5" customHeight="1" x14ac:dyDescent="0.25">
      <c r="A212" s="21"/>
      <c r="B212" s="22" t="s">
        <v>224</v>
      </c>
      <c r="C212" s="21"/>
      <c r="D212" s="21"/>
    </row>
    <row r="213" spans="1:4" ht="13.5" customHeight="1" x14ac:dyDescent="0.25">
      <c r="A213" s="21"/>
      <c r="B213" s="22" t="s">
        <v>225</v>
      </c>
      <c r="C213" s="21"/>
      <c r="D213" s="21"/>
    </row>
    <row r="214" spans="1:4" ht="13.5" customHeight="1" x14ac:dyDescent="0.25">
      <c r="A214" s="21"/>
      <c r="B214" s="22" t="s">
        <v>105</v>
      </c>
      <c r="C214" s="21"/>
      <c r="D214" s="21"/>
    </row>
    <row r="215" spans="1:4" ht="13.5" customHeight="1" x14ac:dyDescent="0.25">
      <c r="A215" s="21"/>
      <c r="B215" s="22" t="s">
        <v>80</v>
      </c>
      <c r="C215" s="21"/>
      <c r="D215" s="21"/>
    </row>
    <row r="216" spans="1:4" ht="13.5" customHeight="1" x14ac:dyDescent="0.25">
      <c r="A216" s="21"/>
      <c r="B216" s="22" t="s">
        <v>106</v>
      </c>
      <c r="C216" s="21"/>
      <c r="D216" s="21"/>
    </row>
    <row r="217" spans="1:4" ht="13.5" customHeight="1" x14ac:dyDescent="0.25">
      <c r="A217" s="21"/>
      <c r="B217" s="22" t="s">
        <v>226</v>
      </c>
      <c r="C217" s="21"/>
      <c r="D217" s="21"/>
    </row>
    <row r="218" spans="1:4" ht="13.5" customHeight="1" x14ac:dyDescent="0.25">
      <c r="A218" s="21"/>
      <c r="B218" s="22" t="s">
        <v>227</v>
      </c>
      <c r="C218" s="21"/>
      <c r="D218" s="21"/>
    </row>
    <row r="219" spans="1:4" ht="13.5" customHeight="1" x14ac:dyDescent="0.25">
      <c r="A219" s="21"/>
      <c r="B219" s="22"/>
      <c r="C219" s="21"/>
      <c r="D219" s="21"/>
    </row>
    <row r="220" spans="1:4" ht="13.5" customHeight="1" x14ac:dyDescent="0.25">
      <c r="A220" s="21"/>
      <c r="B220" s="22" t="s">
        <v>127</v>
      </c>
      <c r="C220" s="21"/>
      <c r="D220" s="21"/>
    </row>
    <row r="221" spans="1:4" ht="13.5" customHeight="1" x14ac:dyDescent="0.25">
      <c r="A221" s="21"/>
      <c r="B221" s="22" t="s">
        <v>228</v>
      </c>
      <c r="C221" s="21"/>
      <c r="D221" s="21"/>
    </row>
    <row r="222" spans="1:4" ht="13.5" customHeight="1" x14ac:dyDescent="0.25">
      <c r="A222" s="21"/>
      <c r="B222" s="22" t="s">
        <v>229</v>
      </c>
      <c r="C222" s="21"/>
      <c r="D222" s="21"/>
    </row>
    <row r="223" spans="1:4" ht="13.5" customHeight="1" x14ac:dyDescent="0.25">
      <c r="A223" s="21"/>
      <c r="B223" s="22" t="s">
        <v>230</v>
      </c>
      <c r="C223" s="21"/>
      <c r="D223" s="21"/>
    </row>
    <row r="224" spans="1:4" ht="13.5" customHeight="1" x14ac:dyDescent="0.25">
      <c r="A224" s="21"/>
      <c r="B224" s="22" t="s">
        <v>231</v>
      </c>
      <c r="C224" s="21"/>
      <c r="D224" s="21"/>
    </row>
    <row r="225" spans="1:4" ht="13.5" customHeight="1" x14ac:dyDescent="0.25">
      <c r="A225" s="21"/>
      <c r="B225" s="22" t="s">
        <v>232</v>
      </c>
      <c r="C225" s="21"/>
      <c r="D225" s="21"/>
    </row>
    <row r="226" spans="1:4" ht="13.5" customHeight="1" x14ac:dyDescent="0.25">
      <c r="A226" s="21"/>
      <c r="B226" s="22" t="s">
        <v>233</v>
      </c>
      <c r="C226" s="21"/>
      <c r="D226" s="21"/>
    </row>
    <row r="227" spans="1:4" ht="13.5" customHeight="1" x14ac:dyDescent="0.25">
      <c r="A227" s="21"/>
      <c r="B227" s="22" t="s">
        <v>234</v>
      </c>
      <c r="C227" s="21"/>
      <c r="D227" s="21"/>
    </row>
    <row r="228" spans="1:4" ht="13.5" customHeight="1" x14ac:dyDescent="0.25">
      <c r="A228" s="21"/>
      <c r="B228" s="22" t="s">
        <v>134</v>
      </c>
      <c r="C228" s="21"/>
      <c r="D228" s="21"/>
    </row>
    <row r="229" spans="1:4" ht="13.5" customHeight="1" x14ac:dyDescent="0.25">
      <c r="A229" s="21"/>
      <c r="B229" s="22" t="s">
        <v>94</v>
      </c>
      <c r="C229" s="21"/>
      <c r="D229" s="21"/>
    </row>
    <row r="230" spans="1:4" ht="13.5" customHeight="1" x14ac:dyDescent="0.25">
      <c r="A230" s="21"/>
      <c r="B230" s="22" t="s">
        <v>135</v>
      </c>
      <c r="C230" s="21"/>
      <c r="D230" s="21"/>
    </row>
    <row r="231" spans="1:4" ht="9.75" customHeight="1" x14ac:dyDescent="0.25">
      <c r="A231" s="12"/>
      <c r="B231" s="12"/>
      <c r="C231" s="12"/>
      <c r="D231" s="12"/>
    </row>
    <row r="232" spans="1:4" ht="21.75" customHeight="1" x14ac:dyDescent="0.25">
      <c r="A232" s="17"/>
      <c r="B232" s="230" t="s">
        <v>235</v>
      </c>
      <c r="C232" s="230"/>
      <c r="D232" s="17"/>
    </row>
    <row r="233" spans="1:4" ht="16.5" customHeight="1" x14ac:dyDescent="0.25">
      <c r="A233" s="5"/>
      <c r="B233" s="231" t="s">
        <v>236</v>
      </c>
      <c r="C233" s="231"/>
      <c r="D233" s="5"/>
    </row>
    <row r="234" spans="1:4" ht="15" customHeight="1" x14ac:dyDescent="0.25">
      <c r="A234" s="18"/>
      <c r="B234" s="232" t="s">
        <v>237</v>
      </c>
      <c r="C234" s="232"/>
      <c r="D234" s="18"/>
    </row>
    <row r="235" spans="1:4" ht="13.5" customHeight="1" x14ac:dyDescent="0.25">
      <c r="A235" s="19"/>
      <c r="B235" s="20" t="s">
        <v>238</v>
      </c>
      <c r="C235" s="19"/>
      <c r="D235" s="19"/>
    </row>
    <row r="236" spans="1:4" ht="13.5" customHeight="1" x14ac:dyDescent="0.25">
      <c r="A236" s="21"/>
      <c r="B236" s="22" t="s">
        <v>239</v>
      </c>
      <c r="C236" s="21"/>
      <c r="D236" s="21"/>
    </row>
    <row r="237" spans="1:4" ht="13.5" customHeight="1" x14ac:dyDescent="0.25">
      <c r="A237" s="21"/>
      <c r="B237" s="22" t="s">
        <v>240</v>
      </c>
      <c r="C237" s="21"/>
      <c r="D237" s="21"/>
    </row>
    <row r="238" spans="1:4" ht="13.5" customHeight="1" x14ac:dyDescent="0.25">
      <c r="A238" s="21"/>
      <c r="B238" s="22" t="s">
        <v>241</v>
      </c>
      <c r="C238" s="21"/>
      <c r="D238" s="21"/>
    </row>
    <row r="239" spans="1:4" ht="13.5" customHeight="1" x14ac:dyDescent="0.25">
      <c r="A239" s="21"/>
      <c r="B239" s="22" t="s">
        <v>242</v>
      </c>
      <c r="C239" s="21"/>
      <c r="D239" s="21"/>
    </row>
    <row r="240" spans="1:4" ht="13.5" customHeight="1" x14ac:dyDescent="0.25">
      <c r="A240" s="21"/>
      <c r="B240" s="22" t="s">
        <v>243</v>
      </c>
      <c r="C240" s="21"/>
      <c r="D240" s="21"/>
    </row>
    <row r="241" spans="1:4" ht="13.5" customHeight="1" x14ac:dyDescent="0.25">
      <c r="A241" s="21"/>
      <c r="B241" s="22" t="s">
        <v>105</v>
      </c>
      <c r="C241" s="21"/>
      <c r="D241" s="21"/>
    </row>
    <row r="242" spans="1:4" ht="13.5" customHeight="1" x14ac:dyDescent="0.25">
      <c r="A242" s="21"/>
      <c r="B242" s="22" t="s">
        <v>80</v>
      </c>
      <c r="C242" s="21"/>
      <c r="D242" s="21"/>
    </row>
    <row r="243" spans="1:4" ht="13.5" customHeight="1" x14ac:dyDescent="0.25">
      <c r="A243" s="21"/>
      <c r="B243" s="22" t="s">
        <v>106</v>
      </c>
      <c r="C243" s="21"/>
      <c r="D243" s="21"/>
    </row>
    <row r="244" spans="1:4" ht="13.5" customHeight="1" x14ac:dyDescent="0.25">
      <c r="A244" s="21"/>
      <c r="B244" s="22" t="s">
        <v>244</v>
      </c>
      <c r="C244" s="21"/>
      <c r="D244" s="21"/>
    </row>
    <row r="245" spans="1:4" ht="13.5" customHeight="1" x14ac:dyDescent="0.25">
      <c r="A245" s="21"/>
      <c r="B245" s="22" t="s">
        <v>245</v>
      </c>
      <c r="C245" s="21"/>
      <c r="D245" s="21"/>
    </row>
    <row r="246" spans="1:4" ht="13.5" customHeight="1" x14ac:dyDescent="0.25">
      <c r="A246" s="21"/>
      <c r="B246" s="22"/>
      <c r="C246" s="21"/>
      <c r="D246" s="21"/>
    </row>
    <row r="247" spans="1:4" ht="13.5" customHeight="1" x14ac:dyDescent="0.25">
      <c r="A247" s="21"/>
      <c r="B247" s="22" t="s">
        <v>127</v>
      </c>
      <c r="C247" s="21"/>
      <c r="D247" s="21"/>
    </row>
    <row r="248" spans="1:4" ht="13.5" customHeight="1" x14ac:dyDescent="0.25">
      <c r="A248" s="21"/>
      <c r="B248" s="22" t="s">
        <v>246</v>
      </c>
      <c r="C248" s="21"/>
      <c r="D248" s="21"/>
    </row>
    <row r="249" spans="1:4" ht="13.5" customHeight="1" x14ac:dyDescent="0.25">
      <c r="A249" s="21"/>
      <c r="B249" s="22" t="s">
        <v>247</v>
      </c>
      <c r="C249" s="21"/>
      <c r="D249" s="21"/>
    </row>
    <row r="250" spans="1:4" ht="13.5" customHeight="1" x14ac:dyDescent="0.25">
      <c r="A250" s="21"/>
      <c r="B250" s="22" t="s">
        <v>248</v>
      </c>
      <c r="C250" s="21"/>
      <c r="D250" s="21"/>
    </row>
    <row r="251" spans="1:4" ht="13.5" customHeight="1" x14ac:dyDescent="0.25">
      <c r="A251" s="21"/>
      <c r="B251" s="22" t="s">
        <v>249</v>
      </c>
      <c r="C251" s="21"/>
      <c r="D251" s="21"/>
    </row>
    <row r="252" spans="1:4" ht="13.5" customHeight="1" x14ac:dyDescent="0.25">
      <c r="A252" s="21"/>
      <c r="B252" s="22" t="s">
        <v>250</v>
      </c>
      <c r="C252" s="21"/>
      <c r="D252" s="21"/>
    </row>
    <row r="253" spans="1:4" ht="13.5" customHeight="1" x14ac:dyDescent="0.25">
      <c r="A253" s="21"/>
      <c r="B253" s="22" t="s">
        <v>251</v>
      </c>
      <c r="C253" s="21"/>
      <c r="D253" s="21"/>
    </row>
    <row r="254" spans="1:4" ht="13.5" customHeight="1" x14ac:dyDescent="0.25">
      <c r="A254" s="21"/>
      <c r="B254" s="22" t="s">
        <v>252</v>
      </c>
      <c r="C254" s="21"/>
      <c r="D254" s="21"/>
    </row>
    <row r="255" spans="1:4" ht="13.5" customHeight="1" x14ac:dyDescent="0.25">
      <c r="A255" s="21"/>
      <c r="B255" s="22" t="s">
        <v>253</v>
      </c>
      <c r="C255" s="21"/>
      <c r="D255" s="21"/>
    </row>
    <row r="256" spans="1:4" ht="13.5" customHeight="1" x14ac:dyDescent="0.25">
      <c r="A256" s="21"/>
      <c r="B256" s="22" t="s">
        <v>254</v>
      </c>
      <c r="C256" s="21"/>
      <c r="D256" s="21"/>
    </row>
    <row r="257" spans="1:4" ht="13.5" customHeight="1" x14ac:dyDescent="0.25">
      <c r="A257" s="21"/>
      <c r="B257" s="22" t="s">
        <v>255</v>
      </c>
      <c r="C257" s="21"/>
      <c r="D257" s="21"/>
    </row>
    <row r="258" spans="1:4" ht="13.5" customHeight="1" x14ac:dyDescent="0.25">
      <c r="A258" s="21"/>
      <c r="B258" s="22" t="s">
        <v>134</v>
      </c>
      <c r="C258" s="21"/>
      <c r="D258" s="21"/>
    </row>
    <row r="259" spans="1:4" ht="13.5" customHeight="1" x14ac:dyDescent="0.25">
      <c r="A259" s="21"/>
      <c r="B259" s="22" t="s">
        <v>94</v>
      </c>
      <c r="C259" s="21"/>
      <c r="D259" s="21"/>
    </row>
    <row r="260" spans="1:4" ht="13.5" customHeight="1" x14ac:dyDescent="0.25">
      <c r="A260" s="21"/>
      <c r="B260" s="22" t="s">
        <v>135</v>
      </c>
      <c r="C260" s="21"/>
      <c r="D260" s="21"/>
    </row>
    <row r="261" spans="1:4" ht="9.75" customHeight="1" x14ac:dyDescent="0.25">
      <c r="A261" s="12"/>
      <c r="B261" s="12"/>
      <c r="C261" s="12"/>
      <c r="D261" s="12"/>
    </row>
    <row r="262" spans="1:4" ht="21.75" customHeight="1" x14ac:dyDescent="0.25">
      <c r="A262" s="26"/>
      <c r="B262" s="240" t="s">
        <v>256</v>
      </c>
      <c r="C262" s="240"/>
      <c r="D262" s="26"/>
    </row>
    <row r="263" spans="1:4" ht="6" customHeight="1" x14ac:dyDescent="0.25">
      <c r="A263" s="16"/>
      <c r="B263" s="16"/>
      <c r="C263" s="16"/>
      <c r="D263" s="16"/>
    </row>
    <row r="264" spans="1:4" ht="21.75" customHeight="1" x14ac:dyDescent="0.25">
      <c r="A264" s="17"/>
      <c r="B264" s="230" t="s">
        <v>257</v>
      </c>
      <c r="C264" s="230"/>
      <c r="D264" s="17"/>
    </row>
    <row r="265" spans="1:4" ht="16.5" customHeight="1" x14ac:dyDescent="0.25">
      <c r="A265" s="5"/>
      <c r="B265" s="231" t="s">
        <v>258</v>
      </c>
      <c r="C265" s="231"/>
      <c r="D265" s="5"/>
    </row>
    <row r="266" spans="1:4" ht="15" customHeight="1" x14ac:dyDescent="0.25">
      <c r="A266" s="18"/>
      <c r="B266" s="232" t="s">
        <v>259</v>
      </c>
      <c r="C266" s="232"/>
      <c r="D266" s="18"/>
    </row>
    <row r="267" spans="1:4" ht="13.5" customHeight="1" x14ac:dyDescent="0.25">
      <c r="A267" s="19"/>
      <c r="B267" s="20" t="s">
        <v>260</v>
      </c>
      <c r="C267" s="19"/>
      <c r="D267" s="19"/>
    </row>
    <row r="268" spans="1:4" ht="13.5" customHeight="1" x14ac:dyDescent="0.25">
      <c r="A268" s="21"/>
      <c r="B268" s="22" t="s">
        <v>261</v>
      </c>
      <c r="C268" s="21"/>
      <c r="D268" s="21"/>
    </row>
    <row r="269" spans="1:4" ht="13.5" customHeight="1" x14ac:dyDescent="0.25">
      <c r="A269" s="21"/>
      <c r="B269" s="22" t="s">
        <v>262</v>
      </c>
      <c r="C269" s="21"/>
      <c r="D269" s="21"/>
    </row>
    <row r="270" spans="1:4" ht="13.5" customHeight="1" x14ac:dyDescent="0.25">
      <c r="A270" s="21"/>
      <c r="B270" s="22" t="s">
        <v>263</v>
      </c>
      <c r="C270" s="21"/>
      <c r="D270" s="21"/>
    </row>
    <row r="271" spans="1:4" ht="13.5" customHeight="1" x14ac:dyDescent="0.25">
      <c r="A271" s="21"/>
      <c r="B271" s="22" t="s">
        <v>264</v>
      </c>
      <c r="C271" s="21"/>
      <c r="D271" s="21"/>
    </row>
    <row r="272" spans="1:4" ht="13.5" customHeight="1" x14ac:dyDescent="0.25">
      <c r="A272" s="21"/>
      <c r="B272" s="22" t="s">
        <v>144</v>
      </c>
      <c r="C272" s="21"/>
      <c r="D272" s="21"/>
    </row>
    <row r="273" spans="1:4" ht="13.5" customHeight="1" x14ac:dyDescent="0.25">
      <c r="A273" s="21"/>
      <c r="B273" s="22" t="s">
        <v>265</v>
      </c>
      <c r="C273" s="21"/>
      <c r="D273" s="21"/>
    </row>
    <row r="274" spans="1:4" ht="13.5" customHeight="1" x14ac:dyDescent="0.25">
      <c r="A274" s="21"/>
      <c r="B274" s="22" t="s">
        <v>266</v>
      </c>
      <c r="C274" s="21"/>
      <c r="D274" s="21"/>
    </row>
    <row r="275" spans="1:4" ht="13.5" customHeight="1" x14ac:dyDescent="0.25">
      <c r="A275" s="21"/>
      <c r="B275" s="22" t="s">
        <v>144</v>
      </c>
      <c r="C275" s="21"/>
      <c r="D275" s="21"/>
    </row>
    <row r="276" spans="1:4" ht="13.5" customHeight="1" x14ac:dyDescent="0.25">
      <c r="A276" s="21"/>
      <c r="B276" s="22" t="s">
        <v>267</v>
      </c>
      <c r="C276" s="21"/>
      <c r="D276" s="21"/>
    </row>
    <row r="277" spans="1:4" ht="13.5" customHeight="1" x14ac:dyDescent="0.25">
      <c r="A277" s="21"/>
      <c r="B277" s="22" t="s">
        <v>268</v>
      </c>
      <c r="C277" s="21"/>
      <c r="D277" s="21"/>
    </row>
    <row r="278" spans="1:4" ht="13.5" customHeight="1" x14ac:dyDescent="0.25">
      <c r="A278" s="21"/>
      <c r="B278" s="22" t="s">
        <v>105</v>
      </c>
      <c r="C278" s="21"/>
      <c r="D278" s="21"/>
    </row>
    <row r="279" spans="1:4" ht="13.5" customHeight="1" x14ac:dyDescent="0.25">
      <c r="A279" s="21"/>
      <c r="B279" s="22" t="s">
        <v>80</v>
      </c>
      <c r="C279" s="21"/>
      <c r="D279" s="21"/>
    </row>
    <row r="280" spans="1:4" ht="13.5" customHeight="1" x14ac:dyDescent="0.25">
      <c r="A280" s="21"/>
      <c r="B280" s="22" t="s">
        <v>106</v>
      </c>
      <c r="C280" s="21"/>
      <c r="D280" s="21"/>
    </row>
    <row r="281" spans="1:4" ht="13.5" customHeight="1" x14ac:dyDescent="0.25">
      <c r="A281" s="21"/>
      <c r="B281" s="22" t="s">
        <v>269</v>
      </c>
      <c r="C281" s="21"/>
      <c r="D281" s="21"/>
    </row>
    <row r="282" spans="1:4" ht="13.5" customHeight="1" x14ac:dyDescent="0.25">
      <c r="A282" s="21"/>
      <c r="B282" s="22"/>
      <c r="C282" s="21"/>
      <c r="D282" s="21"/>
    </row>
    <row r="283" spans="1:4" ht="13.5" customHeight="1" x14ac:dyDescent="0.25">
      <c r="A283" s="21"/>
      <c r="B283" s="22" t="s">
        <v>270</v>
      </c>
      <c r="C283" s="21"/>
      <c r="D283" s="21"/>
    </row>
    <row r="284" spans="1:4" ht="13.5" customHeight="1" x14ac:dyDescent="0.25">
      <c r="A284" s="21"/>
      <c r="B284" s="22" t="s">
        <v>212</v>
      </c>
      <c r="C284" s="21"/>
      <c r="D284" s="21"/>
    </row>
    <row r="285" spans="1:4" ht="13.5" customHeight="1" x14ac:dyDescent="0.25">
      <c r="A285" s="21"/>
      <c r="B285" s="22" t="s">
        <v>271</v>
      </c>
      <c r="C285" s="21"/>
      <c r="D285" s="21"/>
    </row>
    <row r="286" spans="1:4" ht="13.5" customHeight="1" x14ac:dyDescent="0.25">
      <c r="A286" s="21"/>
      <c r="B286" s="22" t="s">
        <v>124</v>
      </c>
      <c r="C286" s="21"/>
      <c r="D286" s="21"/>
    </row>
    <row r="287" spans="1:4" ht="13.5" customHeight="1" x14ac:dyDescent="0.25">
      <c r="A287" s="21"/>
      <c r="B287" s="22"/>
      <c r="C287" s="21"/>
      <c r="D287" s="21"/>
    </row>
    <row r="288" spans="1:4" ht="13.5" customHeight="1" x14ac:dyDescent="0.25">
      <c r="A288" s="21"/>
      <c r="B288" s="22" t="s">
        <v>127</v>
      </c>
      <c r="C288" s="21"/>
      <c r="D288" s="21"/>
    </row>
    <row r="289" spans="1:4" ht="13.5" customHeight="1" x14ac:dyDescent="0.25">
      <c r="A289" s="21"/>
      <c r="B289" s="22" t="s">
        <v>272</v>
      </c>
      <c r="C289" s="21"/>
      <c r="D289" s="21"/>
    </row>
    <row r="290" spans="1:4" ht="13.5" customHeight="1" x14ac:dyDescent="0.25">
      <c r="A290" s="21"/>
      <c r="B290" s="22" t="s">
        <v>273</v>
      </c>
      <c r="C290" s="21"/>
      <c r="D290" s="21"/>
    </row>
    <row r="291" spans="1:4" ht="13.5" customHeight="1" x14ac:dyDescent="0.25">
      <c r="A291" s="21"/>
      <c r="B291" s="22" t="s">
        <v>274</v>
      </c>
      <c r="C291" s="21"/>
      <c r="D291" s="21"/>
    </row>
    <row r="292" spans="1:4" ht="13.5" customHeight="1" x14ac:dyDescent="0.25">
      <c r="A292" s="21"/>
      <c r="B292" s="22" t="s">
        <v>275</v>
      </c>
      <c r="C292" s="21"/>
      <c r="D292" s="21"/>
    </row>
    <row r="293" spans="1:4" ht="13.5" customHeight="1" x14ac:dyDescent="0.25">
      <c r="A293" s="21"/>
      <c r="B293" s="22" t="s">
        <v>276</v>
      </c>
      <c r="C293" s="21"/>
      <c r="D293" s="21"/>
    </row>
    <row r="294" spans="1:4" ht="13.5" customHeight="1" x14ac:dyDescent="0.25">
      <c r="A294" s="21"/>
      <c r="B294" s="22" t="s">
        <v>277</v>
      </c>
      <c r="C294" s="21"/>
      <c r="D294" s="21"/>
    </row>
    <row r="295" spans="1:4" ht="13.5" customHeight="1" x14ac:dyDescent="0.25">
      <c r="A295" s="21"/>
      <c r="B295" s="22" t="s">
        <v>278</v>
      </c>
      <c r="C295" s="21"/>
      <c r="D295" s="21"/>
    </row>
    <row r="296" spans="1:4" ht="13.5" customHeight="1" x14ac:dyDescent="0.25">
      <c r="A296" s="21"/>
      <c r="B296" s="22" t="s">
        <v>279</v>
      </c>
      <c r="C296" s="21"/>
      <c r="D296" s="21"/>
    </row>
    <row r="297" spans="1:4" ht="13.5" customHeight="1" x14ac:dyDescent="0.25">
      <c r="A297" s="21"/>
      <c r="B297" s="22" t="s">
        <v>134</v>
      </c>
      <c r="C297" s="21"/>
      <c r="D297" s="21"/>
    </row>
    <row r="298" spans="1:4" ht="13.5" customHeight="1" x14ac:dyDescent="0.25">
      <c r="A298" s="21"/>
      <c r="B298" s="22" t="s">
        <v>94</v>
      </c>
      <c r="C298" s="21"/>
      <c r="D298" s="21"/>
    </row>
    <row r="299" spans="1:4" ht="13.5" customHeight="1" x14ac:dyDescent="0.25">
      <c r="A299" s="21"/>
      <c r="B299" s="22" t="s">
        <v>135</v>
      </c>
      <c r="C299" s="21"/>
      <c r="D299" s="21"/>
    </row>
    <row r="300" spans="1:4" ht="9.75" customHeight="1" x14ac:dyDescent="0.25">
      <c r="A300" s="12"/>
      <c r="B300" s="12"/>
      <c r="C300" s="12"/>
      <c r="D300" s="12"/>
    </row>
    <row r="301" spans="1:4" ht="21.75" customHeight="1" x14ac:dyDescent="0.25">
      <c r="A301" s="17"/>
      <c r="B301" s="230" t="s">
        <v>280</v>
      </c>
      <c r="C301" s="230"/>
      <c r="D301" s="17"/>
    </row>
    <row r="302" spans="1:4" ht="16.5" customHeight="1" x14ac:dyDescent="0.25">
      <c r="A302" s="5"/>
      <c r="B302" s="231" t="s">
        <v>281</v>
      </c>
      <c r="C302" s="231"/>
      <c r="D302" s="5"/>
    </row>
    <row r="303" spans="1:4" ht="15" customHeight="1" x14ac:dyDescent="0.25">
      <c r="A303" s="18"/>
      <c r="B303" s="232" t="s">
        <v>282</v>
      </c>
      <c r="C303" s="232"/>
      <c r="D303" s="18"/>
    </row>
    <row r="304" spans="1:4" ht="13.5" customHeight="1" x14ac:dyDescent="0.25">
      <c r="A304" s="19"/>
      <c r="B304" s="20" t="s">
        <v>283</v>
      </c>
      <c r="C304" s="19"/>
      <c r="D304" s="19"/>
    </row>
    <row r="305" spans="1:4" ht="13.5" customHeight="1" x14ac:dyDescent="0.25">
      <c r="A305" s="21"/>
      <c r="B305" s="22" t="s">
        <v>284</v>
      </c>
      <c r="C305" s="21"/>
      <c r="D305" s="21"/>
    </row>
    <row r="306" spans="1:4" ht="13.5" customHeight="1" x14ac:dyDescent="0.25">
      <c r="A306" s="21"/>
      <c r="B306" s="22" t="s">
        <v>285</v>
      </c>
      <c r="C306" s="21"/>
      <c r="D306" s="21"/>
    </row>
    <row r="307" spans="1:4" ht="13.5" customHeight="1" x14ac:dyDescent="0.25">
      <c r="A307" s="21"/>
      <c r="B307" s="22" t="s">
        <v>286</v>
      </c>
      <c r="C307" s="21"/>
      <c r="D307" s="21"/>
    </row>
    <row r="308" spans="1:4" ht="13.5" customHeight="1" x14ac:dyDescent="0.25">
      <c r="A308" s="21"/>
      <c r="B308" s="22" t="s">
        <v>144</v>
      </c>
      <c r="C308" s="21"/>
      <c r="D308" s="21"/>
    </row>
    <row r="309" spans="1:4" ht="13.5" customHeight="1" x14ac:dyDescent="0.25">
      <c r="A309" s="21"/>
      <c r="B309" s="22" t="s">
        <v>287</v>
      </c>
      <c r="C309" s="21"/>
      <c r="D309" s="21"/>
    </row>
    <row r="310" spans="1:4" ht="13.5" customHeight="1" x14ac:dyDescent="0.25">
      <c r="A310" s="21"/>
      <c r="B310" s="22" t="s">
        <v>288</v>
      </c>
      <c r="C310" s="21"/>
      <c r="D310" s="21"/>
    </row>
    <row r="311" spans="1:4" ht="13.5" customHeight="1" x14ac:dyDescent="0.25">
      <c r="A311" s="21"/>
      <c r="B311" s="22" t="s">
        <v>105</v>
      </c>
      <c r="C311" s="21"/>
      <c r="D311" s="21"/>
    </row>
    <row r="312" spans="1:4" ht="13.5" customHeight="1" x14ac:dyDescent="0.25">
      <c r="A312" s="21"/>
      <c r="B312" s="22" t="s">
        <v>80</v>
      </c>
      <c r="C312" s="21"/>
      <c r="D312" s="21"/>
    </row>
    <row r="313" spans="1:4" ht="13.5" customHeight="1" x14ac:dyDescent="0.25">
      <c r="A313" s="21"/>
      <c r="B313" s="22" t="s">
        <v>106</v>
      </c>
      <c r="C313" s="21"/>
      <c r="D313" s="21"/>
    </row>
    <row r="314" spans="1:4" ht="13.5" customHeight="1" x14ac:dyDescent="0.25">
      <c r="A314" s="21"/>
      <c r="B314" s="22" t="s">
        <v>289</v>
      </c>
      <c r="C314" s="21"/>
      <c r="D314" s="21"/>
    </row>
    <row r="315" spans="1:4" ht="13.5" customHeight="1" x14ac:dyDescent="0.25">
      <c r="A315" s="21"/>
      <c r="B315" s="22" t="s">
        <v>290</v>
      </c>
      <c r="C315" s="21"/>
      <c r="D315" s="21"/>
    </row>
    <row r="316" spans="1:4" ht="13.5" customHeight="1" x14ac:dyDescent="0.25">
      <c r="A316" s="21"/>
      <c r="B316" s="22"/>
      <c r="C316" s="21"/>
      <c r="D316" s="21"/>
    </row>
    <row r="317" spans="1:4" ht="13.5" customHeight="1" x14ac:dyDescent="0.25">
      <c r="A317" s="21"/>
      <c r="B317" s="22" t="s">
        <v>127</v>
      </c>
      <c r="C317" s="21"/>
      <c r="D317" s="21"/>
    </row>
    <row r="318" spans="1:4" ht="13.5" customHeight="1" x14ac:dyDescent="0.25">
      <c r="A318" s="21"/>
      <c r="B318" s="22" t="s">
        <v>291</v>
      </c>
      <c r="C318" s="21"/>
      <c r="D318" s="21"/>
    </row>
    <row r="319" spans="1:4" ht="13.5" customHeight="1" x14ac:dyDescent="0.25">
      <c r="A319" s="21"/>
      <c r="B319" s="22" t="s">
        <v>292</v>
      </c>
      <c r="C319" s="21"/>
      <c r="D319" s="21"/>
    </row>
    <row r="320" spans="1:4" ht="13.5" customHeight="1" x14ac:dyDescent="0.25">
      <c r="A320" s="21"/>
      <c r="B320" s="22" t="s">
        <v>293</v>
      </c>
      <c r="C320" s="21"/>
      <c r="D320" s="21"/>
    </row>
    <row r="321" spans="1:4" ht="13.5" customHeight="1" x14ac:dyDescent="0.25">
      <c r="A321" s="21"/>
      <c r="B321" s="22" t="s">
        <v>294</v>
      </c>
      <c r="C321" s="21"/>
      <c r="D321" s="21"/>
    </row>
    <row r="322" spans="1:4" ht="13.5" customHeight="1" x14ac:dyDescent="0.25">
      <c r="A322" s="21"/>
      <c r="B322" s="22" t="s">
        <v>295</v>
      </c>
      <c r="C322" s="21"/>
      <c r="D322" s="21"/>
    </row>
    <row r="323" spans="1:4" ht="13.5" customHeight="1" x14ac:dyDescent="0.25">
      <c r="A323" s="21"/>
      <c r="B323" s="22" t="s">
        <v>249</v>
      </c>
      <c r="C323" s="21"/>
      <c r="D323" s="21"/>
    </row>
    <row r="324" spans="1:4" ht="13.5" customHeight="1" x14ac:dyDescent="0.25">
      <c r="A324" s="21"/>
      <c r="B324" s="22" t="s">
        <v>296</v>
      </c>
      <c r="C324" s="21"/>
      <c r="D324" s="21"/>
    </row>
    <row r="325" spans="1:4" ht="13.5" customHeight="1" x14ac:dyDescent="0.25">
      <c r="A325" s="21"/>
      <c r="B325" s="22" t="s">
        <v>297</v>
      </c>
      <c r="C325" s="21"/>
      <c r="D325" s="21"/>
    </row>
    <row r="326" spans="1:4" ht="13.5" customHeight="1" x14ac:dyDescent="0.25">
      <c r="A326" s="21"/>
      <c r="B326" s="22" t="s">
        <v>298</v>
      </c>
      <c r="C326" s="21"/>
      <c r="D326" s="21"/>
    </row>
    <row r="327" spans="1:4" ht="13.5" customHeight="1" x14ac:dyDescent="0.25">
      <c r="A327" s="21"/>
      <c r="B327" s="22" t="s">
        <v>299</v>
      </c>
      <c r="C327" s="21"/>
      <c r="D327" s="21"/>
    </row>
    <row r="328" spans="1:4" ht="13.5" customHeight="1" x14ac:dyDescent="0.25">
      <c r="A328" s="21"/>
      <c r="B328" s="22" t="s">
        <v>134</v>
      </c>
      <c r="C328" s="21"/>
      <c r="D328" s="21"/>
    </row>
    <row r="329" spans="1:4" ht="13.5" customHeight="1" x14ac:dyDescent="0.25">
      <c r="A329" s="21"/>
      <c r="B329" s="22" t="s">
        <v>94</v>
      </c>
      <c r="C329" s="21"/>
      <c r="D329" s="21"/>
    </row>
    <row r="330" spans="1:4" ht="13.5" customHeight="1" x14ac:dyDescent="0.25">
      <c r="A330" s="21"/>
      <c r="B330" s="22" t="s">
        <v>135</v>
      </c>
      <c r="C330" s="21"/>
      <c r="D330" s="21"/>
    </row>
    <row r="331" spans="1:4" ht="9.75" customHeight="1" x14ac:dyDescent="0.25">
      <c r="A331" s="12"/>
      <c r="B331" s="12"/>
      <c r="C331" s="12"/>
      <c r="D331" s="12"/>
    </row>
    <row r="332" spans="1:4" ht="21.75" customHeight="1" x14ac:dyDescent="0.25">
      <c r="A332" s="17"/>
      <c r="B332" s="230" t="s">
        <v>300</v>
      </c>
      <c r="C332" s="230"/>
      <c r="D332" s="17"/>
    </row>
    <row r="333" spans="1:4" ht="16.5" customHeight="1" x14ac:dyDescent="0.25">
      <c r="A333" s="5"/>
      <c r="B333" s="231" t="s">
        <v>301</v>
      </c>
      <c r="C333" s="231"/>
      <c r="D333" s="5"/>
    </row>
    <row r="334" spans="1:4" ht="15" customHeight="1" x14ac:dyDescent="0.25">
      <c r="A334" s="18"/>
      <c r="B334" s="232" t="s">
        <v>302</v>
      </c>
      <c r="C334" s="232"/>
      <c r="D334" s="18"/>
    </row>
    <row r="335" spans="1:4" ht="13.5" customHeight="1" x14ac:dyDescent="0.25">
      <c r="A335" s="19"/>
      <c r="B335" s="20" t="s">
        <v>303</v>
      </c>
      <c r="C335" s="19"/>
      <c r="D335" s="19"/>
    </row>
    <row r="336" spans="1:4" ht="13.5" customHeight="1" x14ac:dyDescent="0.25">
      <c r="A336" s="21"/>
      <c r="B336" s="22" t="s">
        <v>304</v>
      </c>
      <c r="C336" s="21"/>
      <c r="D336" s="21"/>
    </row>
    <row r="337" spans="1:4" ht="13.5" customHeight="1" x14ac:dyDescent="0.25">
      <c r="A337" s="21"/>
      <c r="B337" s="22" t="s">
        <v>305</v>
      </c>
      <c r="C337" s="21"/>
      <c r="D337" s="21"/>
    </row>
    <row r="338" spans="1:4" ht="13.5" customHeight="1" x14ac:dyDescent="0.25">
      <c r="A338" s="21"/>
      <c r="B338" s="22" t="s">
        <v>306</v>
      </c>
      <c r="C338" s="21"/>
      <c r="D338" s="21"/>
    </row>
    <row r="339" spans="1:4" ht="13.5" customHeight="1" x14ac:dyDescent="0.25">
      <c r="A339" s="21"/>
      <c r="B339" s="22" t="s">
        <v>144</v>
      </c>
      <c r="C339" s="21"/>
      <c r="D339" s="21"/>
    </row>
    <row r="340" spans="1:4" ht="13.5" customHeight="1" x14ac:dyDescent="0.25">
      <c r="A340" s="21"/>
      <c r="B340" s="22" t="s">
        <v>307</v>
      </c>
      <c r="C340" s="21"/>
      <c r="D340" s="21"/>
    </row>
    <row r="341" spans="1:4" ht="13.5" customHeight="1" x14ac:dyDescent="0.25">
      <c r="A341" s="21"/>
      <c r="B341" s="22" t="s">
        <v>308</v>
      </c>
      <c r="C341" s="21"/>
      <c r="D341" s="21"/>
    </row>
    <row r="342" spans="1:4" ht="13.5" customHeight="1" x14ac:dyDescent="0.25">
      <c r="A342" s="21"/>
      <c r="B342" s="22" t="s">
        <v>309</v>
      </c>
      <c r="C342" s="21"/>
      <c r="D342" s="21"/>
    </row>
    <row r="343" spans="1:4" ht="13.5" customHeight="1" x14ac:dyDescent="0.25">
      <c r="A343" s="21"/>
      <c r="B343" s="22" t="s">
        <v>144</v>
      </c>
      <c r="C343" s="21"/>
      <c r="D343" s="21"/>
    </row>
    <row r="344" spans="1:4" ht="13.5" customHeight="1" x14ac:dyDescent="0.25">
      <c r="A344" s="21"/>
      <c r="B344" s="22" t="s">
        <v>310</v>
      </c>
      <c r="C344" s="21"/>
      <c r="D344" s="21"/>
    </row>
    <row r="345" spans="1:4" ht="13.5" customHeight="1" x14ac:dyDescent="0.25">
      <c r="A345" s="21"/>
      <c r="B345" s="22" t="s">
        <v>311</v>
      </c>
      <c r="C345" s="21"/>
      <c r="D345" s="21"/>
    </row>
    <row r="346" spans="1:4" ht="13.5" customHeight="1" x14ac:dyDescent="0.25">
      <c r="A346" s="21"/>
      <c r="B346" s="22" t="s">
        <v>312</v>
      </c>
      <c r="C346" s="21"/>
      <c r="D346" s="21"/>
    </row>
    <row r="347" spans="1:4" ht="13.5" customHeight="1" x14ac:dyDescent="0.25">
      <c r="A347" s="21"/>
      <c r="B347" s="22" t="s">
        <v>105</v>
      </c>
      <c r="C347" s="21"/>
      <c r="D347" s="21"/>
    </row>
    <row r="348" spans="1:4" ht="13.5" customHeight="1" x14ac:dyDescent="0.25">
      <c r="A348" s="21"/>
      <c r="B348" s="22" t="s">
        <v>80</v>
      </c>
      <c r="C348" s="21"/>
      <c r="D348" s="21"/>
    </row>
    <row r="349" spans="1:4" ht="13.5" customHeight="1" x14ac:dyDescent="0.25">
      <c r="A349" s="21"/>
      <c r="B349" s="22" t="s">
        <v>106</v>
      </c>
      <c r="C349" s="21"/>
      <c r="D349" s="21"/>
    </row>
    <row r="350" spans="1:4" ht="13.5" customHeight="1" x14ac:dyDescent="0.25">
      <c r="A350" s="21"/>
      <c r="B350" s="22" t="s">
        <v>313</v>
      </c>
      <c r="C350" s="21"/>
      <c r="D350" s="21"/>
    </row>
    <row r="351" spans="1:4" ht="13.5" customHeight="1" x14ac:dyDescent="0.25">
      <c r="A351" s="21"/>
      <c r="B351" s="22" t="s">
        <v>290</v>
      </c>
      <c r="C351" s="21"/>
      <c r="D351" s="21"/>
    </row>
    <row r="352" spans="1:4" ht="13.5" customHeight="1" x14ac:dyDescent="0.25">
      <c r="A352" s="21"/>
      <c r="B352" s="22"/>
      <c r="C352" s="21"/>
      <c r="D352" s="21"/>
    </row>
    <row r="353" spans="1:4" ht="13.5" customHeight="1" x14ac:dyDescent="0.25">
      <c r="A353" s="21"/>
      <c r="B353" s="22" t="s">
        <v>127</v>
      </c>
      <c r="C353" s="21"/>
      <c r="D353" s="21"/>
    </row>
    <row r="354" spans="1:4" ht="13.5" customHeight="1" x14ac:dyDescent="0.25">
      <c r="A354" s="21"/>
      <c r="B354" s="22" t="s">
        <v>314</v>
      </c>
      <c r="C354" s="21"/>
      <c r="D354" s="21"/>
    </row>
    <row r="355" spans="1:4" ht="13.5" customHeight="1" x14ac:dyDescent="0.25">
      <c r="A355" s="21"/>
      <c r="B355" s="22" t="s">
        <v>315</v>
      </c>
      <c r="C355" s="21"/>
      <c r="D355" s="21"/>
    </row>
    <row r="356" spans="1:4" ht="13.5" customHeight="1" x14ac:dyDescent="0.25">
      <c r="A356" s="21"/>
      <c r="B356" s="22" t="s">
        <v>316</v>
      </c>
      <c r="C356" s="21"/>
      <c r="D356" s="21"/>
    </row>
    <row r="357" spans="1:4" ht="13.5" customHeight="1" x14ac:dyDescent="0.25">
      <c r="A357" s="21"/>
      <c r="B357" s="22" t="s">
        <v>317</v>
      </c>
      <c r="C357" s="21"/>
      <c r="D357" s="21"/>
    </row>
    <row r="358" spans="1:4" ht="13.5" customHeight="1" x14ac:dyDescent="0.25">
      <c r="A358" s="21"/>
      <c r="B358" s="22" t="s">
        <v>318</v>
      </c>
      <c r="C358" s="21"/>
      <c r="D358" s="21"/>
    </row>
    <row r="359" spans="1:4" ht="13.5" customHeight="1" x14ac:dyDescent="0.25">
      <c r="A359" s="21"/>
      <c r="B359" s="22" t="s">
        <v>319</v>
      </c>
      <c r="C359" s="21"/>
      <c r="D359" s="21"/>
    </row>
    <row r="360" spans="1:4" ht="13.5" customHeight="1" x14ac:dyDescent="0.25">
      <c r="A360" s="21"/>
      <c r="B360" s="22" t="s">
        <v>320</v>
      </c>
      <c r="C360" s="21"/>
      <c r="D360" s="21"/>
    </row>
    <row r="361" spans="1:4" ht="13.5" customHeight="1" x14ac:dyDescent="0.25">
      <c r="A361" s="21"/>
      <c r="B361" s="22" t="s">
        <v>321</v>
      </c>
      <c r="C361" s="21"/>
      <c r="D361" s="21"/>
    </row>
    <row r="362" spans="1:4" ht="13.5" customHeight="1" x14ac:dyDescent="0.25">
      <c r="A362" s="21"/>
      <c r="B362" s="22" t="s">
        <v>322</v>
      </c>
      <c r="C362" s="21"/>
      <c r="D362" s="21"/>
    </row>
    <row r="363" spans="1:4" ht="13.5" customHeight="1" x14ac:dyDescent="0.25">
      <c r="A363" s="21"/>
      <c r="B363" s="22" t="s">
        <v>323</v>
      </c>
      <c r="C363" s="21"/>
      <c r="D363" s="21"/>
    </row>
    <row r="364" spans="1:4" ht="13.5" customHeight="1" x14ac:dyDescent="0.25">
      <c r="A364" s="21"/>
      <c r="B364" s="22" t="s">
        <v>324</v>
      </c>
      <c r="C364" s="21"/>
      <c r="D364" s="21"/>
    </row>
    <row r="365" spans="1:4" ht="13.5" customHeight="1" x14ac:dyDescent="0.25">
      <c r="A365" s="21"/>
      <c r="B365" s="22" t="s">
        <v>325</v>
      </c>
      <c r="C365" s="21"/>
      <c r="D365" s="21"/>
    </row>
    <row r="366" spans="1:4" ht="13.5" customHeight="1" x14ac:dyDescent="0.25">
      <c r="A366" s="21"/>
      <c r="B366" s="22" t="s">
        <v>134</v>
      </c>
      <c r="C366" s="21"/>
      <c r="D366" s="21"/>
    </row>
    <row r="367" spans="1:4" ht="13.5" customHeight="1" x14ac:dyDescent="0.25">
      <c r="A367" s="21"/>
      <c r="B367" s="22" t="s">
        <v>94</v>
      </c>
      <c r="C367" s="21"/>
      <c r="D367" s="21"/>
    </row>
    <row r="368" spans="1:4" ht="13.5" customHeight="1" x14ac:dyDescent="0.25">
      <c r="A368" s="21"/>
      <c r="B368" s="22" t="s">
        <v>135</v>
      </c>
      <c r="C368" s="21"/>
      <c r="D368" s="21"/>
    </row>
    <row r="369" spans="1:4" ht="9.75" customHeight="1" x14ac:dyDescent="0.25">
      <c r="A369" s="12"/>
      <c r="B369" s="12"/>
      <c r="C369" s="12"/>
      <c r="D369" s="12"/>
    </row>
    <row r="370" spans="1:4" ht="21.75" customHeight="1" x14ac:dyDescent="0.25">
      <c r="A370" s="27"/>
      <c r="B370" s="239" t="s">
        <v>326</v>
      </c>
      <c r="C370" s="239"/>
      <c r="D370" s="27"/>
    </row>
    <row r="371" spans="1:4" ht="6" customHeight="1" x14ac:dyDescent="0.25">
      <c r="A371" s="16"/>
      <c r="B371" s="16"/>
      <c r="C371" s="16"/>
      <c r="D371" s="16"/>
    </row>
    <row r="372" spans="1:4" ht="21.75" customHeight="1" x14ac:dyDescent="0.25">
      <c r="A372" s="17"/>
      <c r="B372" s="230" t="s">
        <v>327</v>
      </c>
      <c r="C372" s="230"/>
      <c r="D372" s="17"/>
    </row>
    <row r="373" spans="1:4" ht="16.5" customHeight="1" x14ac:dyDescent="0.25">
      <c r="A373" s="5"/>
      <c r="B373" s="231" t="s">
        <v>328</v>
      </c>
      <c r="C373" s="231"/>
      <c r="D373" s="5"/>
    </row>
    <row r="374" spans="1:4" ht="15" customHeight="1" x14ac:dyDescent="0.25">
      <c r="A374" s="18"/>
      <c r="B374" s="232" t="s">
        <v>329</v>
      </c>
      <c r="C374" s="232"/>
      <c r="D374" s="18"/>
    </row>
    <row r="375" spans="1:4" ht="13.5" customHeight="1" x14ac:dyDescent="0.25">
      <c r="A375" s="19"/>
      <c r="B375" s="20" t="s">
        <v>330</v>
      </c>
      <c r="C375" s="19"/>
      <c r="D375" s="19"/>
    </row>
    <row r="376" spans="1:4" ht="13.5" customHeight="1" x14ac:dyDescent="0.25">
      <c r="A376" s="21"/>
      <c r="B376" s="22" t="s">
        <v>331</v>
      </c>
      <c r="C376" s="21"/>
      <c r="D376" s="21"/>
    </row>
    <row r="377" spans="1:4" ht="13.5" customHeight="1" x14ac:dyDescent="0.25">
      <c r="A377" s="21"/>
      <c r="B377" s="22" t="s">
        <v>332</v>
      </c>
      <c r="C377" s="21"/>
      <c r="D377" s="21"/>
    </row>
    <row r="378" spans="1:4" ht="13.5" customHeight="1" x14ac:dyDescent="0.25">
      <c r="A378" s="21"/>
      <c r="B378" s="22" t="s">
        <v>333</v>
      </c>
      <c r="C378" s="21"/>
      <c r="D378" s="21"/>
    </row>
    <row r="379" spans="1:4" ht="13.5" customHeight="1" x14ac:dyDescent="0.25">
      <c r="A379" s="21"/>
      <c r="B379" s="22" t="s">
        <v>334</v>
      </c>
      <c r="C379" s="21"/>
      <c r="D379" s="21"/>
    </row>
    <row r="380" spans="1:4" ht="13.5" customHeight="1" x14ac:dyDescent="0.25">
      <c r="A380" s="21"/>
      <c r="B380" s="22" t="s">
        <v>105</v>
      </c>
      <c r="C380" s="21"/>
      <c r="D380" s="21"/>
    </row>
    <row r="381" spans="1:4" ht="13.5" customHeight="1" x14ac:dyDescent="0.25">
      <c r="A381" s="21"/>
      <c r="B381" s="22" t="s">
        <v>80</v>
      </c>
      <c r="C381" s="21"/>
      <c r="D381" s="21"/>
    </row>
    <row r="382" spans="1:4" ht="13.5" customHeight="1" x14ac:dyDescent="0.25">
      <c r="A382" s="21"/>
      <c r="B382" s="22" t="s">
        <v>335</v>
      </c>
      <c r="C382" s="21"/>
      <c r="D382" s="21"/>
    </row>
    <row r="383" spans="1:4" ht="13.5" customHeight="1" x14ac:dyDescent="0.25">
      <c r="A383" s="21"/>
      <c r="B383" s="22"/>
      <c r="C383" s="21"/>
      <c r="D383" s="21"/>
    </row>
    <row r="384" spans="1:4" ht="13.5" customHeight="1" x14ac:dyDescent="0.25">
      <c r="A384" s="21"/>
      <c r="B384" s="22" t="s">
        <v>336</v>
      </c>
      <c r="C384" s="21"/>
      <c r="D384" s="21"/>
    </row>
    <row r="385" spans="1:4" ht="13.5" customHeight="1" x14ac:dyDescent="0.25">
      <c r="A385" s="21"/>
      <c r="B385" s="22" t="s">
        <v>337</v>
      </c>
      <c r="C385" s="21"/>
      <c r="D385" s="21"/>
    </row>
    <row r="386" spans="1:4" ht="13.5" customHeight="1" x14ac:dyDescent="0.25">
      <c r="A386" s="21"/>
      <c r="B386" s="22" t="s">
        <v>338</v>
      </c>
      <c r="C386" s="21"/>
      <c r="D386" s="21"/>
    </row>
    <row r="387" spans="1:4" ht="13.5" customHeight="1" x14ac:dyDescent="0.25">
      <c r="A387" s="21"/>
      <c r="B387" s="22" t="s">
        <v>339</v>
      </c>
      <c r="C387" s="21"/>
      <c r="D387" s="21"/>
    </row>
    <row r="388" spans="1:4" ht="13.5" customHeight="1" x14ac:dyDescent="0.25">
      <c r="A388" s="21"/>
      <c r="B388" s="22" t="s">
        <v>340</v>
      </c>
      <c r="C388" s="21"/>
      <c r="D388" s="21"/>
    </row>
    <row r="389" spans="1:4" ht="13.5" customHeight="1" x14ac:dyDescent="0.25">
      <c r="A389" s="21"/>
      <c r="B389" s="22" t="s">
        <v>341</v>
      </c>
      <c r="C389" s="21"/>
      <c r="D389" s="21"/>
    </row>
    <row r="390" spans="1:4" ht="13.5" customHeight="1" x14ac:dyDescent="0.25">
      <c r="A390" s="21"/>
      <c r="B390" s="22" t="s">
        <v>342</v>
      </c>
      <c r="C390" s="21"/>
      <c r="D390" s="21"/>
    </row>
    <row r="391" spans="1:4" ht="13.5" customHeight="1" x14ac:dyDescent="0.25">
      <c r="A391" s="21"/>
      <c r="B391" s="22" t="s">
        <v>343</v>
      </c>
      <c r="C391" s="21"/>
      <c r="D391" s="21"/>
    </row>
    <row r="392" spans="1:4" ht="13.5" customHeight="1" x14ac:dyDescent="0.25">
      <c r="A392" s="21"/>
      <c r="B392" s="22" t="s">
        <v>344</v>
      </c>
      <c r="C392" s="21"/>
      <c r="D392" s="21"/>
    </row>
    <row r="393" spans="1:4" ht="13.5" customHeight="1" x14ac:dyDescent="0.25">
      <c r="A393" s="21"/>
      <c r="B393" s="22" t="s">
        <v>345</v>
      </c>
      <c r="C393" s="21"/>
      <c r="D393" s="21"/>
    </row>
    <row r="394" spans="1:4" ht="13.5" customHeight="1" x14ac:dyDescent="0.25">
      <c r="A394" s="21"/>
      <c r="B394" s="22" t="s">
        <v>119</v>
      </c>
      <c r="C394" s="21"/>
      <c r="D394" s="21"/>
    </row>
    <row r="395" spans="1:4" ht="13.5" customHeight="1" x14ac:dyDescent="0.25">
      <c r="A395" s="21"/>
      <c r="B395" s="22"/>
      <c r="C395" s="21"/>
      <c r="D395" s="21"/>
    </row>
    <row r="396" spans="1:4" ht="13.5" customHeight="1" x14ac:dyDescent="0.25">
      <c r="A396" s="21"/>
      <c r="B396" s="22" t="s">
        <v>346</v>
      </c>
      <c r="C396" s="21"/>
      <c r="D396" s="21"/>
    </row>
    <row r="397" spans="1:4" ht="13.5" customHeight="1" x14ac:dyDescent="0.25">
      <c r="A397" s="21"/>
      <c r="B397" s="22" t="s">
        <v>347</v>
      </c>
      <c r="C397" s="21"/>
      <c r="D397" s="21"/>
    </row>
    <row r="398" spans="1:4" ht="13.5" customHeight="1" x14ac:dyDescent="0.25">
      <c r="A398" s="21"/>
      <c r="B398" s="22" t="s">
        <v>348</v>
      </c>
      <c r="C398" s="21"/>
      <c r="D398" s="21"/>
    </row>
    <row r="399" spans="1:4" ht="13.5" customHeight="1" x14ac:dyDescent="0.25">
      <c r="A399" s="21"/>
      <c r="B399" s="22" t="s">
        <v>124</v>
      </c>
      <c r="C399" s="21"/>
      <c r="D399" s="21"/>
    </row>
    <row r="400" spans="1:4" ht="13.5" customHeight="1" x14ac:dyDescent="0.25">
      <c r="A400" s="21"/>
      <c r="B400" s="22"/>
      <c r="C400" s="21"/>
      <c r="D400" s="21"/>
    </row>
    <row r="401" spans="1:4" ht="13.5" customHeight="1" x14ac:dyDescent="0.25">
      <c r="A401" s="21"/>
      <c r="B401" s="22" t="s">
        <v>349</v>
      </c>
      <c r="C401" s="21"/>
      <c r="D401" s="21"/>
    </row>
    <row r="402" spans="1:4" ht="13.5" customHeight="1" x14ac:dyDescent="0.25">
      <c r="A402" s="21"/>
      <c r="B402" s="22" t="s">
        <v>350</v>
      </c>
      <c r="C402" s="21"/>
      <c r="D402" s="21"/>
    </row>
    <row r="403" spans="1:4" ht="13.5" customHeight="1" x14ac:dyDescent="0.25">
      <c r="A403" s="21"/>
      <c r="B403" s="22" t="s">
        <v>351</v>
      </c>
      <c r="C403" s="21"/>
      <c r="D403" s="21"/>
    </row>
    <row r="404" spans="1:4" ht="13.5" customHeight="1" x14ac:dyDescent="0.25">
      <c r="A404" s="21"/>
      <c r="B404" s="22" t="s">
        <v>352</v>
      </c>
      <c r="C404" s="21"/>
      <c r="D404" s="21"/>
    </row>
    <row r="405" spans="1:4" ht="13.5" customHeight="1" x14ac:dyDescent="0.25">
      <c r="A405" s="21"/>
      <c r="B405" s="22" t="s">
        <v>353</v>
      </c>
      <c r="C405" s="21"/>
      <c r="D405" s="21"/>
    </row>
    <row r="406" spans="1:4" ht="13.5" customHeight="1" x14ac:dyDescent="0.25">
      <c r="A406" s="21"/>
      <c r="B406" s="22" t="s">
        <v>354</v>
      </c>
      <c r="C406" s="21"/>
      <c r="D406" s="21"/>
    </row>
    <row r="407" spans="1:4" ht="13.5" customHeight="1" x14ac:dyDescent="0.25">
      <c r="A407" s="21"/>
      <c r="B407" s="22" t="s">
        <v>355</v>
      </c>
      <c r="C407" s="21"/>
      <c r="D407" s="21"/>
    </row>
    <row r="408" spans="1:4" ht="13.5" customHeight="1" x14ac:dyDescent="0.25">
      <c r="A408" s="21"/>
      <c r="B408" s="22" t="s">
        <v>356</v>
      </c>
      <c r="C408" s="21"/>
      <c r="D408" s="21"/>
    </row>
    <row r="409" spans="1:4" ht="13.5" customHeight="1" x14ac:dyDescent="0.25">
      <c r="A409" s="21"/>
      <c r="B409" s="22"/>
      <c r="C409" s="21"/>
      <c r="D409" s="21"/>
    </row>
    <row r="410" spans="1:4" ht="13.5" customHeight="1" x14ac:dyDescent="0.25">
      <c r="A410" s="21"/>
      <c r="B410" s="22" t="s">
        <v>357</v>
      </c>
      <c r="C410" s="21"/>
      <c r="D410" s="21"/>
    </row>
    <row r="411" spans="1:4" ht="13.5" customHeight="1" x14ac:dyDescent="0.25">
      <c r="A411" s="21"/>
      <c r="B411" s="22" t="s">
        <v>358</v>
      </c>
      <c r="C411" s="21"/>
      <c r="D411" s="21"/>
    </row>
    <row r="412" spans="1:4" ht="13.5" customHeight="1" x14ac:dyDescent="0.25">
      <c r="A412" s="21"/>
      <c r="B412" s="22" t="s">
        <v>359</v>
      </c>
      <c r="C412" s="21"/>
      <c r="D412" s="21"/>
    </row>
    <row r="413" spans="1:4" ht="13.5" customHeight="1" x14ac:dyDescent="0.25">
      <c r="A413" s="21"/>
      <c r="B413" s="22" t="s">
        <v>360</v>
      </c>
      <c r="C413" s="21"/>
      <c r="D413" s="21"/>
    </row>
    <row r="414" spans="1:4" ht="13.5" customHeight="1" x14ac:dyDescent="0.25">
      <c r="A414" s="21"/>
      <c r="B414" s="22" t="s">
        <v>361</v>
      </c>
      <c r="C414" s="21"/>
      <c r="D414" s="21"/>
    </row>
    <row r="415" spans="1:4" ht="13.5" customHeight="1" x14ac:dyDescent="0.25">
      <c r="A415" s="21"/>
      <c r="B415" s="22" t="s">
        <v>94</v>
      </c>
      <c r="C415" s="21"/>
      <c r="D415" s="21"/>
    </row>
    <row r="416" spans="1:4" ht="13.5" customHeight="1" x14ac:dyDescent="0.25">
      <c r="A416" s="21"/>
      <c r="B416" s="22" t="s">
        <v>135</v>
      </c>
      <c r="C416" s="21"/>
      <c r="D416" s="21"/>
    </row>
    <row r="417" spans="1:4" ht="9.75" customHeight="1" x14ac:dyDescent="0.25">
      <c r="A417" s="12"/>
      <c r="B417" s="12"/>
      <c r="C417" s="12"/>
      <c r="D417" s="12"/>
    </row>
    <row r="418" spans="1:4" ht="21.75" customHeight="1" x14ac:dyDescent="0.25">
      <c r="A418" s="17"/>
      <c r="B418" s="230" t="s">
        <v>362</v>
      </c>
      <c r="C418" s="230"/>
      <c r="D418" s="17"/>
    </row>
    <row r="419" spans="1:4" ht="16.5" customHeight="1" x14ac:dyDescent="0.25">
      <c r="A419" s="5"/>
      <c r="B419" s="231" t="s">
        <v>363</v>
      </c>
      <c r="C419" s="231"/>
      <c r="D419" s="5"/>
    </row>
    <row r="420" spans="1:4" ht="15" customHeight="1" x14ac:dyDescent="0.25">
      <c r="A420" s="18"/>
      <c r="B420" s="232" t="s">
        <v>364</v>
      </c>
      <c r="C420" s="232"/>
      <c r="D420" s="18"/>
    </row>
    <row r="421" spans="1:4" ht="13.5" customHeight="1" x14ac:dyDescent="0.25">
      <c r="A421" s="19"/>
      <c r="B421" s="20" t="s">
        <v>365</v>
      </c>
      <c r="C421" s="19"/>
      <c r="D421" s="19"/>
    </row>
    <row r="422" spans="1:4" ht="13.5" customHeight="1" x14ac:dyDescent="0.25">
      <c r="A422" s="21"/>
      <c r="B422" s="22" t="s">
        <v>366</v>
      </c>
      <c r="C422" s="21"/>
      <c r="D422" s="21"/>
    </row>
    <row r="423" spans="1:4" ht="13.5" customHeight="1" x14ac:dyDescent="0.25">
      <c r="A423" s="21"/>
      <c r="B423" s="22" t="s">
        <v>367</v>
      </c>
      <c r="C423" s="21"/>
      <c r="D423" s="21"/>
    </row>
    <row r="424" spans="1:4" ht="13.5" customHeight="1" x14ac:dyDescent="0.25">
      <c r="A424" s="21"/>
      <c r="B424" s="22" t="s">
        <v>368</v>
      </c>
      <c r="C424" s="21"/>
      <c r="D424" s="21"/>
    </row>
    <row r="425" spans="1:4" ht="13.5" customHeight="1" x14ac:dyDescent="0.25">
      <c r="A425" s="21"/>
      <c r="B425" s="22" t="s">
        <v>369</v>
      </c>
      <c r="C425" s="21"/>
      <c r="D425" s="21"/>
    </row>
    <row r="426" spans="1:4" ht="13.5" customHeight="1" x14ac:dyDescent="0.25">
      <c r="A426" s="21"/>
      <c r="B426" s="22" t="s">
        <v>105</v>
      </c>
      <c r="C426" s="21"/>
      <c r="D426" s="21"/>
    </row>
    <row r="427" spans="1:4" ht="13.5" customHeight="1" x14ac:dyDescent="0.25">
      <c r="A427" s="21"/>
      <c r="B427" s="22" t="s">
        <v>80</v>
      </c>
      <c r="C427" s="21"/>
      <c r="D427" s="21"/>
    </row>
    <row r="428" spans="1:4" ht="13.5" customHeight="1" x14ac:dyDescent="0.25">
      <c r="A428" s="21"/>
      <c r="B428" s="22" t="s">
        <v>370</v>
      </c>
      <c r="C428" s="21"/>
      <c r="D428" s="21"/>
    </row>
    <row r="429" spans="1:4" ht="13.5" customHeight="1" x14ac:dyDescent="0.25">
      <c r="A429" s="21"/>
      <c r="B429" s="22"/>
      <c r="C429" s="21"/>
      <c r="D429" s="21"/>
    </row>
    <row r="430" spans="1:4" ht="13.5" customHeight="1" x14ac:dyDescent="0.25">
      <c r="A430" s="21"/>
      <c r="B430" s="22" t="s">
        <v>371</v>
      </c>
      <c r="C430" s="21"/>
      <c r="D430" s="21"/>
    </row>
    <row r="431" spans="1:4" ht="13.5" customHeight="1" x14ac:dyDescent="0.25">
      <c r="A431" s="21"/>
      <c r="B431" s="22" t="s">
        <v>339</v>
      </c>
      <c r="C431" s="21"/>
      <c r="D431" s="21"/>
    </row>
    <row r="432" spans="1:4" ht="13.5" customHeight="1" x14ac:dyDescent="0.25">
      <c r="A432" s="21"/>
      <c r="B432" s="22" t="s">
        <v>372</v>
      </c>
      <c r="C432" s="21"/>
      <c r="D432" s="21"/>
    </row>
    <row r="433" spans="1:4" ht="13.5" customHeight="1" x14ac:dyDescent="0.25">
      <c r="A433" s="21"/>
      <c r="B433" s="22" t="s">
        <v>373</v>
      </c>
      <c r="C433" s="21"/>
      <c r="D433" s="21"/>
    </row>
    <row r="434" spans="1:4" ht="13.5" customHeight="1" x14ac:dyDescent="0.25">
      <c r="A434" s="21"/>
      <c r="B434" s="22" t="s">
        <v>374</v>
      </c>
      <c r="C434" s="21"/>
      <c r="D434" s="21"/>
    </row>
    <row r="435" spans="1:4" ht="13.5" customHeight="1" x14ac:dyDescent="0.25">
      <c r="A435" s="21"/>
      <c r="B435" s="22" t="s">
        <v>375</v>
      </c>
      <c r="C435" s="21"/>
      <c r="D435" s="21"/>
    </row>
    <row r="436" spans="1:4" ht="13.5" customHeight="1" x14ac:dyDescent="0.25">
      <c r="A436" s="21"/>
      <c r="B436" s="22" t="s">
        <v>119</v>
      </c>
      <c r="C436" s="21"/>
      <c r="D436" s="21"/>
    </row>
    <row r="437" spans="1:4" ht="13.5" customHeight="1" x14ac:dyDescent="0.25">
      <c r="A437" s="21"/>
      <c r="B437" s="22"/>
      <c r="C437" s="21"/>
      <c r="D437" s="21"/>
    </row>
    <row r="438" spans="1:4" ht="13.5" customHeight="1" x14ac:dyDescent="0.25">
      <c r="A438" s="21"/>
      <c r="B438" s="22" t="s">
        <v>376</v>
      </c>
      <c r="C438" s="21"/>
      <c r="D438" s="21"/>
    </row>
    <row r="439" spans="1:4" ht="13.5" customHeight="1" x14ac:dyDescent="0.25">
      <c r="A439" s="21"/>
      <c r="B439" s="22" t="s">
        <v>377</v>
      </c>
      <c r="C439" s="21"/>
      <c r="D439" s="21"/>
    </row>
    <row r="440" spans="1:4" ht="13.5" customHeight="1" x14ac:dyDescent="0.25">
      <c r="A440" s="21"/>
      <c r="B440" s="22" t="s">
        <v>378</v>
      </c>
      <c r="C440" s="21"/>
      <c r="D440" s="21"/>
    </row>
    <row r="441" spans="1:4" ht="13.5" customHeight="1" x14ac:dyDescent="0.25">
      <c r="A441" s="21"/>
      <c r="B441" s="22" t="s">
        <v>124</v>
      </c>
      <c r="C441" s="21"/>
      <c r="D441" s="21"/>
    </row>
    <row r="442" spans="1:4" ht="13.5" customHeight="1" x14ac:dyDescent="0.25">
      <c r="A442" s="21"/>
      <c r="B442" s="22"/>
      <c r="C442" s="21"/>
      <c r="D442" s="21"/>
    </row>
    <row r="443" spans="1:4" ht="13.5" customHeight="1" x14ac:dyDescent="0.25">
      <c r="A443" s="21"/>
      <c r="B443" s="22" t="s">
        <v>379</v>
      </c>
      <c r="C443" s="21"/>
      <c r="D443" s="21"/>
    </row>
    <row r="444" spans="1:4" ht="13.5" customHeight="1" x14ac:dyDescent="0.25">
      <c r="A444" s="21"/>
      <c r="B444" s="22" t="s">
        <v>380</v>
      </c>
      <c r="C444" s="21"/>
      <c r="D444" s="21"/>
    </row>
    <row r="445" spans="1:4" ht="13.5" customHeight="1" x14ac:dyDescent="0.25">
      <c r="A445" s="21"/>
      <c r="B445" s="22"/>
      <c r="C445" s="21"/>
      <c r="D445" s="21"/>
    </row>
    <row r="446" spans="1:4" ht="13.5" customHeight="1" x14ac:dyDescent="0.25">
      <c r="A446" s="21"/>
      <c r="B446" s="22" t="s">
        <v>381</v>
      </c>
      <c r="C446" s="21"/>
      <c r="D446" s="21"/>
    </row>
    <row r="447" spans="1:4" ht="13.5" customHeight="1" x14ac:dyDescent="0.25">
      <c r="A447" s="21"/>
      <c r="B447" s="22" t="s">
        <v>382</v>
      </c>
      <c r="C447" s="21"/>
      <c r="D447" s="21"/>
    </row>
    <row r="448" spans="1:4" ht="13.5" customHeight="1" x14ac:dyDescent="0.25">
      <c r="A448" s="21"/>
      <c r="B448" s="22" t="s">
        <v>383</v>
      </c>
      <c r="C448" s="21"/>
      <c r="D448" s="21"/>
    </row>
    <row r="449" spans="1:4" ht="13.5" customHeight="1" x14ac:dyDescent="0.25">
      <c r="A449" s="21"/>
      <c r="B449" s="22" t="s">
        <v>384</v>
      </c>
      <c r="C449" s="21"/>
      <c r="D449" s="21"/>
    </row>
    <row r="450" spans="1:4" ht="13.5" customHeight="1" x14ac:dyDescent="0.25">
      <c r="A450" s="21"/>
      <c r="B450" s="22" t="s">
        <v>385</v>
      </c>
      <c r="C450" s="21"/>
      <c r="D450" s="21"/>
    </row>
    <row r="451" spans="1:4" ht="13.5" customHeight="1" x14ac:dyDescent="0.25">
      <c r="A451" s="21"/>
      <c r="B451" s="22" t="s">
        <v>386</v>
      </c>
      <c r="C451" s="21"/>
      <c r="D451" s="21"/>
    </row>
    <row r="452" spans="1:4" ht="13.5" customHeight="1" x14ac:dyDescent="0.25">
      <c r="A452" s="21"/>
      <c r="B452" s="22" t="s">
        <v>387</v>
      </c>
      <c r="C452" s="21"/>
      <c r="D452" s="21"/>
    </row>
    <row r="453" spans="1:4" ht="13.5" customHeight="1" x14ac:dyDescent="0.25">
      <c r="A453" s="21"/>
      <c r="B453" s="22" t="s">
        <v>94</v>
      </c>
      <c r="C453" s="21"/>
      <c r="D453" s="21"/>
    </row>
    <row r="454" spans="1:4" ht="13.5" customHeight="1" x14ac:dyDescent="0.25">
      <c r="A454" s="21"/>
      <c r="B454" s="22" t="s">
        <v>135</v>
      </c>
      <c r="C454" s="21"/>
      <c r="D454" s="21"/>
    </row>
    <row r="455" spans="1:4" ht="9.75" customHeight="1" x14ac:dyDescent="0.25">
      <c r="A455" s="12"/>
      <c r="B455" s="12"/>
      <c r="C455" s="12"/>
      <c r="D455" s="12"/>
    </row>
    <row r="456" spans="1:4" ht="21.75" customHeight="1" x14ac:dyDescent="0.25">
      <c r="A456" s="17"/>
      <c r="B456" s="230" t="s">
        <v>388</v>
      </c>
      <c r="C456" s="230"/>
      <c r="D456" s="17"/>
    </row>
    <row r="457" spans="1:4" ht="16.5" customHeight="1" x14ac:dyDescent="0.25">
      <c r="A457" s="5"/>
      <c r="B457" s="231" t="s">
        <v>389</v>
      </c>
      <c r="C457" s="231"/>
      <c r="D457" s="5"/>
    </row>
    <row r="458" spans="1:4" ht="15" customHeight="1" x14ac:dyDescent="0.25">
      <c r="A458" s="18"/>
      <c r="B458" s="232" t="s">
        <v>390</v>
      </c>
      <c r="C458" s="232"/>
      <c r="D458" s="18"/>
    </row>
    <row r="459" spans="1:4" ht="13.5" customHeight="1" x14ac:dyDescent="0.25">
      <c r="A459" s="19"/>
      <c r="B459" s="20" t="s">
        <v>391</v>
      </c>
      <c r="C459" s="19"/>
      <c r="D459" s="19"/>
    </row>
    <row r="460" spans="1:4" ht="13.5" customHeight="1" x14ac:dyDescent="0.25">
      <c r="A460" s="21"/>
      <c r="B460" s="22" t="s">
        <v>392</v>
      </c>
      <c r="C460" s="21"/>
      <c r="D460" s="21"/>
    </row>
    <row r="461" spans="1:4" ht="13.5" customHeight="1" x14ac:dyDescent="0.25">
      <c r="A461" s="21"/>
      <c r="B461" s="22" t="s">
        <v>393</v>
      </c>
      <c r="C461" s="21"/>
      <c r="D461" s="21"/>
    </row>
    <row r="462" spans="1:4" ht="13.5" customHeight="1" x14ac:dyDescent="0.25">
      <c r="A462" s="21"/>
      <c r="B462" s="22" t="s">
        <v>394</v>
      </c>
      <c r="C462" s="21"/>
      <c r="D462" s="21"/>
    </row>
    <row r="463" spans="1:4" ht="13.5" customHeight="1" x14ac:dyDescent="0.25">
      <c r="A463" s="21"/>
      <c r="B463" s="22" t="s">
        <v>395</v>
      </c>
      <c r="C463" s="21"/>
      <c r="D463" s="21"/>
    </row>
    <row r="464" spans="1:4" ht="13.5" customHeight="1" x14ac:dyDescent="0.25">
      <c r="A464" s="21"/>
      <c r="B464" s="22" t="s">
        <v>105</v>
      </c>
      <c r="C464" s="21"/>
      <c r="D464" s="21"/>
    </row>
    <row r="465" spans="1:4" ht="13.5" customHeight="1" x14ac:dyDescent="0.25">
      <c r="A465" s="21"/>
      <c r="B465" s="22" t="s">
        <v>80</v>
      </c>
      <c r="C465" s="21"/>
      <c r="D465" s="21"/>
    </row>
    <row r="466" spans="1:4" ht="13.5" customHeight="1" x14ac:dyDescent="0.25">
      <c r="A466" s="21"/>
      <c r="B466" s="22" t="s">
        <v>396</v>
      </c>
      <c r="C466" s="21"/>
      <c r="D466" s="21"/>
    </row>
    <row r="467" spans="1:4" ht="13.5" customHeight="1" x14ac:dyDescent="0.25">
      <c r="A467" s="21"/>
      <c r="B467" s="22"/>
      <c r="C467" s="21"/>
      <c r="D467" s="21"/>
    </row>
    <row r="468" spans="1:4" ht="13.5" customHeight="1" x14ac:dyDescent="0.25">
      <c r="A468" s="21"/>
      <c r="B468" s="22" t="s">
        <v>339</v>
      </c>
      <c r="C468" s="21"/>
      <c r="D468" s="21"/>
    </row>
    <row r="469" spans="1:4" ht="13.5" customHeight="1" x14ac:dyDescent="0.25">
      <c r="A469" s="21"/>
      <c r="B469" s="22" t="s">
        <v>372</v>
      </c>
      <c r="C469" s="21"/>
      <c r="D469" s="21"/>
    </row>
    <row r="470" spans="1:4" ht="13.5" customHeight="1" x14ac:dyDescent="0.25">
      <c r="A470" s="21"/>
      <c r="B470" s="22" t="s">
        <v>373</v>
      </c>
      <c r="C470" s="21"/>
      <c r="D470" s="21"/>
    </row>
    <row r="471" spans="1:4" ht="13.5" customHeight="1" x14ac:dyDescent="0.25">
      <c r="A471" s="21"/>
      <c r="B471" s="22" t="s">
        <v>375</v>
      </c>
      <c r="C471" s="21"/>
      <c r="D471" s="21"/>
    </row>
    <row r="472" spans="1:4" ht="13.5" customHeight="1" x14ac:dyDescent="0.25">
      <c r="A472" s="21"/>
      <c r="B472" s="22" t="s">
        <v>119</v>
      </c>
      <c r="C472" s="21"/>
      <c r="D472" s="21"/>
    </row>
    <row r="473" spans="1:4" ht="13.5" customHeight="1" x14ac:dyDescent="0.25">
      <c r="A473" s="21"/>
      <c r="B473" s="22"/>
      <c r="C473" s="21"/>
      <c r="D473" s="21"/>
    </row>
    <row r="474" spans="1:4" ht="13.5" customHeight="1" x14ac:dyDescent="0.25">
      <c r="A474" s="21"/>
      <c r="B474" s="22" t="s">
        <v>377</v>
      </c>
      <c r="C474" s="21"/>
      <c r="D474" s="21"/>
    </row>
    <row r="475" spans="1:4" ht="13.5" customHeight="1" x14ac:dyDescent="0.25">
      <c r="A475" s="21"/>
      <c r="B475" s="22" t="s">
        <v>397</v>
      </c>
      <c r="C475" s="21"/>
      <c r="D475" s="21"/>
    </row>
    <row r="476" spans="1:4" ht="13.5" customHeight="1" x14ac:dyDescent="0.25">
      <c r="A476" s="21"/>
      <c r="B476" s="22" t="s">
        <v>124</v>
      </c>
      <c r="C476" s="21"/>
      <c r="D476" s="21"/>
    </row>
    <row r="477" spans="1:4" ht="13.5" customHeight="1" x14ac:dyDescent="0.25">
      <c r="A477" s="21"/>
      <c r="B477" s="22"/>
      <c r="C477" s="21"/>
      <c r="D477" s="21"/>
    </row>
    <row r="478" spans="1:4" ht="13.5" customHeight="1" x14ac:dyDescent="0.25">
      <c r="A478" s="21"/>
      <c r="B478" s="22" t="s">
        <v>398</v>
      </c>
      <c r="C478" s="21"/>
      <c r="D478" s="21"/>
    </row>
    <row r="479" spans="1:4" ht="13.5" customHeight="1" x14ac:dyDescent="0.25">
      <c r="A479" s="21"/>
      <c r="B479" s="22" t="s">
        <v>399</v>
      </c>
      <c r="C479" s="21"/>
      <c r="D479" s="21"/>
    </row>
    <row r="480" spans="1:4" ht="13.5" customHeight="1" x14ac:dyDescent="0.25">
      <c r="A480" s="21"/>
      <c r="B480" s="22" t="s">
        <v>400</v>
      </c>
      <c r="C480" s="21"/>
      <c r="D480" s="21"/>
    </row>
    <row r="481" spans="1:4" ht="13.5" customHeight="1" x14ac:dyDescent="0.25">
      <c r="A481" s="21"/>
      <c r="B481" s="22" t="s">
        <v>401</v>
      </c>
      <c r="C481" s="21"/>
      <c r="D481" s="21"/>
    </row>
    <row r="482" spans="1:4" ht="13.5" customHeight="1" x14ac:dyDescent="0.25">
      <c r="A482" s="21"/>
      <c r="B482" s="22" t="s">
        <v>402</v>
      </c>
      <c r="C482" s="21"/>
      <c r="D482" s="21"/>
    </row>
    <row r="483" spans="1:4" ht="13.5" customHeight="1" x14ac:dyDescent="0.25">
      <c r="A483" s="21"/>
      <c r="B483" s="22"/>
      <c r="C483" s="21"/>
      <c r="D483" s="21"/>
    </row>
    <row r="484" spans="1:4" ht="13.5" customHeight="1" x14ac:dyDescent="0.25">
      <c r="A484" s="21"/>
      <c r="B484" s="22" t="s">
        <v>403</v>
      </c>
      <c r="C484" s="21"/>
      <c r="D484" s="21"/>
    </row>
    <row r="485" spans="1:4" ht="13.5" customHeight="1" x14ac:dyDescent="0.25">
      <c r="A485" s="21"/>
      <c r="B485" s="22" t="s">
        <v>404</v>
      </c>
      <c r="C485" s="21"/>
      <c r="D485" s="21"/>
    </row>
    <row r="486" spans="1:4" ht="13.5" customHeight="1" x14ac:dyDescent="0.25">
      <c r="A486" s="21"/>
      <c r="B486" s="22" t="s">
        <v>405</v>
      </c>
      <c r="C486" s="21"/>
      <c r="D486" s="21"/>
    </row>
    <row r="487" spans="1:4" ht="13.5" customHeight="1" x14ac:dyDescent="0.25">
      <c r="A487" s="21"/>
      <c r="B487" s="22" t="s">
        <v>406</v>
      </c>
      <c r="C487" s="21"/>
      <c r="D487" s="21"/>
    </row>
    <row r="488" spans="1:4" ht="13.5" customHeight="1" x14ac:dyDescent="0.25">
      <c r="A488" s="21"/>
      <c r="B488" s="22" t="s">
        <v>407</v>
      </c>
      <c r="C488" s="21"/>
      <c r="D488" s="21"/>
    </row>
    <row r="489" spans="1:4" ht="13.5" customHeight="1" x14ac:dyDescent="0.25">
      <c r="A489" s="21"/>
      <c r="B489" s="22" t="s">
        <v>408</v>
      </c>
      <c r="C489" s="21"/>
      <c r="D489" s="21"/>
    </row>
    <row r="490" spans="1:4" ht="13.5" customHeight="1" x14ac:dyDescent="0.25">
      <c r="A490" s="21"/>
      <c r="B490" s="22" t="s">
        <v>409</v>
      </c>
      <c r="C490" s="21"/>
      <c r="D490" s="21"/>
    </row>
    <row r="491" spans="1:4" ht="13.5" customHeight="1" x14ac:dyDescent="0.25">
      <c r="A491" s="21"/>
      <c r="B491" s="22" t="s">
        <v>410</v>
      </c>
      <c r="C491" s="21"/>
      <c r="D491" s="21"/>
    </row>
    <row r="492" spans="1:4" ht="13.5" customHeight="1" x14ac:dyDescent="0.25">
      <c r="A492" s="21"/>
      <c r="B492" s="22" t="s">
        <v>134</v>
      </c>
      <c r="C492" s="21"/>
      <c r="D492" s="21"/>
    </row>
    <row r="493" spans="1:4" ht="13.5" customHeight="1" x14ac:dyDescent="0.25">
      <c r="A493" s="21"/>
      <c r="B493" s="22" t="s">
        <v>94</v>
      </c>
      <c r="C493" s="21"/>
      <c r="D493" s="21"/>
    </row>
    <row r="494" spans="1:4" ht="13.5" customHeight="1" x14ac:dyDescent="0.25">
      <c r="A494" s="21"/>
      <c r="B494" s="22" t="s">
        <v>135</v>
      </c>
      <c r="C494" s="21"/>
      <c r="D494" s="21"/>
    </row>
    <row r="495" spans="1:4" ht="9.75" customHeight="1" x14ac:dyDescent="0.25">
      <c r="A495" s="12"/>
      <c r="B495" s="12"/>
      <c r="C495" s="12"/>
      <c r="D495" s="12"/>
    </row>
    <row r="496" spans="1:4" ht="21.75" customHeight="1" x14ac:dyDescent="0.25">
      <c r="A496" s="28"/>
      <c r="B496" s="233" t="s">
        <v>411</v>
      </c>
      <c r="C496" s="233"/>
      <c r="D496" s="28"/>
    </row>
    <row r="497" spans="1:4" ht="6" customHeight="1" x14ac:dyDescent="0.25">
      <c r="A497" s="16"/>
      <c r="B497" s="16"/>
      <c r="C497" s="16"/>
      <c r="D497" s="16"/>
    </row>
    <row r="498" spans="1:4" ht="21.75" customHeight="1" x14ac:dyDescent="0.25">
      <c r="A498" s="17"/>
      <c r="B498" s="230" t="s">
        <v>412</v>
      </c>
      <c r="C498" s="230"/>
      <c r="D498" s="17"/>
    </row>
    <row r="499" spans="1:4" ht="16.5" customHeight="1" x14ac:dyDescent="0.25">
      <c r="A499" s="5"/>
      <c r="B499" s="231" t="s">
        <v>413</v>
      </c>
      <c r="C499" s="231"/>
      <c r="D499" s="5"/>
    </row>
    <row r="500" spans="1:4" ht="15" customHeight="1" x14ac:dyDescent="0.25">
      <c r="A500" s="18"/>
      <c r="B500" s="232" t="s">
        <v>414</v>
      </c>
      <c r="C500" s="232"/>
      <c r="D500" s="18"/>
    </row>
    <row r="501" spans="1:4" ht="13.5" customHeight="1" x14ac:dyDescent="0.25">
      <c r="A501" s="19"/>
      <c r="B501" s="20" t="s">
        <v>415</v>
      </c>
      <c r="C501" s="19"/>
      <c r="D501" s="19"/>
    </row>
    <row r="502" spans="1:4" ht="13.5" customHeight="1" x14ac:dyDescent="0.25">
      <c r="A502" s="21"/>
      <c r="B502" s="22" t="s">
        <v>416</v>
      </c>
      <c r="C502" s="21"/>
      <c r="D502" s="21"/>
    </row>
    <row r="503" spans="1:4" ht="13.5" customHeight="1" x14ac:dyDescent="0.25">
      <c r="A503" s="21"/>
      <c r="B503" s="22" t="s">
        <v>417</v>
      </c>
      <c r="C503" s="21"/>
      <c r="D503" s="21"/>
    </row>
    <row r="504" spans="1:4" ht="13.5" customHeight="1" x14ac:dyDescent="0.25">
      <c r="A504" s="21"/>
      <c r="B504" s="22" t="s">
        <v>418</v>
      </c>
      <c r="C504" s="21"/>
      <c r="D504" s="21"/>
    </row>
    <row r="505" spans="1:4" ht="13.5" customHeight="1" x14ac:dyDescent="0.25">
      <c r="A505" s="21"/>
      <c r="B505" s="22" t="s">
        <v>419</v>
      </c>
      <c r="C505" s="21"/>
      <c r="D505" s="21"/>
    </row>
    <row r="506" spans="1:4" ht="13.5" customHeight="1" x14ac:dyDescent="0.25">
      <c r="A506" s="21"/>
      <c r="B506" s="22" t="s">
        <v>420</v>
      </c>
      <c r="C506" s="21"/>
      <c r="D506" s="21"/>
    </row>
    <row r="507" spans="1:4" ht="13.5" customHeight="1" x14ac:dyDescent="0.25">
      <c r="A507" s="21"/>
      <c r="B507" s="22" t="s">
        <v>421</v>
      </c>
      <c r="C507" s="21"/>
      <c r="D507" s="21"/>
    </row>
    <row r="508" spans="1:4" ht="13.5" customHeight="1" x14ac:dyDescent="0.25">
      <c r="A508" s="21"/>
      <c r="B508" s="22" t="s">
        <v>422</v>
      </c>
      <c r="C508" s="21"/>
      <c r="D508" s="21"/>
    </row>
    <row r="509" spans="1:4" ht="13.5" customHeight="1" x14ac:dyDescent="0.25">
      <c r="A509" s="21"/>
      <c r="B509" s="22" t="s">
        <v>423</v>
      </c>
      <c r="C509" s="21"/>
      <c r="D509" s="21"/>
    </row>
    <row r="510" spans="1:4" ht="13.5" customHeight="1" x14ac:dyDescent="0.25">
      <c r="A510" s="21"/>
      <c r="B510" s="22" t="s">
        <v>424</v>
      </c>
      <c r="C510" s="21"/>
      <c r="D510" s="21"/>
    </row>
    <row r="511" spans="1:4" ht="13.5" customHeight="1" x14ac:dyDescent="0.25">
      <c r="A511" s="21"/>
      <c r="B511" s="22" t="s">
        <v>425</v>
      </c>
      <c r="C511" s="21"/>
      <c r="D511" s="21"/>
    </row>
    <row r="512" spans="1:4" ht="13.5" customHeight="1" x14ac:dyDescent="0.25">
      <c r="A512" s="21"/>
      <c r="B512" s="22" t="s">
        <v>419</v>
      </c>
      <c r="C512" s="21"/>
      <c r="D512" s="21"/>
    </row>
    <row r="513" spans="1:4" ht="13.5" customHeight="1" x14ac:dyDescent="0.25">
      <c r="A513" s="21"/>
      <c r="B513" s="22" t="s">
        <v>426</v>
      </c>
      <c r="C513" s="21"/>
      <c r="D513" s="21"/>
    </row>
    <row r="514" spans="1:4" ht="13.5" customHeight="1" x14ac:dyDescent="0.25">
      <c r="A514" s="21"/>
      <c r="B514" s="22" t="s">
        <v>427</v>
      </c>
      <c r="C514" s="21"/>
      <c r="D514" s="21"/>
    </row>
    <row r="515" spans="1:4" ht="13.5" customHeight="1" x14ac:dyDescent="0.25">
      <c r="A515" s="21"/>
      <c r="B515" s="22" t="s">
        <v>428</v>
      </c>
      <c r="C515" s="21"/>
      <c r="D515" s="21"/>
    </row>
    <row r="516" spans="1:4" ht="13.5" customHeight="1" x14ac:dyDescent="0.25">
      <c r="A516" s="21"/>
      <c r="B516" s="22" t="s">
        <v>429</v>
      </c>
      <c r="C516" s="21"/>
      <c r="D516" s="21"/>
    </row>
    <row r="517" spans="1:4" ht="13.5" customHeight="1" x14ac:dyDescent="0.25">
      <c r="A517" s="21"/>
      <c r="B517" s="22" t="s">
        <v>419</v>
      </c>
      <c r="C517" s="21"/>
      <c r="D517" s="21"/>
    </row>
    <row r="518" spans="1:4" ht="13.5" customHeight="1" x14ac:dyDescent="0.25">
      <c r="A518" s="21"/>
      <c r="B518" s="22" t="s">
        <v>430</v>
      </c>
      <c r="C518" s="21"/>
      <c r="D518" s="21"/>
    </row>
    <row r="519" spans="1:4" ht="13.5" customHeight="1" x14ac:dyDescent="0.25">
      <c r="A519" s="21"/>
      <c r="B519" s="22" t="s">
        <v>431</v>
      </c>
      <c r="C519" s="21"/>
      <c r="D519" s="21"/>
    </row>
    <row r="520" spans="1:4" ht="13.5" customHeight="1" x14ac:dyDescent="0.25">
      <c r="A520" s="21"/>
      <c r="B520" s="22" t="s">
        <v>432</v>
      </c>
      <c r="C520" s="21"/>
      <c r="D520" s="21"/>
    </row>
    <row r="521" spans="1:4" ht="13.5" customHeight="1" x14ac:dyDescent="0.25">
      <c r="A521" s="21"/>
      <c r="B521" s="22" t="s">
        <v>433</v>
      </c>
      <c r="C521" s="21"/>
      <c r="D521" s="21"/>
    </row>
    <row r="522" spans="1:4" ht="13.5" customHeight="1" x14ac:dyDescent="0.25">
      <c r="A522" s="21"/>
      <c r="B522" s="22" t="s">
        <v>434</v>
      </c>
      <c r="C522" s="21"/>
      <c r="D522" s="21"/>
    </row>
    <row r="523" spans="1:4" ht="13.5" customHeight="1" x14ac:dyDescent="0.25">
      <c r="A523" s="21"/>
      <c r="B523" s="22" t="s">
        <v>435</v>
      </c>
      <c r="C523" s="21"/>
      <c r="D523" s="21"/>
    </row>
    <row r="524" spans="1:4" ht="13.5" customHeight="1" x14ac:dyDescent="0.25">
      <c r="A524" s="21"/>
      <c r="B524" s="22" t="s">
        <v>436</v>
      </c>
      <c r="C524" s="21"/>
      <c r="D524" s="21"/>
    </row>
    <row r="525" spans="1:4" ht="13.5" customHeight="1" x14ac:dyDescent="0.25">
      <c r="A525" s="21"/>
      <c r="B525" s="22" t="s">
        <v>437</v>
      </c>
      <c r="C525" s="21"/>
      <c r="D525" s="21"/>
    </row>
    <row r="526" spans="1:4" ht="13.5" customHeight="1" x14ac:dyDescent="0.25">
      <c r="A526" s="21"/>
      <c r="B526" s="22" t="s">
        <v>438</v>
      </c>
      <c r="C526" s="21"/>
      <c r="D526" s="21"/>
    </row>
    <row r="527" spans="1:4" ht="13.5" customHeight="1" x14ac:dyDescent="0.25">
      <c r="A527" s="21"/>
      <c r="B527" s="22" t="s">
        <v>439</v>
      </c>
      <c r="C527" s="21"/>
      <c r="D527" s="21"/>
    </row>
    <row r="528" spans="1:4" ht="13.5" customHeight="1" x14ac:dyDescent="0.25">
      <c r="A528" s="21"/>
      <c r="B528" s="22" t="s">
        <v>80</v>
      </c>
      <c r="C528" s="21"/>
      <c r="D528" s="21"/>
    </row>
    <row r="529" spans="1:4" ht="13.5" customHeight="1" x14ac:dyDescent="0.25">
      <c r="A529" s="21"/>
      <c r="B529" s="22" t="s">
        <v>440</v>
      </c>
      <c r="C529" s="21"/>
      <c r="D529" s="21"/>
    </row>
    <row r="530" spans="1:4" ht="13.5" customHeight="1" x14ac:dyDescent="0.25">
      <c r="A530" s="21"/>
      <c r="B530" s="22" t="s">
        <v>441</v>
      </c>
      <c r="C530" s="21"/>
      <c r="D530" s="21"/>
    </row>
    <row r="531" spans="1:4" ht="13.5" customHeight="1" x14ac:dyDescent="0.25">
      <c r="A531" s="21"/>
      <c r="B531" s="22" t="s">
        <v>442</v>
      </c>
      <c r="C531" s="21"/>
      <c r="D531" s="21"/>
    </row>
    <row r="532" spans="1:4" ht="13.5" customHeight="1" x14ac:dyDescent="0.25">
      <c r="A532" s="21"/>
      <c r="B532" s="22" t="s">
        <v>443</v>
      </c>
      <c r="C532" s="21"/>
      <c r="D532" s="21"/>
    </row>
    <row r="533" spans="1:4" ht="13.5" customHeight="1" x14ac:dyDescent="0.25">
      <c r="A533" s="21"/>
      <c r="B533" s="22" t="s">
        <v>444</v>
      </c>
      <c r="C533" s="21"/>
      <c r="D533" s="21"/>
    </row>
    <row r="534" spans="1:4" ht="13.5" customHeight="1" x14ac:dyDescent="0.25">
      <c r="A534" s="21"/>
      <c r="B534" s="22" t="s">
        <v>445</v>
      </c>
      <c r="C534" s="21"/>
      <c r="D534" s="21"/>
    </row>
    <row r="535" spans="1:4" ht="13.5" customHeight="1" x14ac:dyDescent="0.25">
      <c r="A535" s="21"/>
      <c r="B535" s="22" t="s">
        <v>446</v>
      </c>
      <c r="C535" s="21"/>
      <c r="D535" s="21"/>
    </row>
    <row r="536" spans="1:4" ht="13.5" customHeight="1" x14ac:dyDescent="0.25">
      <c r="A536" s="21"/>
      <c r="B536" s="22" t="s">
        <v>447</v>
      </c>
      <c r="C536" s="21"/>
      <c r="D536" s="21"/>
    </row>
    <row r="537" spans="1:4" ht="13.5" customHeight="1" x14ac:dyDescent="0.25">
      <c r="A537" s="21"/>
      <c r="B537" s="22"/>
      <c r="C537" s="21"/>
      <c r="D537" s="21"/>
    </row>
    <row r="538" spans="1:4" ht="13.5" customHeight="1" x14ac:dyDescent="0.25">
      <c r="A538" s="21"/>
      <c r="B538" s="22" t="s">
        <v>448</v>
      </c>
      <c r="C538" s="21"/>
      <c r="D538" s="21"/>
    </row>
    <row r="539" spans="1:4" ht="13.5" customHeight="1" x14ac:dyDescent="0.25">
      <c r="A539" s="21"/>
      <c r="B539" s="22" t="s">
        <v>449</v>
      </c>
      <c r="C539" s="21"/>
      <c r="D539" s="21"/>
    </row>
    <row r="540" spans="1:4" ht="13.5" customHeight="1" x14ac:dyDescent="0.25">
      <c r="A540" s="21"/>
      <c r="B540" s="22" t="s">
        <v>450</v>
      </c>
      <c r="C540" s="21"/>
      <c r="D540" s="21"/>
    </row>
    <row r="541" spans="1:4" ht="13.5" customHeight="1" x14ac:dyDescent="0.25">
      <c r="A541" s="21"/>
      <c r="B541" s="22" t="s">
        <v>451</v>
      </c>
      <c r="C541" s="21"/>
      <c r="D541" s="21"/>
    </row>
    <row r="542" spans="1:4" ht="13.5" customHeight="1" x14ac:dyDescent="0.25">
      <c r="A542" s="21"/>
      <c r="B542" s="22" t="s">
        <v>452</v>
      </c>
      <c r="C542" s="21"/>
      <c r="D542" s="21"/>
    </row>
    <row r="543" spans="1:4" ht="13.5" customHeight="1" x14ac:dyDescent="0.25">
      <c r="A543" s="21"/>
      <c r="B543" s="22" t="s">
        <v>453</v>
      </c>
      <c r="C543" s="21"/>
      <c r="D543" s="21"/>
    </row>
    <row r="544" spans="1:4" ht="13.5" customHeight="1" x14ac:dyDescent="0.25">
      <c r="A544" s="21"/>
      <c r="B544" s="22" t="s">
        <v>454</v>
      </c>
      <c r="C544" s="21"/>
      <c r="D544" s="21"/>
    </row>
    <row r="545" spans="1:4" ht="13.5" customHeight="1" x14ac:dyDescent="0.25">
      <c r="A545" s="21"/>
      <c r="B545" s="22" t="s">
        <v>455</v>
      </c>
      <c r="C545" s="21"/>
      <c r="D545" s="21"/>
    </row>
    <row r="546" spans="1:4" ht="13.5" customHeight="1" x14ac:dyDescent="0.25">
      <c r="A546" s="21"/>
      <c r="B546" s="22" t="s">
        <v>124</v>
      </c>
      <c r="C546" s="21"/>
      <c r="D546" s="21"/>
    </row>
    <row r="547" spans="1:4" ht="13.5" customHeight="1" x14ac:dyDescent="0.25">
      <c r="A547" s="21"/>
      <c r="B547" s="22" t="s">
        <v>456</v>
      </c>
      <c r="C547" s="21"/>
      <c r="D547" s="21"/>
    </row>
    <row r="548" spans="1:4" ht="13.5" customHeight="1" x14ac:dyDescent="0.25">
      <c r="A548" s="21"/>
      <c r="B548" s="22" t="s">
        <v>457</v>
      </c>
      <c r="C548" s="21"/>
      <c r="D548" s="21"/>
    </row>
    <row r="549" spans="1:4" ht="13.5" customHeight="1" x14ac:dyDescent="0.25">
      <c r="A549" s="21"/>
      <c r="B549" s="22" t="s">
        <v>119</v>
      </c>
      <c r="C549" s="21"/>
      <c r="D549" s="21"/>
    </row>
    <row r="550" spans="1:4" ht="13.5" customHeight="1" x14ac:dyDescent="0.25">
      <c r="A550" s="21"/>
      <c r="B550" s="22"/>
      <c r="C550" s="21"/>
      <c r="D550" s="21"/>
    </row>
    <row r="551" spans="1:4" ht="13.5" customHeight="1" x14ac:dyDescent="0.25">
      <c r="A551" s="21"/>
      <c r="B551" s="22" t="s">
        <v>458</v>
      </c>
      <c r="C551" s="21"/>
      <c r="D551" s="21"/>
    </row>
    <row r="552" spans="1:4" ht="13.5" customHeight="1" x14ac:dyDescent="0.25">
      <c r="A552" s="21"/>
      <c r="B552" s="22" t="s">
        <v>459</v>
      </c>
      <c r="C552" s="21"/>
      <c r="D552" s="21"/>
    </row>
    <row r="553" spans="1:4" ht="13.5" customHeight="1" x14ac:dyDescent="0.25">
      <c r="A553" s="21"/>
      <c r="B553" s="22" t="s">
        <v>460</v>
      </c>
      <c r="C553" s="21"/>
      <c r="D553" s="21"/>
    </row>
    <row r="554" spans="1:4" ht="13.5" customHeight="1" x14ac:dyDescent="0.25">
      <c r="A554" s="21"/>
      <c r="B554" s="22" t="s">
        <v>461</v>
      </c>
      <c r="C554" s="21"/>
      <c r="D554" s="21"/>
    </row>
    <row r="555" spans="1:4" ht="13.5" customHeight="1" x14ac:dyDescent="0.25">
      <c r="A555" s="21"/>
      <c r="B555" s="22" t="s">
        <v>462</v>
      </c>
      <c r="C555" s="21"/>
      <c r="D555" s="21"/>
    </row>
    <row r="556" spans="1:4" ht="13.5" customHeight="1" x14ac:dyDescent="0.25">
      <c r="A556" s="21"/>
      <c r="B556" s="22" t="s">
        <v>463</v>
      </c>
      <c r="C556" s="21"/>
      <c r="D556" s="21"/>
    </row>
    <row r="557" spans="1:4" ht="13.5" customHeight="1" x14ac:dyDescent="0.25">
      <c r="A557" s="21"/>
      <c r="B557" s="22" t="s">
        <v>464</v>
      </c>
      <c r="C557" s="21"/>
      <c r="D557" s="21"/>
    </row>
    <row r="558" spans="1:4" ht="13.5" customHeight="1" x14ac:dyDescent="0.25">
      <c r="A558" s="21"/>
      <c r="B558" s="22" t="s">
        <v>124</v>
      </c>
      <c r="C558" s="21"/>
      <c r="D558" s="21"/>
    </row>
    <row r="559" spans="1:4" ht="13.5" customHeight="1" x14ac:dyDescent="0.25">
      <c r="A559" s="21"/>
      <c r="B559" s="22" t="s">
        <v>465</v>
      </c>
      <c r="C559" s="21"/>
      <c r="D559" s="21"/>
    </row>
    <row r="560" spans="1:4" ht="13.5" customHeight="1" x14ac:dyDescent="0.25">
      <c r="A560" s="21"/>
      <c r="B560" s="22"/>
      <c r="C560" s="21"/>
      <c r="D560" s="21"/>
    </row>
    <row r="561" spans="1:4" ht="13.5" customHeight="1" x14ac:dyDescent="0.25">
      <c r="A561" s="21"/>
      <c r="B561" s="22" t="s">
        <v>466</v>
      </c>
      <c r="C561" s="21"/>
      <c r="D561" s="21"/>
    </row>
    <row r="562" spans="1:4" ht="13.5" customHeight="1" x14ac:dyDescent="0.25">
      <c r="A562" s="21"/>
      <c r="B562" s="22" t="s">
        <v>467</v>
      </c>
      <c r="C562" s="21"/>
      <c r="D562" s="21"/>
    </row>
    <row r="563" spans="1:4" ht="13.5" customHeight="1" x14ac:dyDescent="0.25">
      <c r="A563" s="21"/>
      <c r="B563" s="22" t="s">
        <v>468</v>
      </c>
      <c r="C563" s="21"/>
      <c r="D563" s="21"/>
    </row>
    <row r="564" spans="1:4" ht="13.5" customHeight="1" x14ac:dyDescent="0.25">
      <c r="A564" s="21"/>
      <c r="B564" s="22" t="s">
        <v>469</v>
      </c>
      <c r="C564" s="21"/>
      <c r="D564" s="21"/>
    </row>
    <row r="565" spans="1:4" ht="13.5" customHeight="1" x14ac:dyDescent="0.25">
      <c r="A565" s="21"/>
      <c r="B565" s="22" t="s">
        <v>470</v>
      </c>
      <c r="C565" s="21"/>
      <c r="D565" s="21"/>
    </row>
    <row r="566" spans="1:4" ht="13.5" customHeight="1" x14ac:dyDescent="0.25">
      <c r="A566" s="21"/>
      <c r="B566" s="22" t="s">
        <v>471</v>
      </c>
      <c r="C566" s="21"/>
      <c r="D566" s="21"/>
    </row>
    <row r="567" spans="1:4" ht="13.5" customHeight="1" x14ac:dyDescent="0.25">
      <c r="A567" s="21"/>
      <c r="B567" s="22" t="s">
        <v>464</v>
      </c>
      <c r="C567" s="21"/>
      <c r="D567" s="21"/>
    </row>
    <row r="568" spans="1:4" ht="13.5" customHeight="1" x14ac:dyDescent="0.25">
      <c r="A568" s="21"/>
      <c r="B568" s="22" t="s">
        <v>124</v>
      </c>
      <c r="C568" s="21"/>
      <c r="D568" s="21"/>
    </row>
    <row r="569" spans="1:4" ht="13.5" customHeight="1" x14ac:dyDescent="0.25">
      <c r="A569" s="21"/>
      <c r="B569" s="22" t="s">
        <v>472</v>
      </c>
      <c r="C569" s="21"/>
      <c r="D569" s="21"/>
    </row>
    <row r="570" spans="1:4" ht="13.5" customHeight="1" x14ac:dyDescent="0.25">
      <c r="A570" s="21"/>
      <c r="B570" s="22" t="s">
        <v>473</v>
      </c>
      <c r="C570" s="21"/>
      <c r="D570" s="21"/>
    </row>
    <row r="571" spans="1:4" ht="13.5" customHeight="1" x14ac:dyDescent="0.25">
      <c r="A571" s="21"/>
      <c r="B571" s="22" t="s">
        <v>119</v>
      </c>
      <c r="C571" s="21"/>
      <c r="D571" s="21"/>
    </row>
    <row r="572" spans="1:4" ht="13.5" customHeight="1" x14ac:dyDescent="0.25">
      <c r="A572" s="21"/>
      <c r="B572" s="22"/>
      <c r="C572" s="21"/>
      <c r="D572" s="21"/>
    </row>
    <row r="573" spans="1:4" ht="13.5" customHeight="1" x14ac:dyDescent="0.25">
      <c r="A573" s="21"/>
      <c r="B573" s="22" t="s">
        <v>474</v>
      </c>
      <c r="C573" s="21"/>
      <c r="D573" s="21"/>
    </row>
    <row r="574" spans="1:4" ht="13.5" customHeight="1" x14ac:dyDescent="0.25">
      <c r="A574" s="21"/>
      <c r="B574" s="22" t="s">
        <v>475</v>
      </c>
      <c r="C574" s="21"/>
      <c r="D574" s="21"/>
    </row>
    <row r="575" spans="1:4" ht="13.5" customHeight="1" x14ac:dyDescent="0.25">
      <c r="A575" s="21"/>
      <c r="B575" s="22" t="s">
        <v>476</v>
      </c>
      <c r="C575" s="21"/>
      <c r="D575" s="21"/>
    </row>
    <row r="576" spans="1:4" ht="13.5" customHeight="1" x14ac:dyDescent="0.25">
      <c r="A576" s="21"/>
      <c r="B576" s="22" t="s">
        <v>477</v>
      </c>
      <c r="C576" s="21"/>
      <c r="D576" s="21"/>
    </row>
    <row r="577" spans="1:4" ht="13.5" customHeight="1" x14ac:dyDescent="0.25">
      <c r="A577" s="21"/>
      <c r="B577" s="22" t="s">
        <v>478</v>
      </c>
      <c r="C577" s="21"/>
      <c r="D577" s="21"/>
    </row>
    <row r="578" spans="1:4" ht="13.5" customHeight="1" x14ac:dyDescent="0.25">
      <c r="A578" s="21"/>
      <c r="B578" s="22" t="s">
        <v>479</v>
      </c>
      <c r="C578" s="21"/>
      <c r="D578" s="21"/>
    </row>
    <row r="579" spans="1:4" ht="13.5" customHeight="1" x14ac:dyDescent="0.25">
      <c r="A579" s="21"/>
      <c r="B579" s="22" t="s">
        <v>480</v>
      </c>
      <c r="C579" s="21"/>
      <c r="D579" s="21"/>
    </row>
    <row r="580" spans="1:4" ht="13.5" customHeight="1" x14ac:dyDescent="0.25">
      <c r="A580" s="21"/>
      <c r="B580" s="22" t="s">
        <v>481</v>
      </c>
      <c r="C580" s="21"/>
      <c r="D580" s="21"/>
    </row>
    <row r="581" spans="1:4" ht="13.5" customHeight="1" x14ac:dyDescent="0.25">
      <c r="A581" s="21"/>
      <c r="B581" s="22"/>
      <c r="C581" s="21"/>
      <c r="D581" s="21"/>
    </row>
    <row r="582" spans="1:4" ht="13.5" customHeight="1" x14ac:dyDescent="0.25">
      <c r="A582" s="21"/>
      <c r="B582" s="22" t="s">
        <v>482</v>
      </c>
      <c r="C582" s="21"/>
      <c r="D582" s="21"/>
    </row>
    <row r="583" spans="1:4" ht="13.5" customHeight="1" x14ac:dyDescent="0.25">
      <c r="A583" s="21"/>
      <c r="B583" s="22" t="s">
        <v>483</v>
      </c>
      <c r="C583" s="21"/>
      <c r="D583" s="21"/>
    </row>
    <row r="584" spans="1:4" ht="13.5" customHeight="1" x14ac:dyDescent="0.25">
      <c r="A584" s="21"/>
      <c r="B584" s="22" t="s">
        <v>484</v>
      </c>
      <c r="C584" s="21"/>
      <c r="D584" s="21"/>
    </row>
    <row r="585" spans="1:4" ht="13.5" customHeight="1" x14ac:dyDescent="0.25">
      <c r="A585" s="21"/>
      <c r="B585" s="22" t="s">
        <v>485</v>
      </c>
      <c r="C585" s="21"/>
      <c r="D585" s="21"/>
    </row>
    <row r="586" spans="1:4" ht="13.5" customHeight="1" x14ac:dyDescent="0.25">
      <c r="A586" s="21"/>
      <c r="B586" s="22" t="s">
        <v>486</v>
      </c>
      <c r="C586" s="21"/>
      <c r="D586" s="21"/>
    </row>
    <row r="587" spans="1:4" ht="13.5" customHeight="1" x14ac:dyDescent="0.25">
      <c r="A587" s="21"/>
      <c r="B587" s="22" t="s">
        <v>487</v>
      </c>
      <c r="C587" s="21"/>
      <c r="D587" s="21"/>
    </row>
    <row r="588" spans="1:4" ht="13.5" customHeight="1" x14ac:dyDescent="0.25">
      <c r="A588" s="21"/>
      <c r="B588" s="22" t="s">
        <v>484</v>
      </c>
      <c r="C588" s="21"/>
      <c r="D588" s="21"/>
    </row>
    <row r="589" spans="1:4" ht="13.5" customHeight="1" x14ac:dyDescent="0.25">
      <c r="A589" s="21"/>
      <c r="B589" s="22" t="s">
        <v>488</v>
      </c>
      <c r="C589" s="21"/>
      <c r="D589" s="21"/>
    </row>
    <row r="590" spans="1:4" ht="13.5" customHeight="1" x14ac:dyDescent="0.25">
      <c r="A590" s="21"/>
      <c r="B590" s="22" t="s">
        <v>489</v>
      </c>
      <c r="C590" s="21"/>
      <c r="D590" s="21"/>
    </row>
    <row r="591" spans="1:4" ht="13.5" customHeight="1" x14ac:dyDescent="0.25">
      <c r="A591" s="21"/>
      <c r="B591" s="22" t="s">
        <v>490</v>
      </c>
      <c r="C591" s="21"/>
      <c r="D591" s="21"/>
    </row>
    <row r="592" spans="1:4" ht="13.5" customHeight="1" x14ac:dyDescent="0.25">
      <c r="A592" s="21"/>
      <c r="B592" s="22" t="s">
        <v>491</v>
      </c>
      <c r="C592" s="21"/>
      <c r="D592" s="21"/>
    </row>
    <row r="593" spans="1:4" ht="13.5" customHeight="1" x14ac:dyDescent="0.25">
      <c r="A593" s="21"/>
      <c r="B593" s="22" t="s">
        <v>484</v>
      </c>
      <c r="C593" s="21"/>
      <c r="D593" s="21"/>
    </row>
    <row r="594" spans="1:4" ht="13.5" customHeight="1" x14ac:dyDescent="0.25">
      <c r="A594" s="21"/>
      <c r="B594" s="22" t="s">
        <v>492</v>
      </c>
      <c r="C594" s="21"/>
      <c r="D594" s="21"/>
    </row>
    <row r="595" spans="1:4" ht="13.5" customHeight="1" x14ac:dyDescent="0.25">
      <c r="A595" s="21"/>
      <c r="B595" s="22" t="s">
        <v>493</v>
      </c>
      <c r="C595" s="21"/>
      <c r="D595" s="21"/>
    </row>
    <row r="596" spans="1:4" ht="13.5" customHeight="1" x14ac:dyDescent="0.25">
      <c r="A596" s="21"/>
      <c r="B596" s="22" t="s">
        <v>494</v>
      </c>
      <c r="C596" s="21"/>
      <c r="D596" s="21"/>
    </row>
    <row r="597" spans="1:4" ht="13.5" customHeight="1" x14ac:dyDescent="0.25">
      <c r="A597" s="21"/>
      <c r="B597" s="22" t="s">
        <v>495</v>
      </c>
      <c r="C597" s="21"/>
      <c r="D597" s="21"/>
    </row>
    <row r="598" spans="1:4" ht="13.5" customHeight="1" x14ac:dyDescent="0.25">
      <c r="A598" s="21"/>
      <c r="B598" s="22" t="s">
        <v>481</v>
      </c>
      <c r="C598" s="21"/>
      <c r="D598" s="21"/>
    </row>
    <row r="599" spans="1:4" ht="13.5" customHeight="1" x14ac:dyDescent="0.25">
      <c r="A599" s="21"/>
      <c r="B599" s="22"/>
      <c r="C599" s="21"/>
      <c r="D599" s="21"/>
    </row>
    <row r="600" spans="1:4" ht="13.5" customHeight="1" x14ac:dyDescent="0.25">
      <c r="A600" s="21"/>
      <c r="B600" s="22" t="s">
        <v>496</v>
      </c>
      <c r="C600" s="21"/>
      <c r="D600" s="21"/>
    </row>
    <row r="601" spans="1:4" ht="13.5" customHeight="1" x14ac:dyDescent="0.25">
      <c r="A601" s="21"/>
      <c r="B601" s="22" t="s">
        <v>497</v>
      </c>
      <c r="C601" s="21"/>
      <c r="D601" s="21"/>
    </row>
    <row r="602" spans="1:4" ht="13.5" customHeight="1" x14ac:dyDescent="0.25">
      <c r="A602" s="21"/>
      <c r="B602" s="22" t="s">
        <v>498</v>
      </c>
      <c r="C602" s="21"/>
      <c r="D602" s="21"/>
    </row>
    <row r="603" spans="1:4" ht="13.5" customHeight="1" x14ac:dyDescent="0.25">
      <c r="A603" s="21"/>
      <c r="B603" s="22" t="s">
        <v>499</v>
      </c>
      <c r="C603" s="21"/>
      <c r="D603" s="21"/>
    </row>
    <row r="604" spans="1:4" ht="13.5" customHeight="1" x14ac:dyDescent="0.25">
      <c r="A604" s="21"/>
      <c r="B604" s="22" t="s">
        <v>500</v>
      </c>
      <c r="C604" s="21"/>
      <c r="D604" s="21"/>
    </row>
    <row r="605" spans="1:4" ht="13.5" customHeight="1" x14ac:dyDescent="0.25">
      <c r="A605" s="21"/>
      <c r="B605" s="22" t="s">
        <v>481</v>
      </c>
      <c r="C605" s="21"/>
      <c r="D605" s="21"/>
    </row>
    <row r="606" spans="1:4" ht="13.5" customHeight="1" x14ac:dyDescent="0.25">
      <c r="A606" s="21"/>
      <c r="B606" s="22"/>
      <c r="C606" s="21"/>
      <c r="D606" s="21"/>
    </row>
    <row r="607" spans="1:4" ht="13.5" customHeight="1" x14ac:dyDescent="0.25">
      <c r="A607" s="21"/>
      <c r="B607" s="22" t="s">
        <v>501</v>
      </c>
      <c r="C607" s="21"/>
      <c r="D607" s="21"/>
    </row>
    <row r="608" spans="1:4" ht="13.5" customHeight="1" x14ac:dyDescent="0.25">
      <c r="A608" s="21"/>
      <c r="B608" s="22" t="s">
        <v>502</v>
      </c>
      <c r="C608" s="21"/>
      <c r="D608" s="21"/>
    </row>
    <row r="609" spans="1:4" ht="13.5" customHeight="1" x14ac:dyDescent="0.25">
      <c r="A609" s="21"/>
      <c r="B609" s="22" t="s">
        <v>503</v>
      </c>
      <c r="C609" s="21"/>
      <c r="D609" s="21"/>
    </row>
    <row r="610" spans="1:4" ht="13.5" customHeight="1" x14ac:dyDescent="0.25">
      <c r="A610" s="21"/>
      <c r="B610" s="22" t="s">
        <v>504</v>
      </c>
      <c r="C610" s="21"/>
      <c r="D610" s="21"/>
    </row>
    <row r="611" spans="1:4" ht="13.5" customHeight="1" x14ac:dyDescent="0.25">
      <c r="A611" s="21"/>
      <c r="B611" s="22" t="s">
        <v>481</v>
      </c>
      <c r="C611" s="21"/>
      <c r="D611" s="21"/>
    </row>
    <row r="612" spans="1:4" ht="13.5" customHeight="1" x14ac:dyDescent="0.25">
      <c r="A612" s="21"/>
      <c r="B612" s="22"/>
      <c r="C612" s="21"/>
      <c r="D612" s="21"/>
    </row>
    <row r="613" spans="1:4" ht="13.5" customHeight="1" x14ac:dyDescent="0.25">
      <c r="A613" s="21"/>
      <c r="B613" s="22" t="s">
        <v>505</v>
      </c>
      <c r="C613" s="21"/>
      <c r="D613" s="21"/>
    </row>
    <row r="614" spans="1:4" ht="13.5" customHeight="1" x14ac:dyDescent="0.25">
      <c r="A614" s="21"/>
      <c r="B614" s="22" t="s">
        <v>506</v>
      </c>
      <c r="C614" s="21"/>
      <c r="D614" s="21"/>
    </row>
    <row r="615" spans="1:4" ht="13.5" customHeight="1" x14ac:dyDescent="0.25">
      <c r="A615" s="21"/>
      <c r="B615" s="22" t="s">
        <v>507</v>
      </c>
      <c r="C615" s="21"/>
      <c r="D615" s="21"/>
    </row>
    <row r="616" spans="1:4" ht="13.5" customHeight="1" x14ac:dyDescent="0.25">
      <c r="A616" s="21"/>
      <c r="B616" s="22" t="s">
        <v>508</v>
      </c>
      <c r="C616" s="21"/>
      <c r="D616" s="21"/>
    </row>
    <row r="617" spans="1:4" ht="13.5" customHeight="1" x14ac:dyDescent="0.25">
      <c r="A617" s="21"/>
      <c r="B617" s="22" t="s">
        <v>481</v>
      </c>
      <c r="C617" s="21"/>
      <c r="D617" s="21"/>
    </row>
    <row r="618" spans="1:4" ht="13.5" customHeight="1" x14ac:dyDescent="0.25">
      <c r="A618" s="21"/>
      <c r="B618" s="22"/>
      <c r="C618" s="21"/>
      <c r="D618" s="21"/>
    </row>
    <row r="619" spans="1:4" ht="13.5" customHeight="1" x14ac:dyDescent="0.25">
      <c r="A619" s="21"/>
      <c r="B619" s="22" t="s">
        <v>509</v>
      </c>
      <c r="C619" s="21"/>
      <c r="D619" s="21"/>
    </row>
    <row r="620" spans="1:4" ht="13.5" customHeight="1" x14ac:dyDescent="0.25">
      <c r="A620" s="21"/>
      <c r="B620" s="22" t="s">
        <v>510</v>
      </c>
      <c r="C620" s="21"/>
      <c r="D620" s="21"/>
    </row>
    <row r="621" spans="1:4" ht="13.5" customHeight="1" x14ac:dyDescent="0.25">
      <c r="A621" s="21"/>
      <c r="B621" s="22" t="s">
        <v>511</v>
      </c>
      <c r="C621" s="21"/>
      <c r="D621" s="21"/>
    </row>
    <row r="622" spans="1:4" ht="13.5" customHeight="1" x14ac:dyDescent="0.25">
      <c r="A622" s="21"/>
      <c r="B622" s="22" t="s">
        <v>512</v>
      </c>
      <c r="C622" s="21"/>
      <c r="D622" s="21"/>
    </row>
    <row r="623" spans="1:4" ht="13.5" customHeight="1" x14ac:dyDescent="0.25">
      <c r="A623" s="21"/>
      <c r="B623" s="22" t="s">
        <v>513</v>
      </c>
      <c r="C623" s="21"/>
      <c r="D623" s="21"/>
    </row>
    <row r="624" spans="1:4" ht="13.5" customHeight="1" x14ac:dyDescent="0.25">
      <c r="A624" s="21"/>
      <c r="B624" s="22" t="s">
        <v>481</v>
      </c>
      <c r="C624" s="21"/>
      <c r="D624" s="21"/>
    </row>
    <row r="625" spans="1:4" ht="13.5" customHeight="1" x14ac:dyDescent="0.25">
      <c r="A625" s="21"/>
      <c r="B625" s="22"/>
      <c r="C625" s="21"/>
      <c r="D625" s="21"/>
    </row>
    <row r="626" spans="1:4" ht="13.5" customHeight="1" x14ac:dyDescent="0.25">
      <c r="A626" s="21"/>
      <c r="B626" s="22" t="s">
        <v>514</v>
      </c>
      <c r="C626" s="21"/>
      <c r="D626" s="21"/>
    </row>
    <row r="627" spans="1:4" ht="13.5" customHeight="1" x14ac:dyDescent="0.25">
      <c r="A627" s="21"/>
      <c r="B627" s="22" t="s">
        <v>515</v>
      </c>
      <c r="C627" s="21"/>
      <c r="D627" s="21"/>
    </row>
    <row r="628" spans="1:4" ht="13.5" customHeight="1" x14ac:dyDescent="0.25">
      <c r="A628" s="21"/>
      <c r="B628" s="22" t="s">
        <v>516</v>
      </c>
      <c r="C628" s="21"/>
      <c r="D628" s="21"/>
    </row>
    <row r="629" spans="1:4" ht="13.5" customHeight="1" x14ac:dyDescent="0.25">
      <c r="A629" s="21"/>
      <c r="B629" s="22" t="s">
        <v>517</v>
      </c>
      <c r="C629" s="21"/>
      <c r="D629" s="21"/>
    </row>
    <row r="630" spans="1:4" ht="13.5" customHeight="1" x14ac:dyDescent="0.25">
      <c r="A630" s="21"/>
      <c r="B630" s="22" t="s">
        <v>518</v>
      </c>
      <c r="C630" s="21"/>
      <c r="D630" s="21"/>
    </row>
    <row r="631" spans="1:4" ht="13.5" customHeight="1" x14ac:dyDescent="0.25">
      <c r="A631" s="21"/>
      <c r="B631" s="22" t="s">
        <v>519</v>
      </c>
      <c r="C631" s="21"/>
      <c r="D631" s="21"/>
    </row>
    <row r="632" spans="1:4" ht="13.5" customHeight="1" x14ac:dyDescent="0.25">
      <c r="A632" s="21"/>
      <c r="B632" s="22" t="s">
        <v>520</v>
      </c>
      <c r="C632" s="21"/>
      <c r="D632" s="21"/>
    </row>
    <row r="633" spans="1:4" ht="13.5" customHeight="1" x14ac:dyDescent="0.25">
      <c r="A633" s="21"/>
      <c r="B633" s="22" t="s">
        <v>481</v>
      </c>
      <c r="C633" s="21"/>
      <c r="D633" s="21"/>
    </row>
    <row r="634" spans="1:4" ht="13.5" customHeight="1" x14ac:dyDescent="0.25">
      <c r="A634" s="21"/>
      <c r="B634" s="22"/>
      <c r="C634" s="21"/>
      <c r="D634" s="21"/>
    </row>
    <row r="635" spans="1:4" ht="13.5" customHeight="1" x14ac:dyDescent="0.25">
      <c r="A635" s="21"/>
      <c r="B635" s="22" t="s">
        <v>521</v>
      </c>
      <c r="C635" s="21"/>
      <c r="D635" s="21"/>
    </row>
    <row r="636" spans="1:4" ht="13.5" customHeight="1" x14ac:dyDescent="0.25">
      <c r="A636" s="21"/>
      <c r="B636" s="22" t="s">
        <v>522</v>
      </c>
      <c r="C636" s="21"/>
      <c r="D636" s="21"/>
    </row>
    <row r="637" spans="1:4" ht="13.5" customHeight="1" x14ac:dyDescent="0.25">
      <c r="A637" s="21"/>
      <c r="B637" s="22" t="s">
        <v>484</v>
      </c>
      <c r="C637" s="21"/>
      <c r="D637" s="21"/>
    </row>
    <row r="638" spans="1:4" ht="13.5" customHeight="1" x14ac:dyDescent="0.25">
      <c r="A638" s="21"/>
      <c r="B638" s="22" t="s">
        <v>523</v>
      </c>
      <c r="C638" s="21"/>
      <c r="D638" s="21"/>
    </row>
    <row r="639" spans="1:4" ht="13.5" customHeight="1" x14ac:dyDescent="0.25">
      <c r="A639" s="21"/>
      <c r="B639" s="22" t="s">
        <v>524</v>
      </c>
      <c r="C639" s="21"/>
      <c r="D639" s="21"/>
    </row>
    <row r="640" spans="1:4" ht="13.5" customHeight="1" x14ac:dyDescent="0.25">
      <c r="A640" s="21"/>
      <c r="B640" s="22" t="s">
        <v>484</v>
      </c>
      <c r="C640" s="21"/>
      <c r="D640" s="21"/>
    </row>
    <row r="641" spans="1:4" ht="13.5" customHeight="1" x14ac:dyDescent="0.25">
      <c r="A641" s="21"/>
      <c r="B641" s="22" t="s">
        <v>525</v>
      </c>
      <c r="C641" s="21"/>
      <c r="D641" s="21"/>
    </row>
    <row r="642" spans="1:4" ht="13.5" customHeight="1" x14ac:dyDescent="0.25">
      <c r="A642" s="21"/>
      <c r="B642" s="22" t="s">
        <v>526</v>
      </c>
      <c r="C642" s="21"/>
      <c r="D642" s="21"/>
    </row>
    <row r="643" spans="1:4" ht="13.5" customHeight="1" x14ac:dyDescent="0.25">
      <c r="A643" s="21"/>
      <c r="B643" s="22" t="s">
        <v>484</v>
      </c>
      <c r="C643" s="21"/>
      <c r="D643" s="21"/>
    </row>
    <row r="644" spans="1:4" ht="13.5" customHeight="1" x14ac:dyDescent="0.25">
      <c r="A644" s="21"/>
      <c r="B644" s="22" t="s">
        <v>527</v>
      </c>
      <c r="C644" s="21"/>
      <c r="D644" s="21"/>
    </row>
    <row r="645" spans="1:4" ht="13.5" customHeight="1" x14ac:dyDescent="0.25">
      <c r="A645" s="21"/>
      <c r="B645" s="22" t="s">
        <v>528</v>
      </c>
      <c r="C645" s="21"/>
      <c r="D645" s="21"/>
    </row>
    <row r="646" spans="1:4" ht="13.5" customHeight="1" x14ac:dyDescent="0.25">
      <c r="A646" s="21"/>
      <c r="B646" s="22" t="s">
        <v>529</v>
      </c>
      <c r="C646" s="21"/>
      <c r="D646" s="21"/>
    </row>
    <row r="647" spans="1:4" ht="13.5" customHeight="1" x14ac:dyDescent="0.25">
      <c r="A647" s="21"/>
      <c r="B647" s="22" t="s">
        <v>484</v>
      </c>
      <c r="C647" s="21"/>
      <c r="D647" s="21"/>
    </row>
    <row r="648" spans="1:4" ht="13.5" customHeight="1" x14ac:dyDescent="0.25">
      <c r="A648" s="21"/>
      <c r="B648" s="22" t="s">
        <v>530</v>
      </c>
      <c r="C648" s="21"/>
      <c r="D648" s="21"/>
    </row>
    <row r="649" spans="1:4" ht="13.5" customHeight="1" x14ac:dyDescent="0.25">
      <c r="A649" s="21"/>
      <c r="B649" s="22" t="s">
        <v>531</v>
      </c>
      <c r="C649" s="21"/>
      <c r="D649" s="21"/>
    </row>
    <row r="650" spans="1:4" ht="13.5" customHeight="1" x14ac:dyDescent="0.25">
      <c r="A650" s="21"/>
      <c r="B650" s="22" t="s">
        <v>484</v>
      </c>
      <c r="C650" s="21"/>
      <c r="D650" s="21"/>
    </row>
    <row r="651" spans="1:4" ht="13.5" customHeight="1" x14ac:dyDescent="0.25">
      <c r="A651" s="21"/>
      <c r="B651" s="22" t="s">
        <v>492</v>
      </c>
      <c r="C651" s="21"/>
      <c r="D651" s="21"/>
    </row>
    <row r="652" spans="1:4" ht="13.5" customHeight="1" x14ac:dyDescent="0.25">
      <c r="A652" s="21"/>
      <c r="B652" s="22" t="s">
        <v>532</v>
      </c>
      <c r="C652" s="21"/>
      <c r="D652" s="21"/>
    </row>
    <row r="653" spans="1:4" ht="13.5" customHeight="1" x14ac:dyDescent="0.25">
      <c r="A653" s="21"/>
      <c r="B653" s="22" t="s">
        <v>533</v>
      </c>
      <c r="C653" s="21"/>
      <c r="D653" s="21"/>
    </row>
    <row r="654" spans="1:4" ht="13.5" customHeight="1" x14ac:dyDescent="0.25">
      <c r="A654" s="21"/>
      <c r="B654" s="22" t="s">
        <v>534</v>
      </c>
      <c r="C654" s="21"/>
      <c r="D654" s="21"/>
    </row>
    <row r="655" spans="1:4" ht="13.5" customHeight="1" x14ac:dyDescent="0.25">
      <c r="A655" s="21"/>
      <c r="B655" s="22" t="s">
        <v>535</v>
      </c>
      <c r="C655" s="21"/>
      <c r="D655" s="21"/>
    </row>
    <row r="656" spans="1:4" ht="13.5" customHeight="1" x14ac:dyDescent="0.25">
      <c r="A656" s="21"/>
      <c r="B656" s="22" t="s">
        <v>536</v>
      </c>
      <c r="C656" s="21"/>
      <c r="D656" s="21"/>
    </row>
    <row r="657" spans="1:4" ht="13.5" customHeight="1" x14ac:dyDescent="0.25">
      <c r="A657" s="21"/>
      <c r="B657" s="22" t="s">
        <v>356</v>
      </c>
      <c r="C657" s="21"/>
      <c r="D657" s="21"/>
    </row>
    <row r="658" spans="1:4" ht="13.5" customHeight="1" x14ac:dyDescent="0.25">
      <c r="A658" s="21"/>
      <c r="B658" s="22"/>
      <c r="C658" s="21"/>
      <c r="D658" s="21"/>
    </row>
    <row r="659" spans="1:4" ht="13.5" customHeight="1" x14ac:dyDescent="0.25">
      <c r="A659" s="21"/>
      <c r="B659" s="22" t="s">
        <v>537</v>
      </c>
      <c r="C659" s="21"/>
      <c r="D659" s="21"/>
    </row>
    <row r="660" spans="1:4" ht="13.5" customHeight="1" x14ac:dyDescent="0.25">
      <c r="A660" s="21"/>
      <c r="B660" s="22" t="s">
        <v>538</v>
      </c>
      <c r="C660" s="21"/>
      <c r="D660" s="21"/>
    </row>
    <row r="661" spans="1:4" ht="13.5" customHeight="1" x14ac:dyDescent="0.25">
      <c r="A661" s="21"/>
      <c r="B661" s="22" t="s">
        <v>539</v>
      </c>
      <c r="C661" s="21"/>
      <c r="D661" s="21"/>
    </row>
    <row r="662" spans="1:4" ht="13.5" customHeight="1" x14ac:dyDescent="0.25">
      <c r="A662" s="21"/>
      <c r="B662" s="22" t="s">
        <v>540</v>
      </c>
      <c r="C662" s="21"/>
      <c r="D662" s="21"/>
    </row>
    <row r="663" spans="1:4" ht="13.5" customHeight="1" x14ac:dyDescent="0.25">
      <c r="A663" s="21"/>
      <c r="B663" s="22" t="s">
        <v>541</v>
      </c>
      <c r="C663" s="21"/>
      <c r="D663" s="21"/>
    </row>
    <row r="664" spans="1:4" ht="13.5" customHeight="1" x14ac:dyDescent="0.25">
      <c r="A664" s="21"/>
      <c r="B664" s="22" t="s">
        <v>542</v>
      </c>
      <c r="C664" s="21"/>
      <c r="D664" s="21"/>
    </row>
    <row r="665" spans="1:4" ht="13.5" customHeight="1" x14ac:dyDescent="0.25">
      <c r="A665" s="21"/>
      <c r="B665" s="22" t="s">
        <v>543</v>
      </c>
      <c r="C665" s="21"/>
      <c r="D665" s="21"/>
    </row>
    <row r="666" spans="1:4" ht="13.5" customHeight="1" x14ac:dyDescent="0.25">
      <c r="A666" s="21"/>
      <c r="B666" s="22" t="s">
        <v>544</v>
      </c>
      <c r="C666" s="21"/>
      <c r="D666" s="21"/>
    </row>
    <row r="667" spans="1:4" ht="13.5" customHeight="1" x14ac:dyDescent="0.25">
      <c r="A667" s="21"/>
      <c r="B667" s="22" t="s">
        <v>545</v>
      </c>
      <c r="C667" s="21"/>
      <c r="D667" s="21"/>
    </row>
    <row r="668" spans="1:4" ht="13.5" customHeight="1" x14ac:dyDescent="0.25">
      <c r="A668" s="21"/>
      <c r="B668" s="22" t="s">
        <v>546</v>
      </c>
      <c r="C668" s="21"/>
      <c r="D668" s="21"/>
    </row>
    <row r="669" spans="1:4" ht="13.5" customHeight="1" x14ac:dyDescent="0.25">
      <c r="A669" s="21"/>
      <c r="B669" s="22" t="s">
        <v>547</v>
      </c>
      <c r="C669" s="21"/>
      <c r="D669" s="21"/>
    </row>
    <row r="670" spans="1:4" ht="13.5" customHeight="1" x14ac:dyDescent="0.25">
      <c r="A670" s="21"/>
      <c r="B670" s="22" t="s">
        <v>548</v>
      </c>
      <c r="C670" s="21"/>
      <c r="D670" s="21"/>
    </row>
    <row r="671" spans="1:4" ht="13.5" customHeight="1" x14ac:dyDescent="0.25">
      <c r="A671" s="21"/>
      <c r="B671" s="22" t="s">
        <v>549</v>
      </c>
      <c r="C671" s="21"/>
      <c r="D671" s="21"/>
    </row>
    <row r="672" spans="1:4" ht="13.5" customHeight="1" x14ac:dyDescent="0.25">
      <c r="A672" s="21"/>
      <c r="B672" s="22" t="s">
        <v>550</v>
      </c>
      <c r="C672" s="21"/>
      <c r="D672" s="21"/>
    </row>
    <row r="673" spans="1:4" ht="13.5" customHeight="1" x14ac:dyDescent="0.25">
      <c r="A673" s="21"/>
      <c r="B673" s="22" t="s">
        <v>551</v>
      </c>
      <c r="C673" s="21"/>
      <c r="D673" s="21"/>
    </row>
    <row r="674" spans="1:4" ht="13.5" customHeight="1" x14ac:dyDescent="0.25">
      <c r="A674" s="21"/>
      <c r="B674" s="22" t="s">
        <v>552</v>
      </c>
      <c r="C674" s="21"/>
      <c r="D674" s="21"/>
    </row>
    <row r="675" spans="1:4" ht="13.5" customHeight="1" x14ac:dyDescent="0.25">
      <c r="A675" s="21"/>
      <c r="B675" s="22" t="s">
        <v>553</v>
      </c>
      <c r="C675" s="21"/>
      <c r="D675" s="21"/>
    </row>
    <row r="676" spans="1:4" ht="13.5" customHeight="1" x14ac:dyDescent="0.25">
      <c r="A676" s="21"/>
      <c r="B676" s="22" t="s">
        <v>554</v>
      </c>
      <c r="C676" s="21"/>
      <c r="D676" s="21"/>
    </row>
    <row r="677" spans="1:4" ht="13.5" customHeight="1" x14ac:dyDescent="0.25">
      <c r="A677" s="21"/>
      <c r="B677" s="22" t="s">
        <v>555</v>
      </c>
      <c r="C677" s="21"/>
      <c r="D677" s="21"/>
    </row>
    <row r="678" spans="1:4" ht="13.5" customHeight="1" x14ac:dyDescent="0.25">
      <c r="A678" s="21"/>
      <c r="B678" s="22" t="s">
        <v>556</v>
      </c>
      <c r="C678" s="21"/>
      <c r="D678" s="21"/>
    </row>
    <row r="679" spans="1:4" ht="13.5" customHeight="1" x14ac:dyDescent="0.25">
      <c r="A679" s="21"/>
      <c r="B679" s="22" t="s">
        <v>557</v>
      </c>
      <c r="C679" s="21"/>
      <c r="D679" s="21"/>
    </row>
    <row r="680" spans="1:4" ht="13.5" customHeight="1" x14ac:dyDescent="0.25">
      <c r="A680" s="21"/>
      <c r="B680" s="22" t="s">
        <v>558</v>
      </c>
      <c r="C680" s="21"/>
      <c r="D680" s="21"/>
    </row>
    <row r="681" spans="1:4" ht="13.5" customHeight="1" x14ac:dyDescent="0.25">
      <c r="A681" s="21"/>
      <c r="B681" s="22" t="s">
        <v>559</v>
      </c>
      <c r="C681" s="21"/>
      <c r="D681" s="21"/>
    </row>
    <row r="682" spans="1:4" ht="13.5" customHeight="1" x14ac:dyDescent="0.25">
      <c r="A682" s="21"/>
      <c r="B682" s="22" t="s">
        <v>560</v>
      </c>
      <c r="C682" s="21"/>
      <c r="D682" s="21"/>
    </row>
    <row r="683" spans="1:4" ht="13.5" customHeight="1" x14ac:dyDescent="0.25">
      <c r="A683" s="21"/>
      <c r="B683" s="22" t="s">
        <v>561</v>
      </c>
      <c r="C683" s="21"/>
      <c r="D683" s="21"/>
    </row>
    <row r="684" spans="1:4" ht="13.5" customHeight="1" x14ac:dyDescent="0.25">
      <c r="A684" s="21"/>
      <c r="B684" s="22" t="s">
        <v>134</v>
      </c>
      <c r="C684" s="21"/>
      <c r="D684" s="21"/>
    </row>
    <row r="685" spans="1:4" ht="13.5" customHeight="1" x14ac:dyDescent="0.25">
      <c r="A685" s="21"/>
      <c r="B685" s="22" t="s">
        <v>94</v>
      </c>
      <c r="C685" s="21"/>
      <c r="D685" s="21"/>
    </row>
    <row r="686" spans="1:4" ht="13.5" customHeight="1" x14ac:dyDescent="0.25">
      <c r="A686" s="21"/>
      <c r="B686" s="22" t="s">
        <v>562</v>
      </c>
      <c r="C686" s="21"/>
      <c r="D686" s="21"/>
    </row>
    <row r="687" spans="1:4" ht="9.75" customHeight="1" x14ac:dyDescent="0.25">
      <c r="A687" s="12"/>
      <c r="B687" s="12"/>
      <c r="C687" s="12"/>
      <c r="D687" s="12"/>
    </row>
    <row r="688" spans="1:4" ht="21.75" customHeight="1" x14ac:dyDescent="0.25">
      <c r="A688" s="29"/>
      <c r="B688" s="238" t="s">
        <v>563</v>
      </c>
      <c r="C688" s="238"/>
      <c r="D688" s="29"/>
    </row>
    <row r="689" spans="1:4" ht="6" customHeight="1" x14ac:dyDescent="0.25">
      <c r="A689" s="16"/>
      <c r="B689" s="16"/>
      <c r="C689" s="16"/>
      <c r="D689" s="16"/>
    </row>
    <row r="690" spans="1:4" ht="21.75" customHeight="1" x14ac:dyDescent="0.25">
      <c r="A690" s="17"/>
      <c r="B690" s="230" t="s">
        <v>564</v>
      </c>
      <c r="C690" s="230"/>
      <c r="D690" s="17"/>
    </row>
    <row r="691" spans="1:4" ht="16.5" customHeight="1" x14ac:dyDescent="0.25">
      <c r="A691" s="5"/>
      <c r="B691" s="231" t="s">
        <v>565</v>
      </c>
      <c r="C691" s="231"/>
      <c r="D691" s="5"/>
    </row>
    <row r="692" spans="1:4" ht="15" customHeight="1" x14ac:dyDescent="0.25">
      <c r="A692" s="18"/>
      <c r="B692" s="232" t="s">
        <v>566</v>
      </c>
      <c r="C692" s="232"/>
      <c r="D692" s="18"/>
    </row>
    <row r="693" spans="1:4" ht="13.5" customHeight="1" x14ac:dyDescent="0.25">
      <c r="A693" s="19"/>
      <c r="B693" s="20" t="s">
        <v>567</v>
      </c>
      <c r="C693" s="19"/>
      <c r="D693" s="19"/>
    </row>
    <row r="694" spans="1:4" ht="13.5" customHeight="1" x14ac:dyDescent="0.25">
      <c r="A694" s="21"/>
      <c r="B694" s="22" t="s">
        <v>568</v>
      </c>
      <c r="C694" s="21"/>
      <c r="D694" s="21"/>
    </row>
    <row r="695" spans="1:4" ht="13.5" customHeight="1" x14ac:dyDescent="0.25">
      <c r="A695" s="21"/>
      <c r="B695" s="22" t="s">
        <v>569</v>
      </c>
      <c r="C695" s="21"/>
      <c r="D695" s="21"/>
    </row>
    <row r="696" spans="1:4" ht="13.5" customHeight="1" x14ac:dyDescent="0.25">
      <c r="A696" s="21"/>
      <c r="B696" s="22" t="s">
        <v>570</v>
      </c>
      <c r="C696" s="21"/>
      <c r="D696" s="21"/>
    </row>
    <row r="697" spans="1:4" ht="13.5" customHeight="1" x14ac:dyDescent="0.25">
      <c r="A697" s="21"/>
      <c r="B697" s="22" t="s">
        <v>105</v>
      </c>
      <c r="C697" s="21"/>
      <c r="D697" s="21"/>
    </row>
    <row r="698" spans="1:4" ht="13.5" customHeight="1" x14ac:dyDescent="0.25">
      <c r="A698" s="21"/>
      <c r="B698" s="22" t="s">
        <v>80</v>
      </c>
      <c r="C698" s="21"/>
      <c r="D698" s="21"/>
    </row>
    <row r="699" spans="1:4" ht="13.5" customHeight="1" x14ac:dyDescent="0.25">
      <c r="A699" s="21"/>
      <c r="B699" s="22" t="s">
        <v>571</v>
      </c>
      <c r="C699" s="21"/>
      <c r="D699" s="21"/>
    </row>
    <row r="700" spans="1:4" ht="13.5" customHeight="1" x14ac:dyDescent="0.25">
      <c r="A700" s="21"/>
      <c r="B700" s="22" t="s">
        <v>572</v>
      </c>
      <c r="C700" s="21"/>
      <c r="D700" s="21"/>
    </row>
    <row r="701" spans="1:4" ht="13.5" customHeight="1" x14ac:dyDescent="0.25">
      <c r="A701" s="21"/>
      <c r="B701" s="22"/>
      <c r="C701" s="21"/>
      <c r="D701" s="21"/>
    </row>
    <row r="702" spans="1:4" ht="13.5" customHeight="1" x14ac:dyDescent="0.25">
      <c r="A702" s="21"/>
      <c r="B702" s="22" t="s">
        <v>573</v>
      </c>
      <c r="C702" s="21"/>
      <c r="D702" s="21"/>
    </row>
    <row r="703" spans="1:4" ht="13.5" customHeight="1" x14ac:dyDescent="0.25">
      <c r="A703" s="21"/>
      <c r="B703" s="22" t="s">
        <v>574</v>
      </c>
      <c r="C703" s="21"/>
      <c r="D703" s="21"/>
    </row>
    <row r="704" spans="1:4" ht="13.5" customHeight="1" x14ac:dyDescent="0.25">
      <c r="A704" s="21"/>
      <c r="B704" s="22" t="s">
        <v>575</v>
      </c>
      <c r="C704" s="21"/>
      <c r="D704" s="21"/>
    </row>
    <row r="705" spans="1:4" ht="13.5" customHeight="1" x14ac:dyDescent="0.25">
      <c r="A705" s="21"/>
      <c r="B705" s="22"/>
      <c r="C705" s="21"/>
      <c r="D705" s="21"/>
    </row>
    <row r="706" spans="1:4" ht="13.5" customHeight="1" x14ac:dyDescent="0.25">
      <c r="A706" s="21"/>
      <c r="B706" s="22" t="s">
        <v>576</v>
      </c>
      <c r="C706" s="21"/>
      <c r="D706" s="21"/>
    </row>
    <row r="707" spans="1:4" ht="13.5" customHeight="1" x14ac:dyDescent="0.25">
      <c r="A707" s="21"/>
      <c r="B707" s="22" t="s">
        <v>577</v>
      </c>
      <c r="C707" s="21"/>
      <c r="D707" s="21"/>
    </row>
    <row r="708" spans="1:4" ht="13.5" customHeight="1" x14ac:dyDescent="0.25">
      <c r="A708" s="21"/>
      <c r="B708" s="22"/>
      <c r="C708" s="21"/>
      <c r="D708" s="21"/>
    </row>
    <row r="709" spans="1:4" ht="13.5" customHeight="1" x14ac:dyDescent="0.25">
      <c r="A709" s="21"/>
      <c r="B709" s="22" t="s">
        <v>578</v>
      </c>
      <c r="C709" s="21"/>
      <c r="D709" s="21"/>
    </row>
    <row r="710" spans="1:4" ht="13.5" customHeight="1" x14ac:dyDescent="0.25">
      <c r="A710" s="21"/>
      <c r="B710" s="22" t="s">
        <v>579</v>
      </c>
      <c r="C710" s="21"/>
      <c r="D710" s="21"/>
    </row>
    <row r="711" spans="1:4" ht="13.5" customHeight="1" x14ac:dyDescent="0.25">
      <c r="A711" s="21"/>
      <c r="B711" s="22"/>
      <c r="C711" s="21"/>
      <c r="D711" s="21"/>
    </row>
    <row r="712" spans="1:4" ht="13.5" customHeight="1" x14ac:dyDescent="0.25">
      <c r="A712" s="21"/>
      <c r="B712" s="22" t="s">
        <v>580</v>
      </c>
      <c r="C712" s="21"/>
      <c r="D712" s="21"/>
    </row>
    <row r="713" spans="1:4" ht="13.5" customHeight="1" x14ac:dyDescent="0.25">
      <c r="A713" s="21"/>
      <c r="B713" s="22" t="s">
        <v>581</v>
      </c>
      <c r="C713" s="21"/>
      <c r="D713" s="21"/>
    </row>
    <row r="714" spans="1:4" ht="13.5" customHeight="1" x14ac:dyDescent="0.25">
      <c r="A714" s="21"/>
      <c r="B714" s="22"/>
      <c r="C714" s="21"/>
      <c r="D714" s="21"/>
    </row>
    <row r="715" spans="1:4" ht="13.5" customHeight="1" x14ac:dyDescent="0.25">
      <c r="A715" s="21"/>
      <c r="B715" s="22" t="s">
        <v>582</v>
      </c>
      <c r="C715" s="21"/>
      <c r="D715" s="21"/>
    </row>
    <row r="716" spans="1:4" ht="13.5" customHeight="1" x14ac:dyDescent="0.25">
      <c r="A716" s="21"/>
      <c r="B716" s="22" t="s">
        <v>583</v>
      </c>
      <c r="C716" s="21"/>
      <c r="D716" s="21"/>
    </row>
    <row r="717" spans="1:4" ht="13.5" customHeight="1" x14ac:dyDescent="0.25">
      <c r="A717" s="21"/>
      <c r="B717" s="22" t="s">
        <v>584</v>
      </c>
      <c r="C717" s="21"/>
      <c r="D717" s="21"/>
    </row>
    <row r="718" spans="1:4" ht="13.5" customHeight="1" x14ac:dyDescent="0.25">
      <c r="A718" s="21"/>
      <c r="B718" s="22" t="s">
        <v>585</v>
      </c>
      <c r="C718" s="21"/>
      <c r="D718" s="21"/>
    </row>
    <row r="719" spans="1:4" ht="13.5" customHeight="1" x14ac:dyDescent="0.25">
      <c r="A719" s="21"/>
      <c r="B719" s="22" t="s">
        <v>462</v>
      </c>
      <c r="C719" s="21"/>
      <c r="D719" s="21"/>
    </row>
    <row r="720" spans="1:4" ht="13.5" customHeight="1" x14ac:dyDescent="0.25">
      <c r="A720" s="21"/>
      <c r="B720" s="22" t="s">
        <v>586</v>
      </c>
      <c r="C720" s="21"/>
      <c r="D720" s="21"/>
    </row>
    <row r="721" spans="1:4" ht="13.5" customHeight="1" x14ac:dyDescent="0.25">
      <c r="A721" s="21"/>
      <c r="B721" s="22" t="s">
        <v>124</v>
      </c>
      <c r="C721" s="21"/>
      <c r="D721" s="21"/>
    </row>
    <row r="722" spans="1:4" ht="13.5" customHeight="1" x14ac:dyDescent="0.25">
      <c r="A722" s="21"/>
      <c r="B722" s="22" t="s">
        <v>587</v>
      </c>
      <c r="C722" s="21"/>
      <c r="D722" s="21"/>
    </row>
    <row r="723" spans="1:4" ht="13.5" customHeight="1" x14ac:dyDescent="0.25">
      <c r="A723" s="21"/>
      <c r="B723" s="22"/>
      <c r="C723" s="21"/>
      <c r="D723" s="21"/>
    </row>
    <row r="724" spans="1:4" ht="13.5" customHeight="1" x14ac:dyDescent="0.25">
      <c r="A724" s="21"/>
      <c r="B724" s="22" t="s">
        <v>588</v>
      </c>
      <c r="C724" s="21"/>
      <c r="D724" s="21"/>
    </row>
    <row r="725" spans="1:4" ht="13.5" customHeight="1" x14ac:dyDescent="0.25">
      <c r="A725" s="21"/>
      <c r="B725" s="22" t="s">
        <v>589</v>
      </c>
      <c r="C725" s="21"/>
      <c r="D725" s="21"/>
    </row>
    <row r="726" spans="1:4" ht="13.5" customHeight="1" x14ac:dyDescent="0.25">
      <c r="A726" s="21"/>
      <c r="B726" s="22" t="s">
        <v>590</v>
      </c>
      <c r="C726" s="21"/>
      <c r="D726" s="21"/>
    </row>
    <row r="727" spans="1:4" ht="13.5" customHeight="1" x14ac:dyDescent="0.25">
      <c r="A727" s="21"/>
      <c r="B727" s="22" t="s">
        <v>591</v>
      </c>
      <c r="C727" s="21"/>
      <c r="D727" s="21"/>
    </row>
    <row r="728" spans="1:4" ht="13.5" customHeight="1" x14ac:dyDescent="0.25">
      <c r="A728" s="21"/>
      <c r="B728" s="22" t="s">
        <v>592</v>
      </c>
      <c r="C728" s="21"/>
      <c r="D728" s="21"/>
    </row>
    <row r="729" spans="1:4" ht="13.5" customHeight="1" x14ac:dyDescent="0.25">
      <c r="A729" s="21"/>
      <c r="B729" s="22" t="s">
        <v>593</v>
      </c>
      <c r="C729" s="21"/>
      <c r="D729" s="21"/>
    </row>
    <row r="730" spans="1:4" ht="13.5" customHeight="1" x14ac:dyDescent="0.25">
      <c r="A730" s="21"/>
      <c r="B730" s="22" t="s">
        <v>594</v>
      </c>
      <c r="C730" s="21"/>
      <c r="D730" s="21"/>
    </row>
    <row r="731" spans="1:4" ht="13.5" customHeight="1" x14ac:dyDescent="0.25">
      <c r="A731" s="21"/>
      <c r="B731" s="22" t="s">
        <v>595</v>
      </c>
      <c r="C731" s="21"/>
      <c r="D731" s="21"/>
    </row>
    <row r="732" spans="1:4" ht="13.5" customHeight="1" x14ac:dyDescent="0.25">
      <c r="A732" s="21"/>
      <c r="B732" s="22" t="s">
        <v>596</v>
      </c>
      <c r="C732" s="21"/>
      <c r="D732" s="21"/>
    </row>
    <row r="733" spans="1:4" ht="13.5" customHeight="1" x14ac:dyDescent="0.25">
      <c r="A733" s="21"/>
      <c r="B733" s="22" t="s">
        <v>597</v>
      </c>
      <c r="C733" s="21"/>
      <c r="D733" s="21"/>
    </row>
    <row r="734" spans="1:4" ht="13.5" customHeight="1" x14ac:dyDescent="0.25">
      <c r="A734" s="21"/>
      <c r="B734" s="22" t="s">
        <v>598</v>
      </c>
      <c r="C734" s="21"/>
      <c r="D734" s="21"/>
    </row>
    <row r="735" spans="1:4" ht="13.5" customHeight="1" x14ac:dyDescent="0.25">
      <c r="A735" s="21"/>
      <c r="B735" s="22" t="s">
        <v>599</v>
      </c>
      <c r="C735" s="21"/>
      <c r="D735" s="21"/>
    </row>
    <row r="736" spans="1:4" ht="13.5" customHeight="1" x14ac:dyDescent="0.25">
      <c r="A736" s="21"/>
      <c r="B736" s="22" t="s">
        <v>600</v>
      </c>
      <c r="C736" s="21"/>
      <c r="D736" s="21"/>
    </row>
    <row r="737" spans="1:4" ht="13.5" customHeight="1" x14ac:dyDescent="0.25">
      <c r="A737" s="21"/>
      <c r="B737" s="22" t="s">
        <v>601</v>
      </c>
      <c r="C737" s="21"/>
      <c r="D737" s="21"/>
    </row>
    <row r="738" spans="1:4" ht="13.5" customHeight="1" x14ac:dyDescent="0.25">
      <c r="A738" s="21"/>
      <c r="B738" s="22" t="s">
        <v>602</v>
      </c>
      <c r="C738" s="21"/>
      <c r="D738" s="21"/>
    </row>
    <row r="739" spans="1:4" ht="13.5" customHeight="1" x14ac:dyDescent="0.25">
      <c r="A739" s="21"/>
      <c r="B739" s="22" t="s">
        <v>603</v>
      </c>
      <c r="C739" s="21"/>
      <c r="D739" s="21"/>
    </row>
    <row r="740" spans="1:4" ht="13.5" customHeight="1" x14ac:dyDescent="0.25">
      <c r="A740" s="21"/>
      <c r="B740" s="22" t="s">
        <v>134</v>
      </c>
      <c r="C740" s="21"/>
      <c r="D740" s="21"/>
    </row>
    <row r="741" spans="1:4" ht="13.5" customHeight="1" x14ac:dyDescent="0.25">
      <c r="A741" s="21"/>
      <c r="B741" s="22" t="s">
        <v>94</v>
      </c>
      <c r="C741" s="21"/>
      <c r="D741" s="21"/>
    </row>
    <row r="742" spans="1:4" ht="13.5" customHeight="1" x14ac:dyDescent="0.25">
      <c r="A742" s="21"/>
      <c r="B742" s="22" t="s">
        <v>135</v>
      </c>
      <c r="C742" s="21"/>
      <c r="D742" s="21"/>
    </row>
    <row r="743" spans="1:4" ht="9.75" customHeight="1" x14ac:dyDescent="0.25">
      <c r="A743" s="12"/>
      <c r="B743" s="12"/>
      <c r="C743" s="12"/>
      <c r="D743" s="12"/>
    </row>
    <row r="744" spans="1:4" ht="21.75" customHeight="1" x14ac:dyDescent="0.25">
      <c r="A744" s="25"/>
      <c r="B744" s="237" t="s">
        <v>604</v>
      </c>
      <c r="C744" s="237"/>
      <c r="D744" s="25"/>
    </row>
    <row r="745" spans="1:4" ht="6" customHeight="1" x14ac:dyDescent="0.25">
      <c r="A745" s="16"/>
      <c r="B745" s="16"/>
      <c r="C745" s="16"/>
      <c r="D745" s="16"/>
    </row>
    <row r="746" spans="1:4" ht="21.75" customHeight="1" x14ac:dyDescent="0.25">
      <c r="A746" s="17"/>
      <c r="B746" s="230" t="s">
        <v>605</v>
      </c>
      <c r="C746" s="230"/>
      <c r="D746" s="17"/>
    </row>
    <row r="747" spans="1:4" ht="16.5" customHeight="1" x14ac:dyDescent="0.25">
      <c r="A747" s="5"/>
      <c r="B747" s="231" t="s">
        <v>606</v>
      </c>
      <c r="C747" s="231"/>
      <c r="D747" s="5"/>
    </row>
    <row r="748" spans="1:4" ht="15" customHeight="1" x14ac:dyDescent="0.25">
      <c r="A748" s="18"/>
      <c r="B748" s="232" t="s">
        <v>607</v>
      </c>
      <c r="C748" s="232"/>
      <c r="D748" s="18"/>
    </row>
    <row r="749" spans="1:4" ht="13.5" customHeight="1" x14ac:dyDescent="0.25">
      <c r="A749" s="19"/>
      <c r="B749" s="20" t="s">
        <v>608</v>
      </c>
      <c r="C749" s="19"/>
      <c r="D749" s="19"/>
    </row>
    <row r="750" spans="1:4" ht="13.5" customHeight="1" x14ac:dyDescent="0.25">
      <c r="A750" s="21"/>
      <c r="B750" s="22" t="s">
        <v>609</v>
      </c>
      <c r="C750" s="21"/>
      <c r="D750" s="21"/>
    </row>
    <row r="751" spans="1:4" ht="13.5" customHeight="1" x14ac:dyDescent="0.25">
      <c r="A751" s="21"/>
      <c r="B751" s="22" t="s">
        <v>610</v>
      </c>
      <c r="C751" s="21"/>
      <c r="D751" s="21"/>
    </row>
    <row r="752" spans="1:4" ht="13.5" customHeight="1" x14ac:dyDescent="0.25">
      <c r="A752" s="21"/>
      <c r="B752" s="22" t="s">
        <v>105</v>
      </c>
      <c r="C752" s="21"/>
      <c r="D752" s="21"/>
    </row>
    <row r="753" spans="1:4" ht="13.5" customHeight="1" x14ac:dyDescent="0.25">
      <c r="A753" s="21"/>
      <c r="B753" s="22" t="s">
        <v>80</v>
      </c>
      <c r="C753" s="21"/>
      <c r="D753" s="21"/>
    </row>
    <row r="754" spans="1:4" ht="13.5" customHeight="1" x14ac:dyDescent="0.25">
      <c r="A754" s="21"/>
      <c r="B754" s="22" t="s">
        <v>611</v>
      </c>
      <c r="C754" s="21"/>
      <c r="D754" s="21"/>
    </row>
    <row r="755" spans="1:4" ht="13.5" customHeight="1" x14ac:dyDescent="0.25">
      <c r="A755" s="21"/>
      <c r="B755" s="22"/>
      <c r="C755" s="21"/>
      <c r="D755" s="21"/>
    </row>
    <row r="756" spans="1:4" ht="13.5" customHeight="1" x14ac:dyDescent="0.25">
      <c r="A756" s="21"/>
      <c r="B756" s="22" t="s">
        <v>612</v>
      </c>
      <c r="C756" s="21"/>
      <c r="D756" s="21"/>
    </row>
    <row r="757" spans="1:4" ht="13.5" customHeight="1" x14ac:dyDescent="0.25">
      <c r="A757" s="21"/>
      <c r="B757" s="22" t="s">
        <v>613</v>
      </c>
      <c r="C757" s="21"/>
      <c r="D757" s="21"/>
    </row>
    <row r="758" spans="1:4" ht="13.5" customHeight="1" x14ac:dyDescent="0.25">
      <c r="A758" s="21"/>
      <c r="B758" s="22" t="s">
        <v>614</v>
      </c>
      <c r="C758" s="21"/>
      <c r="D758" s="21"/>
    </row>
    <row r="759" spans="1:4" ht="13.5" customHeight="1" x14ac:dyDescent="0.25">
      <c r="A759" s="21"/>
      <c r="B759" s="22" t="s">
        <v>615</v>
      </c>
      <c r="C759" s="21"/>
      <c r="D759" s="21"/>
    </row>
    <row r="760" spans="1:4" ht="13.5" customHeight="1" x14ac:dyDescent="0.25">
      <c r="A760" s="21"/>
      <c r="B760" s="22" t="s">
        <v>616</v>
      </c>
      <c r="C760" s="21"/>
      <c r="D760" s="21"/>
    </row>
    <row r="761" spans="1:4" ht="13.5" customHeight="1" x14ac:dyDescent="0.25">
      <c r="A761" s="21"/>
      <c r="B761" s="22" t="s">
        <v>617</v>
      </c>
      <c r="C761" s="21"/>
      <c r="D761" s="21"/>
    </row>
    <row r="762" spans="1:4" ht="13.5" customHeight="1" x14ac:dyDescent="0.25">
      <c r="A762" s="21"/>
      <c r="B762" s="22" t="s">
        <v>618</v>
      </c>
      <c r="C762" s="21"/>
      <c r="D762" s="21"/>
    </row>
    <row r="763" spans="1:4" ht="13.5" customHeight="1" x14ac:dyDescent="0.25">
      <c r="A763" s="21"/>
      <c r="B763" s="22" t="s">
        <v>619</v>
      </c>
      <c r="C763" s="21"/>
      <c r="D763" s="21"/>
    </row>
    <row r="764" spans="1:4" ht="13.5" customHeight="1" x14ac:dyDescent="0.25">
      <c r="A764" s="21"/>
      <c r="B764" s="22" t="s">
        <v>620</v>
      </c>
      <c r="C764" s="21"/>
      <c r="D764" s="21"/>
    </row>
    <row r="765" spans="1:4" ht="13.5" customHeight="1" x14ac:dyDescent="0.25">
      <c r="A765" s="21"/>
      <c r="B765" s="22" t="s">
        <v>621</v>
      </c>
      <c r="C765" s="21"/>
      <c r="D765" s="21"/>
    </row>
    <row r="766" spans="1:4" ht="13.5" customHeight="1" x14ac:dyDescent="0.25">
      <c r="A766" s="21"/>
      <c r="B766" s="22" t="s">
        <v>119</v>
      </c>
      <c r="C766" s="21"/>
      <c r="D766" s="21"/>
    </row>
    <row r="767" spans="1:4" ht="13.5" customHeight="1" x14ac:dyDescent="0.25">
      <c r="A767" s="21"/>
      <c r="B767" s="22"/>
      <c r="C767" s="21"/>
      <c r="D767" s="21"/>
    </row>
    <row r="768" spans="1:4" ht="13.5" customHeight="1" x14ac:dyDescent="0.25">
      <c r="A768" s="21"/>
      <c r="B768" s="22" t="s">
        <v>622</v>
      </c>
      <c r="C768" s="21"/>
      <c r="D768" s="21"/>
    </row>
    <row r="769" spans="1:4" ht="13.5" customHeight="1" x14ac:dyDescent="0.25">
      <c r="A769" s="21"/>
      <c r="B769" s="22" t="s">
        <v>623</v>
      </c>
      <c r="C769" s="21"/>
      <c r="D769" s="21"/>
    </row>
    <row r="770" spans="1:4" ht="13.5" customHeight="1" x14ac:dyDescent="0.25">
      <c r="A770" s="21"/>
      <c r="B770" s="22" t="s">
        <v>624</v>
      </c>
      <c r="C770" s="21"/>
      <c r="D770" s="21"/>
    </row>
    <row r="771" spans="1:4" ht="13.5" customHeight="1" x14ac:dyDescent="0.25">
      <c r="A771" s="21"/>
      <c r="B771" s="22" t="s">
        <v>481</v>
      </c>
      <c r="C771" s="21"/>
      <c r="D771" s="21"/>
    </row>
    <row r="772" spans="1:4" ht="13.5" customHeight="1" x14ac:dyDescent="0.25">
      <c r="A772" s="21"/>
      <c r="B772" s="22"/>
      <c r="C772" s="21"/>
      <c r="D772" s="21"/>
    </row>
    <row r="773" spans="1:4" ht="13.5" customHeight="1" x14ac:dyDescent="0.25">
      <c r="A773" s="21"/>
      <c r="B773" s="22" t="s">
        <v>625</v>
      </c>
      <c r="C773" s="21"/>
      <c r="D773" s="21"/>
    </row>
    <row r="774" spans="1:4" ht="13.5" customHeight="1" x14ac:dyDescent="0.25">
      <c r="A774" s="21"/>
      <c r="B774" s="22" t="s">
        <v>626</v>
      </c>
      <c r="C774" s="21"/>
      <c r="D774" s="21"/>
    </row>
    <row r="775" spans="1:4" ht="13.5" customHeight="1" x14ac:dyDescent="0.25">
      <c r="A775" s="21"/>
      <c r="B775" s="22" t="s">
        <v>481</v>
      </c>
      <c r="C775" s="21"/>
      <c r="D775" s="21"/>
    </row>
    <row r="776" spans="1:4" ht="13.5" customHeight="1" x14ac:dyDescent="0.25">
      <c r="A776" s="21"/>
      <c r="B776" s="22"/>
      <c r="C776" s="21"/>
      <c r="D776" s="21"/>
    </row>
    <row r="777" spans="1:4" ht="13.5" customHeight="1" x14ac:dyDescent="0.25">
      <c r="A777" s="21"/>
      <c r="B777" s="22" t="s">
        <v>627</v>
      </c>
      <c r="C777" s="21"/>
      <c r="D777" s="21"/>
    </row>
    <row r="778" spans="1:4" ht="13.5" customHeight="1" x14ac:dyDescent="0.25">
      <c r="A778" s="21"/>
      <c r="B778" s="22" t="s">
        <v>628</v>
      </c>
      <c r="C778" s="21"/>
      <c r="D778" s="21"/>
    </row>
    <row r="779" spans="1:4" ht="13.5" customHeight="1" x14ac:dyDescent="0.25">
      <c r="A779" s="21"/>
      <c r="B779" s="22" t="s">
        <v>629</v>
      </c>
      <c r="C779" s="21"/>
      <c r="D779" s="21"/>
    </row>
    <row r="780" spans="1:4" ht="13.5" customHeight="1" x14ac:dyDescent="0.25">
      <c r="A780" s="21"/>
      <c r="B780" s="22" t="s">
        <v>630</v>
      </c>
      <c r="C780" s="21"/>
      <c r="D780" s="21"/>
    </row>
    <row r="781" spans="1:4" ht="13.5" customHeight="1" x14ac:dyDescent="0.25">
      <c r="A781" s="21"/>
      <c r="B781" s="22" t="s">
        <v>631</v>
      </c>
      <c r="C781" s="21"/>
      <c r="D781" s="21"/>
    </row>
    <row r="782" spans="1:4" ht="13.5" customHeight="1" x14ac:dyDescent="0.25">
      <c r="A782" s="21"/>
      <c r="B782" s="22" t="s">
        <v>124</v>
      </c>
      <c r="C782" s="21"/>
      <c r="D782" s="21"/>
    </row>
    <row r="783" spans="1:4" ht="13.5" customHeight="1" x14ac:dyDescent="0.25">
      <c r="A783" s="21"/>
      <c r="B783" s="22" t="s">
        <v>632</v>
      </c>
      <c r="C783" s="21"/>
      <c r="D783" s="21"/>
    </row>
    <row r="784" spans="1:4" ht="13.5" customHeight="1" x14ac:dyDescent="0.25">
      <c r="A784" s="21"/>
      <c r="B784" s="22" t="s">
        <v>633</v>
      </c>
      <c r="C784" s="21"/>
      <c r="D784" s="21"/>
    </row>
    <row r="785" spans="1:4" ht="13.5" customHeight="1" x14ac:dyDescent="0.25">
      <c r="A785" s="21"/>
      <c r="B785" s="22" t="s">
        <v>634</v>
      </c>
      <c r="C785" s="21"/>
      <c r="D785" s="21"/>
    </row>
    <row r="786" spans="1:4" ht="13.5" customHeight="1" x14ac:dyDescent="0.25">
      <c r="A786" s="21"/>
      <c r="B786" s="22" t="s">
        <v>635</v>
      </c>
      <c r="C786" s="21"/>
      <c r="D786" s="21"/>
    </row>
    <row r="787" spans="1:4" ht="13.5" customHeight="1" x14ac:dyDescent="0.25">
      <c r="A787" s="21"/>
      <c r="B787" s="22"/>
      <c r="C787" s="21"/>
      <c r="D787" s="21"/>
    </row>
    <row r="788" spans="1:4" ht="13.5" customHeight="1" x14ac:dyDescent="0.25">
      <c r="A788" s="21"/>
      <c r="B788" s="22" t="s">
        <v>636</v>
      </c>
      <c r="C788" s="21"/>
      <c r="D788" s="21"/>
    </row>
    <row r="789" spans="1:4" ht="13.5" customHeight="1" x14ac:dyDescent="0.25">
      <c r="A789" s="21"/>
      <c r="B789" s="22" t="s">
        <v>637</v>
      </c>
      <c r="C789" s="21"/>
      <c r="D789" s="21"/>
    </row>
    <row r="790" spans="1:4" ht="13.5" customHeight="1" x14ac:dyDescent="0.25">
      <c r="A790" s="21"/>
      <c r="B790" s="22" t="s">
        <v>638</v>
      </c>
      <c r="C790" s="21"/>
      <c r="D790" s="21"/>
    </row>
    <row r="791" spans="1:4" ht="13.5" customHeight="1" x14ac:dyDescent="0.25">
      <c r="A791" s="21"/>
      <c r="B791" s="22" t="s">
        <v>639</v>
      </c>
      <c r="C791" s="21"/>
      <c r="D791" s="21"/>
    </row>
    <row r="792" spans="1:4" ht="13.5" customHeight="1" x14ac:dyDescent="0.25">
      <c r="A792" s="21"/>
      <c r="B792" s="22" t="s">
        <v>134</v>
      </c>
      <c r="C792" s="21"/>
      <c r="D792" s="21"/>
    </row>
    <row r="793" spans="1:4" ht="13.5" customHeight="1" x14ac:dyDescent="0.25">
      <c r="A793" s="21"/>
      <c r="B793" s="22" t="s">
        <v>94</v>
      </c>
      <c r="C793" s="21"/>
      <c r="D793" s="21"/>
    </row>
    <row r="794" spans="1:4" ht="13.5" customHeight="1" x14ac:dyDescent="0.25">
      <c r="A794" s="21"/>
      <c r="B794" s="22" t="s">
        <v>135</v>
      </c>
      <c r="C794" s="21"/>
      <c r="D794" s="21"/>
    </row>
    <row r="795" spans="1:4" ht="9.75" customHeight="1" x14ac:dyDescent="0.25">
      <c r="A795" s="12"/>
      <c r="B795" s="12"/>
      <c r="C795" s="12"/>
      <c r="D795" s="12"/>
    </row>
    <row r="796" spans="1:4" ht="21.75" customHeight="1" x14ac:dyDescent="0.25">
      <c r="A796" s="17"/>
      <c r="B796" s="230" t="s">
        <v>640</v>
      </c>
      <c r="C796" s="230"/>
      <c r="D796" s="17"/>
    </row>
    <row r="797" spans="1:4" ht="16.5" customHeight="1" x14ac:dyDescent="0.25">
      <c r="A797" s="5"/>
      <c r="B797" s="231" t="s">
        <v>641</v>
      </c>
      <c r="C797" s="231"/>
      <c r="D797" s="5"/>
    </row>
    <row r="798" spans="1:4" ht="15" customHeight="1" x14ac:dyDescent="0.25">
      <c r="A798" s="18"/>
      <c r="B798" s="232" t="s">
        <v>642</v>
      </c>
      <c r="C798" s="232"/>
      <c r="D798" s="18"/>
    </row>
    <row r="799" spans="1:4" ht="13.5" customHeight="1" x14ac:dyDescent="0.25">
      <c r="A799" s="19"/>
      <c r="B799" s="20" t="s">
        <v>643</v>
      </c>
      <c r="C799" s="19"/>
      <c r="D799" s="19"/>
    </row>
    <row r="800" spans="1:4" ht="13.5" customHeight="1" x14ac:dyDescent="0.25">
      <c r="A800" s="21"/>
      <c r="B800" s="22" t="s">
        <v>80</v>
      </c>
      <c r="C800" s="21"/>
      <c r="D800" s="21"/>
    </row>
    <row r="801" spans="1:4" ht="13.5" customHeight="1" x14ac:dyDescent="0.25">
      <c r="A801" s="21"/>
      <c r="B801" s="22" t="s">
        <v>611</v>
      </c>
      <c r="C801" s="21"/>
      <c r="D801" s="21"/>
    </row>
    <row r="802" spans="1:4" ht="13.5" customHeight="1" x14ac:dyDescent="0.25">
      <c r="A802" s="21"/>
      <c r="B802" s="22"/>
      <c r="C802" s="21"/>
      <c r="D802" s="21"/>
    </row>
    <row r="803" spans="1:4" ht="13.5" customHeight="1" x14ac:dyDescent="0.25">
      <c r="A803" s="21"/>
      <c r="B803" s="22" t="s">
        <v>644</v>
      </c>
      <c r="C803" s="21"/>
      <c r="D803" s="21"/>
    </row>
    <row r="804" spans="1:4" ht="13.5" customHeight="1" x14ac:dyDescent="0.25">
      <c r="A804" s="21"/>
      <c r="B804" s="22" t="s">
        <v>645</v>
      </c>
      <c r="C804" s="21"/>
      <c r="D804" s="21"/>
    </row>
    <row r="805" spans="1:4" ht="13.5" customHeight="1" x14ac:dyDescent="0.25">
      <c r="A805" s="21"/>
      <c r="B805" s="22" t="s">
        <v>646</v>
      </c>
      <c r="C805" s="21"/>
      <c r="D805" s="21"/>
    </row>
    <row r="806" spans="1:4" ht="13.5" customHeight="1" x14ac:dyDescent="0.25">
      <c r="A806" s="21"/>
      <c r="B806" s="22" t="s">
        <v>647</v>
      </c>
      <c r="C806" s="21"/>
      <c r="D806" s="21"/>
    </row>
    <row r="807" spans="1:4" ht="13.5" customHeight="1" x14ac:dyDescent="0.25">
      <c r="A807" s="21"/>
      <c r="B807" s="22" t="s">
        <v>648</v>
      </c>
      <c r="C807" s="21"/>
      <c r="D807" s="21"/>
    </row>
    <row r="808" spans="1:4" ht="13.5" customHeight="1" x14ac:dyDescent="0.25">
      <c r="A808" s="21"/>
      <c r="B808" s="22" t="s">
        <v>649</v>
      </c>
      <c r="C808" s="21"/>
      <c r="D808" s="21"/>
    </row>
    <row r="809" spans="1:4" ht="13.5" customHeight="1" x14ac:dyDescent="0.25">
      <c r="A809" s="21"/>
      <c r="B809" s="22" t="s">
        <v>119</v>
      </c>
      <c r="C809" s="21"/>
      <c r="D809" s="21"/>
    </row>
    <row r="810" spans="1:4" ht="13.5" customHeight="1" x14ac:dyDescent="0.25">
      <c r="A810" s="21"/>
      <c r="B810" s="22"/>
      <c r="C810" s="21"/>
      <c r="D810" s="21"/>
    </row>
    <row r="811" spans="1:4" ht="13.5" customHeight="1" x14ac:dyDescent="0.25">
      <c r="A811" s="21"/>
      <c r="B811" s="22" t="s">
        <v>623</v>
      </c>
      <c r="C811" s="21"/>
      <c r="D811" s="21"/>
    </row>
    <row r="812" spans="1:4" ht="13.5" customHeight="1" x14ac:dyDescent="0.25">
      <c r="A812" s="21"/>
      <c r="B812" s="22" t="s">
        <v>624</v>
      </c>
      <c r="C812" s="21"/>
      <c r="D812" s="21"/>
    </row>
    <row r="813" spans="1:4" ht="13.5" customHeight="1" x14ac:dyDescent="0.25">
      <c r="A813" s="21"/>
      <c r="B813" s="22" t="s">
        <v>481</v>
      </c>
      <c r="C813" s="21"/>
      <c r="D813" s="21"/>
    </row>
    <row r="814" spans="1:4" ht="13.5" customHeight="1" x14ac:dyDescent="0.25">
      <c r="A814" s="21"/>
      <c r="B814" s="22"/>
      <c r="C814" s="21"/>
      <c r="D814" s="21"/>
    </row>
    <row r="815" spans="1:4" ht="13.5" customHeight="1" x14ac:dyDescent="0.25">
      <c r="A815" s="21"/>
      <c r="B815" s="22" t="s">
        <v>650</v>
      </c>
      <c r="C815" s="21"/>
      <c r="D815" s="21"/>
    </row>
    <row r="816" spans="1:4" ht="13.5" customHeight="1" x14ac:dyDescent="0.25">
      <c r="A816" s="21"/>
      <c r="B816" s="22" t="s">
        <v>628</v>
      </c>
      <c r="C816" s="21"/>
      <c r="D816" s="21"/>
    </row>
    <row r="817" spans="1:4" ht="13.5" customHeight="1" x14ac:dyDescent="0.25">
      <c r="A817" s="21"/>
      <c r="B817" s="22" t="s">
        <v>651</v>
      </c>
      <c r="C817" s="21"/>
      <c r="D817" s="21"/>
    </row>
    <row r="818" spans="1:4" ht="13.5" customHeight="1" x14ac:dyDescent="0.25">
      <c r="A818" s="21"/>
      <c r="B818" s="22" t="s">
        <v>652</v>
      </c>
      <c r="C818" s="21"/>
      <c r="D818" s="21"/>
    </row>
    <row r="819" spans="1:4" ht="13.5" customHeight="1" x14ac:dyDescent="0.25">
      <c r="A819" s="21"/>
      <c r="B819" s="22" t="s">
        <v>653</v>
      </c>
      <c r="C819" s="21"/>
      <c r="D819" s="21"/>
    </row>
    <row r="820" spans="1:4" ht="13.5" customHeight="1" x14ac:dyDescent="0.25">
      <c r="A820" s="21"/>
      <c r="B820" s="22" t="s">
        <v>124</v>
      </c>
      <c r="C820" s="21"/>
      <c r="D820" s="21"/>
    </row>
    <row r="821" spans="1:4" ht="13.5" customHeight="1" x14ac:dyDescent="0.25">
      <c r="A821" s="21"/>
      <c r="B821" s="22" t="s">
        <v>654</v>
      </c>
      <c r="C821" s="21"/>
      <c r="D821" s="21"/>
    </row>
    <row r="822" spans="1:4" ht="13.5" customHeight="1" x14ac:dyDescent="0.25">
      <c r="A822" s="21"/>
      <c r="B822" s="22" t="s">
        <v>655</v>
      </c>
      <c r="C822" s="21"/>
      <c r="D822" s="21"/>
    </row>
    <row r="823" spans="1:4" ht="13.5" customHeight="1" x14ac:dyDescent="0.25">
      <c r="A823" s="21"/>
      <c r="B823" s="22" t="s">
        <v>134</v>
      </c>
      <c r="C823" s="21"/>
      <c r="D823" s="21"/>
    </row>
    <row r="824" spans="1:4" ht="13.5" customHeight="1" x14ac:dyDescent="0.25">
      <c r="A824" s="21"/>
      <c r="B824" s="22" t="s">
        <v>94</v>
      </c>
      <c r="C824" s="21"/>
      <c r="D824" s="21"/>
    </row>
    <row r="825" spans="1:4" ht="13.5" customHeight="1" x14ac:dyDescent="0.25">
      <c r="A825" s="21"/>
      <c r="B825" s="22" t="s">
        <v>135</v>
      </c>
      <c r="C825" s="21"/>
      <c r="D825" s="21"/>
    </row>
    <row r="826" spans="1:4" ht="9.75" customHeight="1" x14ac:dyDescent="0.25">
      <c r="A826" s="12"/>
      <c r="B826" s="12"/>
      <c r="C826" s="12"/>
      <c r="D826" s="12"/>
    </row>
    <row r="827" spans="1:4" ht="21.75" customHeight="1" x14ac:dyDescent="0.25">
      <c r="A827" s="17"/>
      <c r="B827" s="230" t="s">
        <v>656</v>
      </c>
      <c r="C827" s="230"/>
      <c r="D827" s="17"/>
    </row>
    <row r="828" spans="1:4" ht="16.5" customHeight="1" x14ac:dyDescent="0.25">
      <c r="A828" s="5"/>
      <c r="B828" s="231" t="s">
        <v>657</v>
      </c>
      <c r="C828" s="231"/>
      <c r="D828" s="5"/>
    </row>
    <row r="829" spans="1:4" ht="15" customHeight="1" x14ac:dyDescent="0.25">
      <c r="A829" s="18"/>
      <c r="B829" s="232" t="s">
        <v>658</v>
      </c>
      <c r="C829" s="232"/>
      <c r="D829" s="18"/>
    </row>
    <row r="830" spans="1:4" ht="13.5" customHeight="1" x14ac:dyDescent="0.25">
      <c r="A830" s="19"/>
      <c r="B830" s="20" t="s">
        <v>659</v>
      </c>
      <c r="C830" s="19"/>
      <c r="D830" s="19"/>
    </row>
    <row r="831" spans="1:4" ht="13.5" customHeight="1" x14ac:dyDescent="0.25">
      <c r="A831" s="21"/>
      <c r="B831" s="22" t="s">
        <v>660</v>
      </c>
      <c r="C831" s="21"/>
      <c r="D831" s="21"/>
    </row>
    <row r="832" spans="1:4" ht="13.5" customHeight="1" x14ac:dyDescent="0.25">
      <c r="A832" s="21"/>
      <c r="B832" s="22" t="s">
        <v>661</v>
      </c>
      <c r="C832" s="21"/>
      <c r="D832" s="21"/>
    </row>
    <row r="833" spans="1:4" ht="13.5" customHeight="1" x14ac:dyDescent="0.25">
      <c r="A833" s="21"/>
      <c r="B833" s="22" t="s">
        <v>662</v>
      </c>
      <c r="C833" s="21"/>
      <c r="D833" s="21"/>
    </row>
    <row r="834" spans="1:4" ht="13.5" customHeight="1" x14ac:dyDescent="0.25">
      <c r="A834" s="21"/>
      <c r="B834" s="22" t="s">
        <v>663</v>
      </c>
      <c r="C834" s="21"/>
      <c r="D834" s="21"/>
    </row>
    <row r="835" spans="1:4" ht="13.5" customHeight="1" x14ac:dyDescent="0.25">
      <c r="A835" s="21"/>
      <c r="B835" s="22" t="s">
        <v>664</v>
      </c>
      <c r="C835" s="21"/>
      <c r="D835" s="21"/>
    </row>
    <row r="836" spans="1:4" ht="13.5" customHeight="1" x14ac:dyDescent="0.25">
      <c r="A836" s="21"/>
      <c r="B836" s="22" t="s">
        <v>665</v>
      </c>
      <c r="C836" s="21"/>
      <c r="D836" s="21"/>
    </row>
    <row r="837" spans="1:4" ht="13.5" customHeight="1" x14ac:dyDescent="0.25">
      <c r="A837" s="21"/>
      <c r="B837" s="22" t="s">
        <v>666</v>
      </c>
      <c r="C837" s="21"/>
      <c r="D837" s="21"/>
    </row>
    <row r="838" spans="1:4" ht="13.5" customHeight="1" x14ac:dyDescent="0.25">
      <c r="A838" s="21"/>
      <c r="B838" s="22" t="s">
        <v>667</v>
      </c>
      <c r="C838" s="21"/>
      <c r="D838" s="21"/>
    </row>
    <row r="839" spans="1:4" ht="13.5" customHeight="1" x14ac:dyDescent="0.25">
      <c r="A839" s="21"/>
      <c r="B839" s="22" t="s">
        <v>668</v>
      </c>
      <c r="C839" s="21"/>
      <c r="D839" s="21"/>
    </row>
    <row r="840" spans="1:4" ht="13.5" customHeight="1" x14ac:dyDescent="0.25">
      <c r="A840" s="21"/>
      <c r="B840" s="22" t="s">
        <v>105</v>
      </c>
      <c r="C840" s="21"/>
      <c r="D840" s="21"/>
    </row>
    <row r="841" spans="1:4" ht="13.5" customHeight="1" x14ac:dyDescent="0.25">
      <c r="A841" s="21"/>
      <c r="B841" s="22" t="s">
        <v>80</v>
      </c>
      <c r="C841" s="21"/>
      <c r="D841" s="21"/>
    </row>
    <row r="842" spans="1:4" ht="13.5" customHeight="1" x14ac:dyDescent="0.25">
      <c r="A842" s="21"/>
      <c r="B842" s="22" t="s">
        <v>611</v>
      </c>
      <c r="C842" s="21"/>
      <c r="D842" s="21"/>
    </row>
    <row r="843" spans="1:4" ht="13.5" customHeight="1" x14ac:dyDescent="0.25">
      <c r="A843" s="21"/>
      <c r="B843" s="22"/>
      <c r="C843" s="21"/>
      <c r="D843" s="21"/>
    </row>
    <row r="844" spans="1:4" ht="13.5" customHeight="1" x14ac:dyDescent="0.25">
      <c r="A844" s="21"/>
      <c r="B844" s="22" t="s">
        <v>669</v>
      </c>
      <c r="C844" s="21"/>
      <c r="D844" s="21"/>
    </row>
    <row r="845" spans="1:4" ht="13.5" customHeight="1" x14ac:dyDescent="0.25">
      <c r="A845" s="21"/>
      <c r="B845" s="22" t="s">
        <v>670</v>
      </c>
      <c r="C845" s="21"/>
      <c r="D845" s="21"/>
    </row>
    <row r="846" spans="1:4" ht="13.5" customHeight="1" x14ac:dyDescent="0.25">
      <c r="A846" s="21"/>
      <c r="B846" s="22" t="s">
        <v>671</v>
      </c>
      <c r="C846" s="21"/>
      <c r="D846" s="21"/>
    </row>
    <row r="847" spans="1:4" ht="13.5" customHeight="1" x14ac:dyDescent="0.25">
      <c r="A847" s="21"/>
      <c r="B847" s="22" t="s">
        <v>672</v>
      </c>
      <c r="C847" s="21"/>
      <c r="D847" s="21"/>
    </row>
    <row r="848" spans="1:4" ht="13.5" customHeight="1" x14ac:dyDescent="0.25">
      <c r="A848" s="21"/>
      <c r="B848" s="22" t="s">
        <v>673</v>
      </c>
      <c r="C848" s="21"/>
      <c r="D848" s="21"/>
    </row>
    <row r="849" spans="1:4" ht="13.5" customHeight="1" x14ac:dyDescent="0.25">
      <c r="A849" s="21"/>
      <c r="B849" s="22" t="s">
        <v>674</v>
      </c>
      <c r="C849" s="21"/>
      <c r="D849" s="21"/>
    </row>
    <row r="850" spans="1:4" ht="13.5" customHeight="1" x14ac:dyDescent="0.25">
      <c r="A850" s="21"/>
      <c r="B850" s="22" t="s">
        <v>675</v>
      </c>
      <c r="C850" s="21"/>
      <c r="D850" s="21"/>
    </row>
    <row r="851" spans="1:4" ht="13.5" customHeight="1" x14ac:dyDescent="0.25">
      <c r="A851" s="21"/>
      <c r="B851" s="22" t="s">
        <v>676</v>
      </c>
      <c r="C851" s="21"/>
      <c r="D851" s="21"/>
    </row>
    <row r="852" spans="1:4" ht="13.5" customHeight="1" x14ac:dyDescent="0.25">
      <c r="A852" s="21"/>
      <c r="B852" s="22" t="s">
        <v>677</v>
      </c>
      <c r="C852" s="21"/>
      <c r="D852" s="21"/>
    </row>
    <row r="853" spans="1:4" ht="13.5" customHeight="1" x14ac:dyDescent="0.25">
      <c r="A853" s="21"/>
      <c r="B853" s="22" t="s">
        <v>678</v>
      </c>
      <c r="C853" s="21"/>
      <c r="D853" s="21"/>
    </row>
    <row r="854" spans="1:4" ht="13.5" customHeight="1" x14ac:dyDescent="0.25">
      <c r="A854" s="21"/>
      <c r="B854" s="22" t="s">
        <v>119</v>
      </c>
      <c r="C854" s="21"/>
      <c r="D854" s="21"/>
    </row>
    <row r="855" spans="1:4" ht="13.5" customHeight="1" x14ac:dyDescent="0.25">
      <c r="A855" s="21"/>
      <c r="B855" s="22"/>
      <c r="C855" s="21"/>
      <c r="D855" s="21"/>
    </row>
    <row r="856" spans="1:4" ht="13.5" customHeight="1" x14ac:dyDescent="0.25">
      <c r="A856" s="21"/>
      <c r="B856" s="22" t="s">
        <v>679</v>
      </c>
      <c r="C856" s="21"/>
      <c r="D856" s="21"/>
    </row>
    <row r="857" spans="1:4" ht="13.5" customHeight="1" x14ac:dyDescent="0.25">
      <c r="A857" s="21"/>
      <c r="B857" s="22" t="s">
        <v>680</v>
      </c>
      <c r="C857" s="21"/>
      <c r="D857" s="21"/>
    </row>
    <row r="858" spans="1:4" ht="13.5" customHeight="1" x14ac:dyDescent="0.25">
      <c r="A858" s="21"/>
      <c r="B858" s="22" t="s">
        <v>481</v>
      </c>
      <c r="C858" s="21"/>
      <c r="D858" s="21"/>
    </row>
    <row r="859" spans="1:4" ht="13.5" customHeight="1" x14ac:dyDescent="0.25">
      <c r="A859" s="21"/>
      <c r="B859" s="22"/>
      <c r="C859" s="21"/>
      <c r="D859" s="21"/>
    </row>
    <row r="860" spans="1:4" ht="13.5" customHeight="1" x14ac:dyDescent="0.25">
      <c r="A860" s="21"/>
      <c r="B860" s="22" t="s">
        <v>681</v>
      </c>
      <c r="C860" s="21"/>
      <c r="D860" s="21"/>
    </row>
    <row r="861" spans="1:4" ht="13.5" customHeight="1" x14ac:dyDescent="0.25">
      <c r="A861" s="21"/>
      <c r="B861" s="22" t="s">
        <v>682</v>
      </c>
      <c r="C861" s="21"/>
      <c r="D861" s="21"/>
    </row>
    <row r="862" spans="1:4" ht="13.5" customHeight="1" x14ac:dyDescent="0.25">
      <c r="A862" s="21"/>
      <c r="B862" s="22" t="s">
        <v>481</v>
      </c>
      <c r="C862" s="21"/>
      <c r="D862" s="21"/>
    </row>
    <row r="863" spans="1:4" ht="13.5" customHeight="1" x14ac:dyDescent="0.25">
      <c r="A863" s="21"/>
      <c r="B863" s="22"/>
      <c r="C863" s="21"/>
      <c r="D863" s="21"/>
    </row>
    <row r="864" spans="1:4" ht="13.5" customHeight="1" x14ac:dyDescent="0.25">
      <c r="A864" s="21"/>
      <c r="B864" s="22" t="s">
        <v>683</v>
      </c>
      <c r="C864" s="21"/>
      <c r="D864" s="21"/>
    </row>
    <row r="865" spans="1:4" ht="13.5" customHeight="1" x14ac:dyDescent="0.25">
      <c r="A865" s="21"/>
      <c r="B865" s="22" t="s">
        <v>684</v>
      </c>
      <c r="C865" s="21"/>
      <c r="D865" s="21"/>
    </row>
    <row r="866" spans="1:4" ht="13.5" customHeight="1" x14ac:dyDescent="0.25">
      <c r="A866" s="21"/>
      <c r="B866" s="22" t="s">
        <v>685</v>
      </c>
      <c r="C866" s="21"/>
      <c r="D866" s="21"/>
    </row>
    <row r="867" spans="1:4" ht="13.5" customHeight="1" x14ac:dyDescent="0.25">
      <c r="A867" s="21"/>
      <c r="B867" s="22" t="s">
        <v>481</v>
      </c>
      <c r="C867" s="21"/>
      <c r="D867" s="21"/>
    </row>
    <row r="868" spans="1:4" ht="13.5" customHeight="1" x14ac:dyDescent="0.25">
      <c r="A868" s="21"/>
      <c r="B868" s="22"/>
      <c r="C868" s="21"/>
      <c r="D868" s="21"/>
    </row>
    <row r="869" spans="1:4" ht="13.5" customHeight="1" x14ac:dyDescent="0.25">
      <c r="A869" s="21"/>
      <c r="B869" s="22" t="s">
        <v>686</v>
      </c>
      <c r="C869" s="21"/>
      <c r="D869" s="21"/>
    </row>
    <row r="870" spans="1:4" ht="13.5" customHeight="1" x14ac:dyDescent="0.25">
      <c r="A870" s="21"/>
      <c r="B870" s="22" t="s">
        <v>687</v>
      </c>
      <c r="C870" s="21"/>
      <c r="D870" s="21"/>
    </row>
    <row r="871" spans="1:4" ht="13.5" customHeight="1" x14ac:dyDescent="0.25">
      <c r="A871" s="21"/>
      <c r="B871" s="22" t="s">
        <v>688</v>
      </c>
      <c r="C871" s="21"/>
      <c r="D871" s="21"/>
    </row>
    <row r="872" spans="1:4" ht="13.5" customHeight="1" x14ac:dyDescent="0.25">
      <c r="A872" s="21"/>
      <c r="B872" s="22" t="s">
        <v>689</v>
      </c>
      <c r="C872" s="21"/>
      <c r="D872" s="21"/>
    </row>
    <row r="873" spans="1:4" ht="13.5" customHeight="1" x14ac:dyDescent="0.25">
      <c r="A873" s="21"/>
      <c r="B873" s="22" t="s">
        <v>690</v>
      </c>
      <c r="C873" s="21"/>
      <c r="D873" s="21"/>
    </row>
    <row r="874" spans="1:4" ht="13.5" customHeight="1" x14ac:dyDescent="0.25">
      <c r="A874" s="21"/>
      <c r="B874" s="22" t="s">
        <v>124</v>
      </c>
      <c r="C874" s="21"/>
      <c r="D874" s="21"/>
    </row>
    <row r="875" spans="1:4" ht="13.5" customHeight="1" x14ac:dyDescent="0.25">
      <c r="A875" s="21"/>
      <c r="B875" s="22" t="s">
        <v>691</v>
      </c>
      <c r="C875" s="21"/>
      <c r="D875" s="21"/>
    </row>
    <row r="876" spans="1:4" ht="13.5" customHeight="1" x14ac:dyDescent="0.25">
      <c r="A876" s="21"/>
      <c r="B876" s="22" t="s">
        <v>692</v>
      </c>
      <c r="C876" s="21"/>
      <c r="D876" s="21"/>
    </row>
    <row r="877" spans="1:4" ht="13.5" customHeight="1" x14ac:dyDescent="0.25">
      <c r="A877" s="21"/>
      <c r="B877" s="22" t="s">
        <v>93</v>
      </c>
      <c r="C877" s="21"/>
      <c r="D877" s="21"/>
    </row>
    <row r="878" spans="1:4" ht="13.5" customHeight="1" x14ac:dyDescent="0.25">
      <c r="A878" s="21"/>
      <c r="B878" s="22" t="s">
        <v>94</v>
      </c>
      <c r="C878" s="21"/>
      <c r="D878" s="21"/>
    </row>
    <row r="879" spans="1:4" ht="13.5" customHeight="1" x14ac:dyDescent="0.25">
      <c r="A879" s="21"/>
      <c r="B879" s="22" t="s">
        <v>135</v>
      </c>
      <c r="C879" s="21"/>
      <c r="D879" s="21"/>
    </row>
    <row r="880" spans="1:4" ht="9.75" customHeight="1" x14ac:dyDescent="0.25">
      <c r="A880" s="12"/>
      <c r="B880" s="12"/>
      <c r="C880" s="12"/>
      <c r="D880" s="12"/>
    </row>
    <row r="881" spans="1:4" ht="21.75" customHeight="1" x14ac:dyDescent="0.25">
      <c r="A881" s="30"/>
      <c r="B881" s="236" t="s">
        <v>693</v>
      </c>
      <c r="C881" s="236"/>
      <c r="D881" s="30"/>
    </row>
    <row r="882" spans="1:4" ht="6" customHeight="1" x14ac:dyDescent="0.25">
      <c r="A882" s="16"/>
      <c r="B882" s="16"/>
      <c r="C882" s="16"/>
      <c r="D882" s="16"/>
    </row>
    <row r="883" spans="1:4" ht="21.75" customHeight="1" x14ac:dyDescent="0.25">
      <c r="A883" s="17"/>
      <c r="B883" s="230" t="s">
        <v>694</v>
      </c>
      <c r="C883" s="230"/>
      <c r="D883" s="17"/>
    </row>
    <row r="884" spans="1:4" ht="16.5" customHeight="1" x14ac:dyDescent="0.25">
      <c r="A884" s="5"/>
      <c r="B884" s="231" t="s">
        <v>695</v>
      </c>
      <c r="C884" s="231"/>
      <c r="D884" s="5"/>
    </row>
    <row r="885" spans="1:4" ht="15" customHeight="1" x14ac:dyDescent="0.25">
      <c r="A885" s="18"/>
      <c r="B885" s="232" t="s">
        <v>696</v>
      </c>
      <c r="C885" s="232"/>
      <c r="D885" s="18"/>
    </row>
    <row r="886" spans="1:4" ht="13.5" customHeight="1" x14ac:dyDescent="0.25">
      <c r="A886" s="19"/>
      <c r="B886" s="20" t="s">
        <v>697</v>
      </c>
      <c r="C886" s="19"/>
      <c r="D886" s="19"/>
    </row>
    <row r="887" spans="1:4" ht="13.5" customHeight="1" x14ac:dyDescent="0.25">
      <c r="A887" s="21"/>
      <c r="B887" s="22" t="s">
        <v>698</v>
      </c>
      <c r="C887" s="21"/>
      <c r="D887" s="21"/>
    </row>
    <row r="888" spans="1:4" ht="13.5" customHeight="1" x14ac:dyDescent="0.25">
      <c r="A888" s="21"/>
      <c r="B888" s="22" t="s">
        <v>699</v>
      </c>
      <c r="C888" s="21"/>
      <c r="D888" s="21"/>
    </row>
    <row r="889" spans="1:4" ht="13.5" customHeight="1" x14ac:dyDescent="0.25">
      <c r="A889" s="21"/>
      <c r="B889" s="22" t="s">
        <v>144</v>
      </c>
      <c r="C889" s="21"/>
      <c r="D889" s="21"/>
    </row>
    <row r="890" spans="1:4" ht="13.5" customHeight="1" x14ac:dyDescent="0.25">
      <c r="A890" s="21"/>
      <c r="B890" s="22" t="s">
        <v>700</v>
      </c>
      <c r="C890" s="21"/>
      <c r="D890" s="21"/>
    </row>
    <row r="891" spans="1:4" ht="13.5" customHeight="1" x14ac:dyDescent="0.25">
      <c r="A891" s="21"/>
      <c r="B891" s="22" t="s">
        <v>701</v>
      </c>
      <c r="C891" s="21"/>
      <c r="D891" s="21"/>
    </row>
    <row r="892" spans="1:4" ht="13.5" customHeight="1" x14ac:dyDescent="0.25">
      <c r="A892" s="21"/>
      <c r="B892" s="22" t="s">
        <v>702</v>
      </c>
      <c r="C892" s="21"/>
      <c r="D892" s="21"/>
    </row>
    <row r="893" spans="1:4" ht="13.5" customHeight="1" x14ac:dyDescent="0.25">
      <c r="A893" s="21"/>
      <c r="B893" s="22" t="s">
        <v>703</v>
      </c>
      <c r="C893" s="21"/>
      <c r="D893" s="21"/>
    </row>
    <row r="894" spans="1:4" ht="13.5" customHeight="1" x14ac:dyDescent="0.25">
      <c r="A894" s="21"/>
      <c r="B894" s="22" t="s">
        <v>704</v>
      </c>
      <c r="C894" s="21"/>
      <c r="D894" s="21"/>
    </row>
    <row r="895" spans="1:4" ht="13.5" customHeight="1" x14ac:dyDescent="0.25">
      <c r="A895" s="21"/>
      <c r="B895" s="22" t="s">
        <v>144</v>
      </c>
      <c r="C895" s="21"/>
      <c r="D895" s="21"/>
    </row>
    <row r="896" spans="1:4" ht="13.5" customHeight="1" x14ac:dyDescent="0.25">
      <c r="A896" s="21"/>
      <c r="B896" s="22" t="s">
        <v>705</v>
      </c>
      <c r="C896" s="21"/>
      <c r="D896" s="21"/>
    </row>
    <row r="897" spans="1:4" ht="13.5" customHeight="1" x14ac:dyDescent="0.25">
      <c r="A897" s="21"/>
      <c r="B897" s="22" t="s">
        <v>706</v>
      </c>
      <c r="C897" s="21"/>
      <c r="D897" s="21"/>
    </row>
    <row r="898" spans="1:4" ht="13.5" customHeight="1" x14ac:dyDescent="0.25">
      <c r="A898" s="21"/>
      <c r="B898" s="22" t="s">
        <v>707</v>
      </c>
      <c r="C898" s="21"/>
      <c r="D898" s="21"/>
    </row>
    <row r="899" spans="1:4" ht="13.5" customHeight="1" x14ac:dyDescent="0.25">
      <c r="A899" s="21"/>
      <c r="B899" s="22" t="s">
        <v>144</v>
      </c>
      <c r="C899" s="21"/>
      <c r="D899" s="21"/>
    </row>
    <row r="900" spans="1:4" ht="13.5" customHeight="1" x14ac:dyDescent="0.25">
      <c r="A900" s="21"/>
      <c r="B900" s="22" t="s">
        <v>708</v>
      </c>
      <c r="C900" s="21"/>
      <c r="D900" s="21"/>
    </row>
    <row r="901" spans="1:4" ht="13.5" customHeight="1" x14ac:dyDescent="0.25">
      <c r="A901" s="21"/>
      <c r="B901" s="22" t="s">
        <v>105</v>
      </c>
      <c r="C901" s="21"/>
      <c r="D901" s="21"/>
    </row>
    <row r="902" spans="1:4" ht="13.5" customHeight="1" x14ac:dyDescent="0.25">
      <c r="A902" s="21"/>
      <c r="B902" s="22" t="s">
        <v>80</v>
      </c>
      <c r="C902" s="21"/>
      <c r="D902" s="21"/>
    </row>
    <row r="903" spans="1:4" ht="13.5" customHeight="1" x14ac:dyDescent="0.25">
      <c r="A903" s="21"/>
      <c r="B903" s="22" t="s">
        <v>709</v>
      </c>
      <c r="C903" s="21"/>
      <c r="D903" s="21"/>
    </row>
    <row r="904" spans="1:4" ht="13.5" customHeight="1" x14ac:dyDescent="0.25">
      <c r="A904" s="21"/>
      <c r="B904" s="22" t="s">
        <v>710</v>
      </c>
      <c r="C904" s="21"/>
      <c r="D904" s="21"/>
    </row>
    <row r="905" spans="1:4" ht="13.5" customHeight="1" x14ac:dyDescent="0.25">
      <c r="A905" s="21"/>
      <c r="B905" s="22" t="s">
        <v>711</v>
      </c>
      <c r="C905" s="21"/>
      <c r="D905" s="21"/>
    </row>
    <row r="906" spans="1:4" ht="13.5" customHeight="1" x14ac:dyDescent="0.25">
      <c r="A906" s="21"/>
      <c r="B906" s="22" t="s">
        <v>712</v>
      </c>
      <c r="C906" s="21"/>
      <c r="D906" s="21"/>
    </row>
    <row r="907" spans="1:4" ht="13.5" customHeight="1" x14ac:dyDescent="0.25">
      <c r="A907" s="21"/>
      <c r="B907" s="22" t="s">
        <v>713</v>
      </c>
      <c r="C907" s="21"/>
      <c r="D907" s="21"/>
    </row>
    <row r="908" spans="1:4" ht="13.5" customHeight="1" x14ac:dyDescent="0.25">
      <c r="A908" s="21"/>
      <c r="B908" s="22"/>
      <c r="C908" s="21"/>
      <c r="D908" s="21"/>
    </row>
    <row r="909" spans="1:4" ht="13.5" customHeight="1" x14ac:dyDescent="0.25">
      <c r="A909" s="21"/>
      <c r="B909" s="22" t="s">
        <v>714</v>
      </c>
      <c r="C909" s="21"/>
      <c r="D909" s="21"/>
    </row>
    <row r="910" spans="1:4" ht="13.5" customHeight="1" x14ac:dyDescent="0.25">
      <c r="A910" s="21"/>
      <c r="B910" s="22"/>
      <c r="C910" s="21"/>
      <c r="D910" s="21"/>
    </row>
    <row r="911" spans="1:4" ht="13.5" customHeight="1" x14ac:dyDescent="0.25">
      <c r="A911" s="21"/>
      <c r="B911" s="22" t="s">
        <v>715</v>
      </c>
      <c r="C911" s="21"/>
      <c r="D911" s="21"/>
    </row>
    <row r="912" spans="1:4" ht="13.5" customHeight="1" x14ac:dyDescent="0.25">
      <c r="A912" s="21"/>
      <c r="B912" s="22" t="s">
        <v>716</v>
      </c>
      <c r="C912" s="21"/>
      <c r="D912" s="21"/>
    </row>
    <row r="913" spans="1:4" ht="13.5" customHeight="1" x14ac:dyDescent="0.25">
      <c r="A913" s="21"/>
      <c r="B913" s="22"/>
      <c r="C913" s="21"/>
      <c r="D913" s="21"/>
    </row>
    <row r="914" spans="1:4" ht="13.5" customHeight="1" x14ac:dyDescent="0.25">
      <c r="A914" s="21"/>
      <c r="B914" s="22" t="s">
        <v>717</v>
      </c>
      <c r="C914" s="21"/>
      <c r="D914" s="21"/>
    </row>
    <row r="915" spans="1:4" ht="13.5" customHeight="1" x14ac:dyDescent="0.25">
      <c r="A915" s="21"/>
      <c r="B915" s="22" t="s">
        <v>718</v>
      </c>
      <c r="C915" s="21"/>
      <c r="D915" s="21"/>
    </row>
    <row r="916" spans="1:4" ht="13.5" customHeight="1" x14ac:dyDescent="0.25">
      <c r="A916" s="21"/>
      <c r="B916" s="22" t="s">
        <v>719</v>
      </c>
      <c r="C916" s="21"/>
      <c r="D916" s="21"/>
    </row>
    <row r="917" spans="1:4" ht="13.5" customHeight="1" x14ac:dyDescent="0.25">
      <c r="A917" s="21"/>
      <c r="B917" s="22" t="s">
        <v>720</v>
      </c>
      <c r="C917" s="21"/>
      <c r="D917" s="21"/>
    </row>
    <row r="918" spans="1:4" ht="13.5" customHeight="1" x14ac:dyDescent="0.25">
      <c r="A918" s="21"/>
      <c r="B918" s="22"/>
      <c r="C918" s="21"/>
      <c r="D918" s="21"/>
    </row>
    <row r="919" spans="1:4" ht="13.5" customHeight="1" x14ac:dyDescent="0.25">
      <c r="A919" s="21"/>
      <c r="B919" s="22" t="s">
        <v>721</v>
      </c>
      <c r="C919" s="21"/>
      <c r="D919" s="21"/>
    </row>
    <row r="920" spans="1:4" ht="13.5" customHeight="1" x14ac:dyDescent="0.25">
      <c r="A920" s="21"/>
      <c r="B920" s="22" t="s">
        <v>722</v>
      </c>
      <c r="C920" s="21"/>
      <c r="D920" s="21"/>
    </row>
    <row r="921" spans="1:4" ht="13.5" customHeight="1" x14ac:dyDescent="0.25">
      <c r="A921" s="21"/>
      <c r="B921" s="22" t="s">
        <v>186</v>
      </c>
      <c r="C921" s="21"/>
      <c r="D921" s="21"/>
    </row>
    <row r="922" spans="1:4" ht="13.5" customHeight="1" x14ac:dyDescent="0.25">
      <c r="A922" s="21"/>
      <c r="B922" s="22" t="s">
        <v>723</v>
      </c>
      <c r="C922" s="21"/>
      <c r="D922" s="21"/>
    </row>
    <row r="923" spans="1:4" ht="13.5" customHeight="1" x14ac:dyDescent="0.25">
      <c r="A923" s="21"/>
      <c r="B923" s="22" t="s">
        <v>724</v>
      </c>
      <c r="C923" s="21"/>
      <c r="D923" s="21"/>
    </row>
    <row r="924" spans="1:4" ht="13.5" customHeight="1" x14ac:dyDescent="0.25">
      <c r="A924" s="21"/>
      <c r="B924" s="22" t="s">
        <v>725</v>
      </c>
      <c r="C924" s="21"/>
      <c r="D924" s="21"/>
    </row>
    <row r="925" spans="1:4" ht="13.5" customHeight="1" x14ac:dyDescent="0.25">
      <c r="A925" s="21"/>
      <c r="B925" s="22" t="s">
        <v>726</v>
      </c>
      <c r="C925" s="21"/>
      <c r="D925" s="21"/>
    </row>
    <row r="926" spans="1:4" ht="13.5" customHeight="1" x14ac:dyDescent="0.25">
      <c r="A926" s="21"/>
      <c r="B926" s="22" t="s">
        <v>727</v>
      </c>
      <c r="C926" s="21"/>
      <c r="D926" s="21"/>
    </row>
    <row r="927" spans="1:4" ht="13.5" customHeight="1" x14ac:dyDescent="0.25">
      <c r="A927" s="21"/>
      <c r="B927" s="22" t="s">
        <v>728</v>
      </c>
      <c r="C927" s="21"/>
      <c r="D927" s="21"/>
    </row>
    <row r="928" spans="1:4" ht="13.5" customHeight="1" x14ac:dyDescent="0.25">
      <c r="A928" s="21"/>
      <c r="B928" s="22" t="s">
        <v>729</v>
      </c>
      <c r="C928" s="21"/>
      <c r="D928" s="21"/>
    </row>
    <row r="929" spans="1:4" ht="13.5" customHeight="1" x14ac:dyDescent="0.25">
      <c r="A929" s="21"/>
      <c r="B929" s="22" t="s">
        <v>730</v>
      </c>
      <c r="C929" s="21"/>
      <c r="D929" s="21"/>
    </row>
    <row r="930" spans="1:4" ht="13.5" customHeight="1" x14ac:dyDescent="0.25">
      <c r="A930" s="21"/>
      <c r="B930" s="22" t="s">
        <v>731</v>
      </c>
      <c r="C930" s="21"/>
      <c r="D930" s="21"/>
    </row>
    <row r="931" spans="1:4" ht="13.5" customHeight="1" x14ac:dyDescent="0.25">
      <c r="A931" s="21"/>
      <c r="B931" s="22" t="s">
        <v>732</v>
      </c>
      <c r="C931" s="21"/>
      <c r="D931" s="21"/>
    </row>
    <row r="932" spans="1:4" ht="13.5" customHeight="1" x14ac:dyDescent="0.25">
      <c r="A932" s="21"/>
      <c r="B932" s="22" t="s">
        <v>733</v>
      </c>
      <c r="C932" s="21"/>
      <c r="D932" s="21"/>
    </row>
    <row r="933" spans="1:4" ht="13.5" customHeight="1" x14ac:dyDescent="0.25">
      <c r="A933" s="21"/>
      <c r="B933" s="22" t="s">
        <v>734</v>
      </c>
      <c r="C933" s="21"/>
      <c r="D933" s="21"/>
    </row>
    <row r="934" spans="1:4" ht="13.5" customHeight="1" x14ac:dyDescent="0.25">
      <c r="A934" s="21"/>
      <c r="B934" s="22" t="s">
        <v>735</v>
      </c>
      <c r="C934" s="21"/>
      <c r="D934" s="21"/>
    </row>
    <row r="935" spans="1:4" ht="13.5" customHeight="1" x14ac:dyDescent="0.25">
      <c r="A935" s="21"/>
      <c r="B935" s="22" t="s">
        <v>736</v>
      </c>
      <c r="C935" s="21"/>
      <c r="D935" s="21"/>
    </row>
    <row r="936" spans="1:4" ht="13.5" customHeight="1" x14ac:dyDescent="0.25">
      <c r="A936" s="21"/>
      <c r="B936" s="22" t="s">
        <v>737</v>
      </c>
      <c r="C936" s="21"/>
      <c r="D936" s="21"/>
    </row>
    <row r="937" spans="1:4" ht="13.5" customHeight="1" x14ac:dyDescent="0.25">
      <c r="A937" s="21"/>
      <c r="B937" s="22" t="s">
        <v>738</v>
      </c>
      <c r="C937" s="21"/>
      <c r="D937" s="21"/>
    </row>
    <row r="938" spans="1:4" ht="13.5" customHeight="1" x14ac:dyDescent="0.25">
      <c r="A938" s="21"/>
      <c r="B938" s="22" t="s">
        <v>739</v>
      </c>
      <c r="C938" s="21"/>
      <c r="D938" s="21"/>
    </row>
    <row r="939" spans="1:4" ht="13.5" customHeight="1" x14ac:dyDescent="0.25">
      <c r="A939" s="21"/>
      <c r="B939" s="22" t="s">
        <v>740</v>
      </c>
      <c r="C939" s="21"/>
      <c r="D939" s="21"/>
    </row>
    <row r="940" spans="1:4" ht="13.5" customHeight="1" x14ac:dyDescent="0.25">
      <c r="A940" s="21"/>
      <c r="B940" s="22"/>
      <c r="C940" s="21"/>
      <c r="D940" s="21"/>
    </row>
    <row r="941" spans="1:4" ht="13.5" customHeight="1" x14ac:dyDescent="0.25">
      <c r="A941" s="21"/>
      <c r="B941" s="22" t="s">
        <v>741</v>
      </c>
      <c r="C941" s="21"/>
      <c r="D941" s="21"/>
    </row>
    <row r="942" spans="1:4" ht="13.5" customHeight="1" x14ac:dyDescent="0.25">
      <c r="A942" s="21"/>
      <c r="B942" s="22" t="s">
        <v>742</v>
      </c>
      <c r="C942" s="21"/>
      <c r="D942" s="21"/>
    </row>
    <row r="943" spans="1:4" ht="13.5" customHeight="1" x14ac:dyDescent="0.25">
      <c r="A943" s="21"/>
      <c r="B943" s="22" t="s">
        <v>743</v>
      </c>
      <c r="C943" s="21"/>
      <c r="D943" s="21"/>
    </row>
    <row r="944" spans="1:4" ht="13.5" customHeight="1" x14ac:dyDescent="0.25">
      <c r="A944" s="21"/>
      <c r="B944" s="22" t="s">
        <v>744</v>
      </c>
      <c r="C944" s="21"/>
      <c r="D944" s="21"/>
    </row>
    <row r="945" spans="1:4" ht="13.5" customHeight="1" x14ac:dyDescent="0.25">
      <c r="A945" s="21"/>
      <c r="B945" s="22" t="s">
        <v>119</v>
      </c>
      <c r="C945" s="21"/>
      <c r="D945" s="21"/>
    </row>
    <row r="946" spans="1:4" ht="13.5" customHeight="1" x14ac:dyDescent="0.25">
      <c r="A946" s="21"/>
      <c r="B946" s="22"/>
      <c r="C946" s="21"/>
      <c r="D946" s="21"/>
    </row>
    <row r="947" spans="1:4" ht="13.5" customHeight="1" x14ac:dyDescent="0.25">
      <c r="A947" s="21"/>
      <c r="B947" s="22" t="s">
        <v>745</v>
      </c>
      <c r="C947" s="21"/>
      <c r="D947" s="21"/>
    </row>
    <row r="948" spans="1:4" ht="13.5" customHeight="1" x14ac:dyDescent="0.25">
      <c r="A948" s="21"/>
      <c r="B948" s="22" t="s">
        <v>746</v>
      </c>
      <c r="C948" s="21"/>
      <c r="D948" s="21"/>
    </row>
    <row r="949" spans="1:4" ht="13.5" customHeight="1" x14ac:dyDescent="0.25">
      <c r="A949" s="21"/>
      <c r="B949" s="22" t="s">
        <v>747</v>
      </c>
      <c r="C949" s="21"/>
      <c r="D949" s="21"/>
    </row>
    <row r="950" spans="1:4" ht="13.5" customHeight="1" x14ac:dyDescent="0.25">
      <c r="A950" s="21"/>
      <c r="B950" s="22" t="s">
        <v>748</v>
      </c>
      <c r="C950" s="21"/>
      <c r="D950" s="21"/>
    </row>
    <row r="951" spans="1:4" ht="13.5" customHeight="1" x14ac:dyDescent="0.25">
      <c r="A951" s="21"/>
      <c r="B951" s="22" t="s">
        <v>749</v>
      </c>
      <c r="C951" s="21"/>
      <c r="D951" s="21"/>
    </row>
    <row r="952" spans="1:4" ht="13.5" customHeight="1" x14ac:dyDescent="0.25">
      <c r="A952" s="21"/>
      <c r="B952" s="22" t="s">
        <v>750</v>
      </c>
      <c r="C952" s="21"/>
      <c r="D952" s="21"/>
    </row>
    <row r="953" spans="1:4" ht="13.5" customHeight="1" x14ac:dyDescent="0.25">
      <c r="A953" s="21"/>
      <c r="B953" s="22" t="s">
        <v>356</v>
      </c>
      <c r="C953" s="21"/>
      <c r="D953" s="21"/>
    </row>
    <row r="954" spans="1:4" ht="13.5" customHeight="1" x14ac:dyDescent="0.25">
      <c r="A954" s="21"/>
      <c r="B954" s="22"/>
      <c r="C954" s="21"/>
      <c r="D954" s="21"/>
    </row>
    <row r="955" spans="1:4" ht="13.5" customHeight="1" x14ac:dyDescent="0.25">
      <c r="A955" s="21"/>
      <c r="B955" s="22" t="s">
        <v>751</v>
      </c>
      <c r="C955" s="21"/>
      <c r="D955" s="21"/>
    </row>
    <row r="956" spans="1:4" ht="13.5" customHeight="1" x14ac:dyDescent="0.25">
      <c r="A956" s="21"/>
      <c r="B956" s="22" t="s">
        <v>752</v>
      </c>
      <c r="C956" s="21"/>
      <c r="D956" s="21"/>
    </row>
    <row r="957" spans="1:4" ht="13.5" customHeight="1" x14ac:dyDescent="0.25">
      <c r="A957" s="21"/>
      <c r="B957" s="22" t="s">
        <v>753</v>
      </c>
      <c r="C957" s="21"/>
      <c r="D957" s="21"/>
    </row>
    <row r="958" spans="1:4" ht="13.5" customHeight="1" x14ac:dyDescent="0.25">
      <c r="A958" s="21"/>
      <c r="B958" s="22" t="s">
        <v>754</v>
      </c>
      <c r="C958" s="21"/>
      <c r="D958" s="21"/>
    </row>
    <row r="959" spans="1:4" ht="13.5" customHeight="1" x14ac:dyDescent="0.25">
      <c r="A959" s="21"/>
      <c r="B959" s="22" t="s">
        <v>755</v>
      </c>
      <c r="C959" s="21"/>
      <c r="D959" s="21"/>
    </row>
    <row r="960" spans="1:4" ht="13.5" customHeight="1" x14ac:dyDescent="0.25">
      <c r="A960" s="21"/>
      <c r="B960" s="22" t="s">
        <v>756</v>
      </c>
      <c r="C960" s="21"/>
      <c r="D960" s="21"/>
    </row>
    <row r="961" spans="1:4" ht="13.5" customHeight="1" x14ac:dyDescent="0.25">
      <c r="A961" s="21"/>
      <c r="B961" s="22" t="s">
        <v>387</v>
      </c>
      <c r="C961" s="21"/>
      <c r="D961" s="21"/>
    </row>
    <row r="962" spans="1:4" ht="13.5" customHeight="1" x14ac:dyDescent="0.25">
      <c r="A962" s="21"/>
      <c r="B962" s="22" t="s">
        <v>94</v>
      </c>
      <c r="C962" s="21"/>
      <c r="D962" s="21"/>
    </row>
    <row r="963" spans="1:4" ht="13.5" customHeight="1" x14ac:dyDescent="0.25">
      <c r="A963" s="21"/>
      <c r="B963" s="22" t="s">
        <v>757</v>
      </c>
      <c r="C963" s="21"/>
      <c r="D963" s="21"/>
    </row>
    <row r="964" spans="1:4" ht="9.75" customHeight="1" x14ac:dyDescent="0.25">
      <c r="A964" s="12"/>
      <c r="B964" s="12"/>
      <c r="C964" s="12"/>
      <c r="D964" s="12"/>
    </row>
    <row r="965" spans="1:4" ht="21.75" customHeight="1" x14ac:dyDescent="0.25">
      <c r="A965" s="17"/>
      <c r="B965" s="230" t="s">
        <v>758</v>
      </c>
      <c r="C965" s="230"/>
      <c r="D965" s="17"/>
    </row>
    <row r="966" spans="1:4" ht="16.5" customHeight="1" x14ac:dyDescent="0.25">
      <c r="A966" s="5"/>
      <c r="B966" s="231" t="s">
        <v>759</v>
      </c>
      <c r="C966" s="231"/>
      <c r="D966" s="5"/>
    </row>
    <row r="967" spans="1:4" ht="15" customHeight="1" x14ac:dyDescent="0.25">
      <c r="A967" s="18"/>
      <c r="B967" s="232" t="s">
        <v>760</v>
      </c>
      <c r="C967" s="232"/>
      <c r="D967" s="18"/>
    </row>
    <row r="968" spans="1:4" ht="13.5" customHeight="1" x14ac:dyDescent="0.25">
      <c r="A968" s="19"/>
      <c r="B968" s="20" t="s">
        <v>761</v>
      </c>
      <c r="C968" s="19"/>
      <c r="D968" s="19"/>
    </row>
    <row r="969" spans="1:4" ht="13.5" customHeight="1" x14ac:dyDescent="0.25">
      <c r="A969" s="21"/>
      <c r="B969" s="22" t="s">
        <v>762</v>
      </c>
      <c r="C969" s="21"/>
      <c r="D969" s="21"/>
    </row>
    <row r="970" spans="1:4" ht="13.5" customHeight="1" x14ac:dyDescent="0.25">
      <c r="A970" s="21"/>
      <c r="B970" s="22" t="s">
        <v>763</v>
      </c>
      <c r="C970" s="21"/>
      <c r="D970" s="21"/>
    </row>
    <row r="971" spans="1:4" ht="13.5" customHeight="1" x14ac:dyDescent="0.25">
      <c r="A971" s="21"/>
      <c r="B971" s="22" t="s">
        <v>144</v>
      </c>
      <c r="C971" s="21"/>
      <c r="D971" s="21"/>
    </row>
    <row r="972" spans="1:4" ht="13.5" customHeight="1" x14ac:dyDescent="0.25">
      <c r="A972" s="21"/>
      <c r="B972" s="22" t="s">
        <v>764</v>
      </c>
      <c r="C972" s="21"/>
      <c r="D972" s="21"/>
    </row>
    <row r="973" spans="1:4" ht="13.5" customHeight="1" x14ac:dyDescent="0.25">
      <c r="A973" s="21"/>
      <c r="B973" s="22" t="s">
        <v>765</v>
      </c>
      <c r="C973" s="21"/>
      <c r="D973" s="21"/>
    </row>
    <row r="974" spans="1:4" ht="13.5" customHeight="1" x14ac:dyDescent="0.25">
      <c r="A974" s="21"/>
      <c r="B974" s="22" t="s">
        <v>766</v>
      </c>
      <c r="C974" s="21"/>
      <c r="D974" s="21"/>
    </row>
    <row r="975" spans="1:4" ht="13.5" customHeight="1" x14ac:dyDescent="0.25">
      <c r="A975" s="21"/>
      <c r="B975" s="22" t="s">
        <v>767</v>
      </c>
      <c r="C975" s="21"/>
      <c r="D975" s="21"/>
    </row>
    <row r="976" spans="1:4" ht="13.5" customHeight="1" x14ac:dyDescent="0.25">
      <c r="A976" s="21"/>
      <c r="B976" s="22" t="s">
        <v>768</v>
      </c>
      <c r="C976" s="21"/>
      <c r="D976" s="21"/>
    </row>
    <row r="977" spans="1:4" ht="13.5" customHeight="1" x14ac:dyDescent="0.25">
      <c r="A977" s="21"/>
      <c r="B977" s="22" t="s">
        <v>105</v>
      </c>
      <c r="C977" s="21"/>
      <c r="D977" s="21"/>
    </row>
    <row r="978" spans="1:4" ht="13.5" customHeight="1" x14ac:dyDescent="0.25">
      <c r="A978" s="21"/>
      <c r="B978" s="22" t="s">
        <v>80</v>
      </c>
      <c r="C978" s="21"/>
      <c r="D978" s="21"/>
    </row>
    <row r="979" spans="1:4" ht="13.5" customHeight="1" x14ac:dyDescent="0.25">
      <c r="A979" s="21"/>
      <c r="B979" s="22" t="s">
        <v>769</v>
      </c>
      <c r="C979" s="21"/>
      <c r="D979" s="21"/>
    </row>
    <row r="980" spans="1:4" ht="13.5" customHeight="1" x14ac:dyDescent="0.25">
      <c r="A980" s="21"/>
      <c r="B980" s="22"/>
      <c r="C980" s="21"/>
      <c r="D980" s="21"/>
    </row>
    <row r="981" spans="1:4" ht="13.5" customHeight="1" x14ac:dyDescent="0.25">
      <c r="A981" s="21"/>
      <c r="B981" s="22" t="s">
        <v>770</v>
      </c>
      <c r="C981" s="21"/>
      <c r="D981" s="21"/>
    </row>
    <row r="982" spans="1:4" ht="13.5" customHeight="1" x14ac:dyDescent="0.25">
      <c r="A982" s="21"/>
      <c r="B982" s="22" t="s">
        <v>771</v>
      </c>
      <c r="C982" s="21"/>
      <c r="D982" s="21"/>
    </row>
    <row r="983" spans="1:4" ht="13.5" customHeight="1" x14ac:dyDescent="0.25">
      <c r="A983" s="21"/>
      <c r="B983" s="22" t="s">
        <v>772</v>
      </c>
      <c r="C983" s="21"/>
      <c r="D983" s="21"/>
    </row>
    <row r="984" spans="1:4" ht="13.5" customHeight="1" x14ac:dyDescent="0.25">
      <c r="A984" s="21"/>
      <c r="B984" s="22" t="s">
        <v>773</v>
      </c>
      <c r="C984" s="21"/>
      <c r="D984" s="21"/>
    </row>
    <row r="985" spans="1:4" ht="13.5" customHeight="1" x14ac:dyDescent="0.25">
      <c r="A985" s="21"/>
      <c r="B985" s="22" t="s">
        <v>774</v>
      </c>
      <c r="C985" s="21"/>
      <c r="D985" s="21"/>
    </row>
    <row r="986" spans="1:4" ht="13.5" customHeight="1" x14ac:dyDescent="0.25">
      <c r="A986" s="21"/>
      <c r="B986" s="22" t="s">
        <v>775</v>
      </c>
      <c r="C986" s="21"/>
      <c r="D986" s="21"/>
    </row>
    <row r="987" spans="1:4" ht="13.5" customHeight="1" x14ac:dyDescent="0.25">
      <c r="A987" s="21"/>
      <c r="B987" s="22" t="s">
        <v>776</v>
      </c>
      <c r="C987" s="21"/>
      <c r="D987" s="21"/>
    </row>
    <row r="988" spans="1:4" ht="13.5" customHeight="1" x14ac:dyDescent="0.25">
      <c r="A988" s="21"/>
      <c r="B988" s="22" t="s">
        <v>777</v>
      </c>
      <c r="C988" s="21"/>
      <c r="D988" s="21"/>
    </row>
    <row r="989" spans="1:4" ht="13.5" customHeight="1" x14ac:dyDescent="0.25">
      <c r="A989" s="21"/>
      <c r="B989" s="22" t="s">
        <v>778</v>
      </c>
      <c r="C989" s="21"/>
      <c r="D989" s="21"/>
    </row>
    <row r="990" spans="1:4" ht="13.5" customHeight="1" x14ac:dyDescent="0.25">
      <c r="A990" s="21"/>
      <c r="B990" s="22" t="s">
        <v>779</v>
      </c>
      <c r="C990" s="21"/>
      <c r="D990" s="21"/>
    </row>
    <row r="991" spans="1:4" ht="13.5" customHeight="1" x14ac:dyDescent="0.25">
      <c r="A991" s="21"/>
      <c r="B991" s="22" t="s">
        <v>356</v>
      </c>
      <c r="C991" s="21"/>
      <c r="D991" s="21"/>
    </row>
    <row r="992" spans="1:4" ht="13.5" customHeight="1" x14ac:dyDescent="0.25">
      <c r="A992" s="21"/>
      <c r="B992" s="22"/>
      <c r="C992" s="21"/>
      <c r="D992" s="21"/>
    </row>
    <row r="993" spans="1:4" ht="13.5" customHeight="1" x14ac:dyDescent="0.25">
      <c r="A993" s="21"/>
      <c r="B993" s="22" t="s">
        <v>780</v>
      </c>
      <c r="C993" s="21"/>
      <c r="D993" s="21"/>
    </row>
    <row r="994" spans="1:4" ht="13.5" customHeight="1" x14ac:dyDescent="0.25">
      <c r="A994" s="21"/>
      <c r="B994" s="22" t="s">
        <v>781</v>
      </c>
      <c r="C994" s="21"/>
      <c r="D994" s="21"/>
    </row>
    <row r="995" spans="1:4" ht="13.5" customHeight="1" x14ac:dyDescent="0.25">
      <c r="A995" s="21"/>
      <c r="B995" s="22" t="s">
        <v>782</v>
      </c>
      <c r="C995" s="21"/>
      <c r="D995" s="21"/>
    </row>
    <row r="996" spans="1:4" ht="13.5" customHeight="1" x14ac:dyDescent="0.25">
      <c r="A996" s="21"/>
      <c r="B996" s="22" t="s">
        <v>783</v>
      </c>
      <c r="C996" s="21"/>
      <c r="D996" s="21"/>
    </row>
    <row r="997" spans="1:4" ht="13.5" customHeight="1" x14ac:dyDescent="0.25">
      <c r="A997" s="21"/>
      <c r="B997" s="22" t="s">
        <v>356</v>
      </c>
      <c r="C997" s="21"/>
      <c r="D997" s="21"/>
    </row>
    <row r="998" spans="1:4" ht="13.5" customHeight="1" x14ac:dyDescent="0.25">
      <c r="A998" s="21"/>
      <c r="B998" s="22"/>
      <c r="C998" s="21"/>
      <c r="D998" s="21"/>
    </row>
    <row r="999" spans="1:4" ht="13.5" customHeight="1" x14ac:dyDescent="0.25">
      <c r="A999" s="21"/>
      <c r="B999" s="22" t="s">
        <v>784</v>
      </c>
      <c r="C999" s="21"/>
      <c r="D999" s="21"/>
    </row>
    <row r="1000" spans="1:4" ht="13.5" customHeight="1" x14ac:dyDescent="0.25">
      <c r="A1000" s="21"/>
      <c r="B1000" s="22" t="s">
        <v>785</v>
      </c>
      <c r="C1000" s="21"/>
      <c r="D1000" s="21"/>
    </row>
    <row r="1001" spans="1:4" ht="13.5" customHeight="1" x14ac:dyDescent="0.25">
      <c r="A1001" s="21"/>
      <c r="B1001" s="22" t="s">
        <v>786</v>
      </c>
      <c r="C1001" s="21"/>
      <c r="D1001" s="21"/>
    </row>
    <row r="1002" spans="1:4" ht="13.5" customHeight="1" x14ac:dyDescent="0.25">
      <c r="A1002" s="21"/>
      <c r="B1002" s="22" t="s">
        <v>787</v>
      </c>
      <c r="C1002" s="21"/>
      <c r="D1002" s="21"/>
    </row>
    <row r="1003" spans="1:4" ht="13.5" customHeight="1" x14ac:dyDescent="0.25">
      <c r="A1003" s="21"/>
      <c r="B1003" s="22" t="s">
        <v>788</v>
      </c>
      <c r="C1003" s="21"/>
      <c r="D1003" s="21"/>
    </row>
    <row r="1004" spans="1:4" ht="13.5" customHeight="1" x14ac:dyDescent="0.25">
      <c r="A1004" s="21"/>
      <c r="B1004" s="22" t="s">
        <v>789</v>
      </c>
      <c r="C1004" s="21"/>
      <c r="D1004" s="21"/>
    </row>
    <row r="1005" spans="1:4" ht="13.5" customHeight="1" x14ac:dyDescent="0.25">
      <c r="A1005" s="21"/>
      <c r="B1005" s="22" t="s">
        <v>790</v>
      </c>
      <c r="C1005" s="21"/>
      <c r="D1005" s="21"/>
    </row>
    <row r="1006" spans="1:4" ht="13.5" customHeight="1" x14ac:dyDescent="0.25">
      <c r="A1006" s="21"/>
      <c r="B1006" s="22" t="s">
        <v>356</v>
      </c>
      <c r="C1006" s="21"/>
      <c r="D1006" s="21"/>
    </row>
    <row r="1007" spans="1:4" ht="13.5" customHeight="1" x14ac:dyDescent="0.25">
      <c r="A1007" s="21"/>
      <c r="B1007" s="22"/>
      <c r="C1007" s="21"/>
      <c r="D1007" s="21"/>
    </row>
    <row r="1008" spans="1:4" ht="13.5" customHeight="1" x14ac:dyDescent="0.25">
      <c r="A1008" s="21"/>
      <c r="B1008" s="22" t="s">
        <v>791</v>
      </c>
      <c r="C1008" s="21"/>
      <c r="D1008" s="21"/>
    </row>
    <row r="1009" spans="1:4" ht="13.5" customHeight="1" x14ac:dyDescent="0.25">
      <c r="A1009" s="21"/>
      <c r="B1009" s="22" t="s">
        <v>792</v>
      </c>
      <c r="C1009" s="21"/>
      <c r="D1009" s="21"/>
    </row>
    <row r="1010" spans="1:4" ht="13.5" customHeight="1" x14ac:dyDescent="0.25">
      <c r="A1010" s="21"/>
      <c r="B1010" s="22" t="s">
        <v>793</v>
      </c>
      <c r="C1010" s="21"/>
      <c r="D1010" s="21"/>
    </row>
    <row r="1011" spans="1:4" ht="13.5" customHeight="1" x14ac:dyDescent="0.25">
      <c r="A1011" s="21"/>
      <c r="B1011" s="22" t="s">
        <v>794</v>
      </c>
      <c r="C1011" s="21"/>
      <c r="D1011" s="21"/>
    </row>
    <row r="1012" spans="1:4" ht="13.5" customHeight="1" x14ac:dyDescent="0.25">
      <c r="A1012" s="21"/>
      <c r="B1012" s="22" t="s">
        <v>795</v>
      </c>
      <c r="C1012" s="21"/>
      <c r="D1012" s="21"/>
    </row>
    <row r="1013" spans="1:4" ht="13.5" customHeight="1" x14ac:dyDescent="0.25">
      <c r="A1013" s="21"/>
      <c r="B1013" s="22" t="s">
        <v>387</v>
      </c>
      <c r="C1013" s="21"/>
      <c r="D1013" s="21"/>
    </row>
    <row r="1014" spans="1:4" ht="13.5" customHeight="1" x14ac:dyDescent="0.25">
      <c r="A1014" s="21"/>
      <c r="B1014" s="22" t="s">
        <v>94</v>
      </c>
      <c r="C1014" s="21"/>
      <c r="D1014" s="21"/>
    </row>
    <row r="1015" spans="1:4" ht="13.5" customHeight="1" x14ac:dyDescent="0.25">
      <c r="A1015" s="21"/>
      <c r="B1015" s="22" t="s">
        <v>796</v>
      </c>
      <c r="C1015" s="21"/>
      <c r="D1015" s="21"/>
    </row>
    <row r="1016" spans="1:4" ht="9.75" customHeight="1" x14ac:dyDescent="0.25">
      <c r="A1016" s="12"/>
      <c r="B1016" s="12"/>
      <c r="C1016" s="12"/>
      <c r="D1016" s="12"/>
    </row>
    <row r="1017" spans="1:4" ht="21.75" customHeight="1" x14ac:dyDescent="0.25">
      <c r="A1017" s="31"/>
      <c r="B1017" s="235" t="s">
        <v>797</v>
      </c>
      <c r="C1017" s="235"/>
      <c r="D1017" s="31"/>
    </row>
    <row r="1018" spans="1:4" ht="6" customHeight="1" x14ac:dyDescent="0.25">
      <c r="A1018" s="16"/>
      <c r="B1018" s="16"/>
      <c r="C1018" s="16"/>
      <c r="D1018" s="16"/>
    </row>
    <row r="1019" spans="1:4" ht="21.75" customHeight="1" x14ac:dyDescent="0.25">
      <c r="A1019" s="17"/>
      <c r="B1019" s="230" t="s">
        <v>798</v>
      </c>
      <c r="C1019" s="230"/>
      <c r="D1019" s="17"/>
    </row>
    <row r="1020" spans="1:4" ht="16.5" customHeight="1" x14ac:dyDescent="0.25">
      <c r="A1020" s="5"/>
      <c r="B1020" s="231" t="s">
        <v>799</v>
      </c>
      <c r="C1020" s="231"/>
      <c r="D1020" s="5"/>
    </row>
    <row r="1021" spans="1:4" ht="15" customHeight="1" x14ac:dyDescent="0.25">
      <c r="A1021" s="18"/>
      <c r="B1021" s="232" t="s">
        <v>800</v>
      </c>
      <c r="C1021" s="232"/>
      <c r="D1021" s="18"/>
    </row>
    <row r="1022" spans="1:4" ht="13.5" customHeight="1" x14ac:dyDescent="0.25">
      <c r="A1022" s="19"/>
      <c r="B1022" s="20" t="s">
        <v>801</v>
      </c>
      <c r="C1022" s="19"/>
      <c r="D1022" s="19"/>
    </row>
    <row r="1023" spans="1:4" ht="13.5" customHeight="1" x14ac:dyDescent="0.25">
      <c r="A1023" s="21"/>
      <c r="B1023" s="22" t="s">
        <v>802</v>
      </c>
      <c r="C1023" s="21"/>
      <c r="D1023" s="21"/>
    </row>
    <row r="1024" spans="1:4" ht="13.5" customHeight="1" x14ac:dyDescent="0.25">
      <c r="A1024" s="21"/>
      <c r="B1024" s="22" t="s">
        <v>803</v>
      </c>
      <c r="C1024" s="21"/>
      <c r="D1024" s="21"/>
    </row>
    <row r="1025" spans="1:4" ht="13.5" customHeight="1" x14ac:dyDescent="0.25">
      <c r="A1025" s="21"/>
      <c r="B1025" s="22" t="s">
        <v>804</v>
      </c>
      <c r="C1025" s="21"/>
      <c r="D1025" s="21"/>
    </row>
    <row r="1026" spans="1:4" ht="13.5" customHeight="1" x14ac:dyDescent="0.25">
      <c r="A1026" s="21"/>
      <c r="B1026" s="22" t="s">
        <v>105</v>
      </c>
      <c r="C1026" s="21"/>
      <c r="D1026" s="21"/>
    </row>
    <row r="1027" spans="1:4" ht="13.5" customHeight="1" x14ac:dyDescent="0.25">
      <c r="A1027" s="21"/>
      <c r="B1027" s="22" t="s">
        <v>80</v>
      </c>
      <c r="C1027" s="21"/>
      <c r="D1027" s="21"/>
    </row>
    <row r="1028" spans="1:4" ht="13.5" customHeight="1" x14ac:dyDescent="0.25">
      <c r="A1028" s="21"/>
      <c r="B1028" s="22" t="s">
        <v>805</v>
      </c>
      <c r="C1028" s="21"/>
      <c r="D1028" s="21"/>
    </row>
    <row r="1029" spans="1:4" ht="13.5" customHeight="1" x14ac:dyDescent="0.25">
      <c r="A1029" s="21"/>
      <c r="B1029" s="22" t="s">
        <v>806</v>
      </c>
      <c r="C1029" s="21"/>
      <c r="D1029" s="21"/>
    </row>
    <row r="1030" spans="1:4" ht="13.5" customHeight="1" x14ac:dyDescent="0.25">
      <c r="A1030" s="21"/>
      <c r="B1030" s="22"/>
      <c r="C1030" s="21"/>
      <c r="D1030" s="21"/>
    </row>
    <row r="1031" spans="1:4" ht="13.5" customHeight="1" x14ac:dyDescent="0.25">
      <c r="A1031" s="21"/>
      <c r="B1031" s="22" t="s">
        <v>807</v>
      </c>
      <c r="C1031" s="21"/>
      <c r="D1031" s="21"/>
    </row>
    <row r="1032" spans="1:4" ht="13.5" customHeight="1" x14ac:dyDescent="0.25">
      <c r="A1032" s="21"/>
      <c r="B1032" s="22" t="s">
        <v>808</v>
      </c>
      <c r="C1032" s="21"/>
      <c r="D1032" s="21"/>
    </row>
    <row r="1033" spans="1:4" ht="13.5" customHeight="1" x14ac:dyDescent="0.25">
      <c r="A1033" s="21"/>
      <c r="B1033" s="22" t="s">
        <v>809</v>
      </c>
      <c r="C1033" s="21"/>
      <c r="D1033" s="21"/>
    </row>
    <row r="1034" spans="1:4" ht="13.5" customHeight="1" x14ac:dyDescent="0.25">
      <c r="A1034" s="21"/>
      <c r="B1034" s="22" t="s">
        <v>810</v>
      </c>
      <c r="C1034" s="21"/>
      <c r="D1034" s="21"/>
    </row>
    <row r="1035" spans="1:4" ht="13.5" customHeight="1" x14ac:dyDescent="0.25">
      <c r="A1035" s="21"/>
      <c r="B1035" s="22" t="s">
        <v>811</v>
      </c>
      <c r="C1035" s="21"/>
      <c r="D1035" s="21"/>
    </row>
    <row r="1036" spans="1:4" ht="13.5" customHeight="1" x14ac:dyDescent="0.25">
      <c r="A1036" s="21"/>
      <c r="B1036" s="22" t="s">
        <v>812</v>
      </c>
      <c r="C1036" s="21"/>
      <c r="D1036" s="21"/>
    </row>
    <row r="1037" spans="1:4" ht="13.5" customHeight="1" x14ac:dyDescent="0.25">
      <c r="A1037" s="21"/>
      <c r="B1037" s="22" t="s">
        <v>813</v>
      </c>
      <c r="C1037" s="21"/>
      <c r="D1037" s="21"/>
    </row>
    <row r="1038" spans="1:4" ht="13.5" customHeight="1" x14ac:dyDescent="0.25">
      <c r="A1038" s="21"/>
      <c r="B1038" s="22" t="s">
        <v>814</v>
      </c>
      <c r="C1038" s="21"/>
      <c r="D1038" s="21"/>
    </row>
    <row r="1039" spans="1:4" ht="13.5" customHeight="1" x14ac:dyDescent="0.25">
      <c r="A1039" s="21"/>
      <c r="B1039" s="22" t="s">
        <v>815</v>
      </c>
      <c r="C1039" s="21"/>
      <c r="D1039" s="21"/>
    </row>
    <row r="1040" spans="1:4" ht="13.5" customHeight="1" x14ac:dyDescent="0.25">
      <c r="A1040" s="21"/>
      <c r="B1040" s="22" t="s">
        <v>816</v>
      </c>
      <c r="C1040" s="21"/>
      <c r="D1040" s="21"/>
    </row>
    <row r="1041" spans="1:4" ht="13.5" customHeight="1" x14ac:dyDescent="0.25">
      <c r="A1041" s="21"/>
      <c r="B1041" s="22" t="s">
        <v>817</v>
      </c>
      <c r="C1041" s="21"/>
      <c r="D1041" s="21"/>
    </row>
    <row r="1042" spans="1:4" ht="13.5" customHeight="1" x14ac:dyDescent="0.25">
      <c r="A1042" s="21"/>
      <c r="B1042" s="22" t="s">
        <v>818</v>
      </c>
      <c r="C1042" s="21"/>
      <c r="D1042" s="21"/>
    </row>
    <row r="1043" spans="1:4" ht="13.5" customHeight="1" x14ac:dyDescent="0.25">
      <c r="A1043" s="21"/>
      <c r="B1043" s="22" t="s">
        <v>819</v>
      </c>
      <c r="C1043" s="21"/>
      <c r="D1043" s="21"/>
    </row>
    <row r="1044" spans="1:4" ht="13.5" customHeight="1" x14ac:dyDescent="0.25">
      <c r="A1044" s="21"/>
      <c r="B1044" s="22" t="s">
        <v>820</v>
      </c>
      <c r="C1044" s="21"/>
      <c r="D1044" s="21"/>
    </row>
    <row r="1045" spans="1:4" ht="13.5" customHeight="1" x14ac:dyDescent="0.25">
      <c r="A1045" s="21"/>
      <c r="B1045" s="22" t="s">
        <v>821</v>
      </c>
      <c r="C1045" s="21"/>
      <c r="D1045" s="21"/>
    </row>
    <row r="1046" spans="1:4" ht="13.5" customHeight="1" x14ac:dyDescent="0.25">
      <c r="A1046" s="21"/>
      <c r="B1046" s="22"/>
      <c r="C1046" s="21"/>
      <c r="D1046" s="21"/>
    </row>
    <row r="1047" spans="1:4" ht="13.5" customHeight="1" x14ac:dyDescent="0.25">
      <c r="A1047" s="21"/>
      <c r="B1047" s="22" t="s">
        <v>822</v>
      </c>
      <c r="C1047" s="21"/>
      <c r="D1047" s="21"/>
    </row>
    <row r="1048" spans="1:4" ht="13.5" customHeight="1" x14ac:dyDescent="0.25">
      <c r="A1048" s="21"/>
      <c r="B1048" s="22" t="s">
        <v>823</v>
      </c>
      <c r="C1048" s="21"/>
      <c r="D1048" s="21"/>
    </row>
    <row r="1049" spans="1:4" ht="13.5" customHeight="1" x14ac:dyDescent="0.25">
      <c r="A1049" s="21"/>
      <c r="B1049" s="22" t="s">
        <v>824</v>
      </c>
      <c r="C1049" s="21"/>
      <c r="D1049" s="21"/>
    </row>
    <row r="1050" spans="1:4" ht="13.5" customHeight="1" x14ac:dyDescent="0.25">
      <c r="A1050" s="21"/>
      <c r="B1050" s="22" t="s">
        <v>825</v>
      </c>
      <c r="C1050" s="21"/>
      <c r="D1050" s="21"/>
    </row>
    <row r="1051" spans="1:4" ht="13.5" customHeight="1" x14ac:dyDescent="0.25">
      <c r="A1051" s="21"/>
      <c r="B1051" s="22" t="s">
        <v>826</v>
      </c>
      <c r="C1051" s="21"/>
      <c r="D1051" s="21"/>
    </row>
    <row r="1052" spans="1:4" ht="13.5" customHeight="1" x14ac:dyDescent="0.25">
      <c r="A1052" s="21"/>
      <c r="B1052" s="22" t="s">
        <v>827</v>
      </c>
      <c r="C1052" s="21"/>
      <c r="D1052" s="21"/>
    </row>
    <row r="1053" spans="1:4" ht="13.5" customHeight="1" x14ac:dyDescent="0.25">
      <c r="A1053" s="21"/>
      <c r="B1053" s="22" t="s">
        <v>828</v>
      </c>
      <c r="C1053" s="21"/>
      <c r="D1053" s="21"/>
    </row>
    <row r="1054" spans="1:4" ht="13.5" customHeight="1" x14ac:dyDescent="0.25">
      <c r="A1054" s="21"/>
      <c r="B1054" s="22" t="s">
        <v>829</v>
      </c>
      <c r="C1054" s="21"/>
      <c r="D1054" s="21"/>
    </row>
    <row r="1055" spans="1:4" ht="13.5" customHeight="1" x14ac:dyDescent="0.25">
      <c r="A1055" s="21"/>
      <c r="B1055" s="22" t="s">
        <v>830</v>
      </c>
      <c r="C1055" s="21"/>
      <c r="D1055" s="21"/>
    </row>
    <row r="1056" spans="1:4" ht="13.5" customHeight="1" x14ac:dyDescent="0.25">
      <c r="A1056" s="21"/>
      <c r="B1056" s="22" t="s">
        <v>831</v>
      </c>
      <c r="C1056" s="21"/>
      <c r="D1056" s="21"/>
    </row>
    <row r="1057" spans="1:4" ht="13.5" customHeight="1" x14ac:dyDescent="0.25">
      <c r="A1057" s="21"/>
      <c r="B1057" s="22" t="s">
        <v>832</v>
      </c>
      <c r="C1057" s="21"/>
      <c r="D1057" s="21"/>
    </row>
    <row r="1058" spans="1:4" ht="13.5" customHeight="1" x14ac:dyDescent="0.25">
      <c r="A1058" s="21"/>
      <c r="B1058" s="22" t="s">
        <v>833</v>
      </c>
      <c r="C1058" s="21"/>
      <c r="D1058" s="21"/>
    </row>
    <row r="1059" spans="1:4" ht="13.5" customHeight="1" x14ac:dyDescent="0.25">
      <c r="A1059" s="21"/>
      <c r="B1059" s="22" t="s">
        <v>834</v>
      </c>
      <c r="C1059" s="21"/>
      <c r="D1059" s="21"/>
    </row>
    <row r="1060" spans="1:4" ht="13.5" customHeight="1" x14ac:dyDescent="0.25">
      <c r="A1060" s="21"/>
      <c r="B1060" s="22" t="s">
        <v>835</v>
      </c>
      <c r="C1060" s="21"/>
      <c r="D1060" s="21"/>
    </row>
    <row r="1061" spans="1:4" ht="13.5" customHeight="1" x14ac:dyDescent="0.25">
      <c r="A1061" s="21"/>
      <c r="B1061" s="22" t="s">
        <v>836</v>
      </c>
      <c r="C1061" s="21"/>
      <c r="D1061" s="21"/>
    </row>
    <row r="1062" spans="1:4" ht="13.5" customHeight="1" x14ac:dyDescent="0.25">
      <c r="A1062" s="21"/>
      <c r="B1062" s="22" t="s">
        <v>837</v>
      </c>
      <c r="C1062" s="21"/>
      <c r="D1062" s="21"/>
    </row>
    <row r="1063" spans="1:4" ht="13.5" customHeight="1" x14ac:dyDescent="0.25">
      <c r="A1063" s="21"/>
      <c r="B1063" s="22" t="s">
        <v>838</v>
      </c>
      <c r="C1063" s="21"/>
      <c r="D1063" s="21"/>
    </row>
    <row r="1064" spans="1:4" ht="13.5" customHeight="1" x14ac:dyDescent="0.25">
      <c r="A1064" s="21"/>
      <c r="B1064" s="22" t="s">
        <v>839</v>
      </c>
      <c r="C1064" s="21"/>
      <c r="D1064" s="21"/>
    </row>
    <row r="1065" spans="1:4" ht="13.5" customHeight="1" x14ac:dyDescent="0.25">
      <c r="A1065" s="21"/>
      <c r="B1065" s="22" t="s">
        <v>840</v>
      </c>
      <c r="C1065" s="21"/>
      <c r="D1065" s="21"/>
    </row>
    <row r="1066" spans="1:4" ht="13.5" customHeight="1" x14ac:dyDescent="0.25">
      <c r="A1066" s="21"/>
      <c r="B1066" s="22" t="s">
        <v>841</v>
      </c>
      <c r="C1066" s="21"/>
      <c r="D1066" s="21"/>
    </row>
    <row r="1067" spans="1:4" ht="13.5" customHeight="1" x14ac:dyDescent="0.25">
      <c r="A1067" s="21"/>
      <c r="B1067" s="22" t="s">
        <v>842</v>
      </c>
      <c r="C1067" s="21"/>
      <c r="D1067" s="21"/>
    </row>
    <row r="1068" spans="1:4" ht="13.5" customHeight="1" x14ac:dyDescent="0.25">
      <c r="A1068" s="21"/>
      <c r="B1068" s="22" t="s">
        <v>843</v>
      </c>
      <c r="C1068" s="21"/>
      <c r="D1068" s="21"/>
    </row>
    <row r="1069" spans="1:4" ht="13.5" customHeight="1" x14ac:dyDescent="0.25">
      <c r="A1069" s="21"/>
      <c r="B1069" s="22" t="s">
        <v>844</v>
      </c>
      <c r="C1069" s="21"/>
      <c r="D1069" s="21"/>
    </row>
    <row r="1070" spans="1:4" ht="13.5" customHeight="1" x14ac:dyDescent="0.25">
      <c r="A1070" s="21"/>
      <c r="B1070" s="22" t="s">
        <v>845</v>
      </c>
      <c r="C1070" s="21"/>
      <c r="D1070" s="21"/>
    </row>
    <row r="1071" spans="1:4" ht="13.5" customHeight="1" x14ac:dyDescent="0.25">
      <c r="A1071" s="21"/>
      <c r="B1071" s="22" t="s">
        <v>846</v>
      </c>
      <c r="C1071" s="21"/>
      <c r="D1071" s="21"/>
    </row>
    <row r="1072" spans="1:4" ht="13.5" customHeight="1" x14ac:dyDescent="0.25">
      <c r="A1072" s="21"/>
      <c r="B1072" s="22" t="s">
        <v>847</v>
      </c>
      <c r="C1072" s="21"/>
      <c r="D1072" s="21"/>
    </row>
    <row r="1073" spans="1:4" ht="13.5" customHeight="1" x14ac:dyDescent="0.25">
      <c r="A1073" s="21"/>
      <c r="B1073" s="22" t="s">
        <v>848</v>
      </c>
      <c r="C1073" s="21"/>
      <c r="D1073" s="21"/>
    </row>
    <row r="1074" spans="1:4" ht="13.5" customHeight="1" x14ac:dyDescent="0.25">
      <c r="A1074" s="21"/>
      <c r="B1074" s="22" t="s">
        <v>849</v>
      </c>
      <c r="C1074" s="21"/>
      <c r="D1074" s="21"/>
    </row>
    <row r="1075" spans="1:4" ht="13.5" customHeight="1" x14ac:dyDescent="0.25">
      <c r="A1075" s="21"/>
      <c r="B1075" s="22" t="s">
        <v>850</v>
      </c>
      <c r="C1075" s="21"/>
      <c r="D1075" s="21"/>
    </row>
    <row r="1076" spans="1:4" ht="13.5" customHeight="1" x14ac:dyDescent="0.25">
      <c r="A1076" s="21"/>
      <c r="B1076" s="22" t="s">
        <v>851</v>
      </c>
      <c r="C1076" s="21"/>
      <c r="D1076" s="21"/>
    </row>
    <row r="1077" spans="1:4" ht="13.5" customHeight="1" x14ac:dyDescent="0.25">
      <c r="A1077" s="21"/>
      <c r="B1077" s="22" t="s">
        <v>852</v>
      </c>
      <c r="C1077" s="21"/>
      <c r="D1077" s="21"/>
    </row>
    <row r="1078" spans="1:4" ht="13.5" customHeight="1" x14ac:dyDescent="0.25">
      <c r="A1078" s="21"/>
      <c r="B1078" s="22" t="s">
        <v>93</v>
      </c>
      <c r="C1078" s="21"/>
      <c r="D1078" s="21"/>
    </row>
    <row r="1079" spans="1:4" ht="13.5" customHeight="1" x14ac:dyDescent="0.25">
      <c r="A1079" s="21"/>
      <c r="B1079" s="22" t="s">
        <v>94</v>
      </c>
      <c r="C1079" s="21"/>
      <c r="D1079" s="21"/>
    </row>
    <row r="1080" spans="1:4" ht="13.5" customHeight="1" x14ac:dyDescent="0.25">
      <c r="A1080" s="21"/>
      <c r="B1080" s="22" t="s">
        <v>853</v>
      </c>
      <c r="C1080" s="21"/>
      <c r="D1080" s="21"/>
    </row>
    <row r="1081" spans="1:4" ht="9.75" customHeight="1" x14ac:dyDescent="0.25">
      <c r="A1081" s="12"/>
      <c r="B1081" s="12"/>
      <c r="C1081" s="12"/>
      <c r="D1081" s="12"/>
    </row>
    <row r="1082" spans="1:4" ht="21.75" customHeight="1" x14ac:dyDescent="0.25">
      <c r="A1082" s="28"/>
      <c r="B1082" s="233" t="s">
        <v>854</v>
      </c>
      <c r="C1082" s="233"/>
      <c r="D1082" s="28"/>
    </row>
    <row r="1083" spans="1:4" ht="6" customHeight="1" x14ac:dyDescent="0.25">
      <c r="A1083" s="16"/>
      <c r="B1083" s="16"/>
      <c r="C1083" s="16"/>
      <c r="D1083" s="16"/>
    </row>
    <row r="1084" spans="1:4" ht="39" customHeight="1" x14ac:dyDescent="0.25">
      <c r="A1084" s="32"/>
      <c r="B1084" s="33" t="s">
        <v>855</v>
      </c>
      <c r="C1084" s="34" t="s">
        <v>856</v>
      </c>
      <c r="D1084" s="32"/>
    </row>
    <row r="1085" spans="1:4" ht="103.5" customHeight="1" x14ac:dyDescent="0.25">
      <c r="A1085" s="32"/>
      <c r="B1085" s="33" t="s">
        <v>857</v>
      </c>
      <c r="C1085" s="34" t="s">
        <v>858</v>
      </c>
      <c r="D1085" s="32"/>
    </row>
    <row r="1086" spans="1:4" ht="25.5" customHeight="1" x14ac:dyDescent="0.25">
      <c r="A1086" s="32"/>
      <c r="B1086" s="33" t="s">
        <v>859</v>
      </c>
      <c r="C1086" s="34" t="s">
        <v>860</v>
      </c>
      <c r="D1086" s="32"/>
    </row>
    <row r="1087" spans="1:4" ht="39" customHeight="1" x14ac:dyDescent="0.25">
      <c r="A1087" s="32"/>
      <c r="B1087" s="33" t="s">
        <v>861</v>
      </c>
      <c r="C1087" s="34" t="s">
        <v>862</v>
      </c>
      <c r="D1087" s="32"/>
    </row>
    <row r="1088" spans="1:4" ht="39" customHeight="1" x14ac:dyDescent="0.25">
      <c r="A1088" s="32"/>
      <c r="B1088" s="33" t="s">
        <v>863</v>
      </c>
      <c r="C1088" s="34" t="s">
        <v>864</v>
      </c>
      <c r="D1088" s="32"/>
    </row>
    <row r="1089" spans="1:4" ht="156" customHeight="1" x14ac:dyDescent="0.25">
      <c r="A1089" s="32"/>
      <c r="B1089" s="33" t="s">
        <v>865</v>
      </c>
      <c r="C1089" s="34" t="s">
        <v>866</v>
      </c>
      <c r="D1089" s="32"/>
    </row>
    <row r="1090" spans="1:4" ht="90.75" customHeight="1" x14ac:dyDescent="0.25">
      <c r="A1090" s="32"/>
      <c r="B1090" s="33" t="s">
        <v>867</v>
      </c>
      <c r="C1090" s="34" t="s">
        <v>868</v>
      </c>
      <c r="D1090" s="32"/>
    </row>
    <row r="1091" spans="1:4" ht="142.5" customHeight="1" x14ac:dyDescent="0.25">
      <c r="A1091" s="32"/>
      <c r="B1091" s="33" t="s">
        <v>869</v>
      </c>
      <c r="C1091" s="34" t="s">
        <v>870</v>
      </c>
      <c r="D1091" s="32"/>
    </row>
    <row r="1092" spans="1:4" ht="12" customHeight="1" x14ac:dyDescent="0.25">
      <c r="A1092" s="16"/>
      <c r="B1092" s="16"/>
      <c r="C1092" s="16"/>
      <c r="D1092" s="16"/>
    </row>
    <row r="1093" spans="1:4" ht="21.75" customHeight="1" x14ac:dyDescent="0.25">
      <c r="A1093" s="4"/>
      <c r="B1093" s="234" t="s">
        <v>871</v>
      </c>
      <c r="C1093" s="234"/>
      <c r="D1093" s="4"/>
    </row>
  </sheetData>
  <mergeCells count="77">
    <mergeCell ref="B94:C94"/>
    <mergeCell ref="B1:C1"/>
    <mergeCell ref="B7:C7"/>
    <mergeCell ref="B18:C18"/>
    <mergeCell ref="B20:C20"/>
    <mergeCell ref="B21:C21"/>
    <mergeCell ref="B22:C22"/>
    <mergeCell ref="B45:C45"/>
    <mergeCell ref="B47:C47"/>
    <mergeCell ref="B48:C48"/>
    <mergeCell ref="B49:C49"/>
    <mergeCell ref="B93:C93"/>
    <mergeCell ref="B232:C232"/>
    <mergeCell ref="B95:C95"/>
    <mergeCell ref="B145:C145"/>
    <mergeCell ref="B146:C146"/>
    <mergeCell ref="B147:C147"/>
    <mergeCell ref="B174:C174"/>
    <mergeCell ref="B176:C176"/>
    <mergeCell ref="B177:C177"/>
    <mergeCell ref="B178:C178"/>
    <mergeCell ref="B206:C206"/>
    <mergeCell ref="B207:C207"/>
    <mergeCell ref="B208:C208"/>
    <mergeCell ref="B334:C334"/>
    <mergeCell ref="B233:C233"/>
    <mergeCell ref="B234:C234"/>
    <mergeCell ref="B262:C262"/>
    <mergeCell ref="B264:C264"/>
    <mergeCell ref="B265:C265"/>
    <mergeCell ref="B266:C266"/>
    <mergeCell ref="B301:C301"/>
    <mergeCell ref="B302:C302"/>
    <mergeCell ref="B303:C303"/>
    <mergeCell ref="B332:C332"/>
    <mergeCell ref="B333:C333"/>
    <mergeCell ref="B498:C498"/>
    <mergeCell ref="B370:C370"/>
    <mergeCell ref="B372:C372"/>
    <mergeCell ref="B373:C373"/>
    <mergeCell ref="B374:C374"/>
    <mergeCell ref="B418:C418"/>
    <mergeCell ref="B419:C419"/>
    <mergeCell ref="B420:C420"/>
    <mergeCell ref="B456:C456"/>
    <mergeCell ref="B457:C457"/>
    <mergeCell ref="B458:C458"/>
    <mergeCell ref="B496:C496"/>
    <mergeCell ref="B797:C797"/>
    <mergeCell ref="B499:C499"/>
    <mergeCell ref="B500:C500"/>
    <mergeCell ref="B688:C688"/>
    <mergeCell ref="B690:C690"/>
    <mergeCell ref="B691:C691"/>
    <mergeCell ref="B692:C692"/>
    <mergeCell ref="B744:C744"/>
    <mergeCell ref="B746:C746"/>
    <mergeCell ref="B747:C747"/>
    <mergeCell ref="B748:C748"/>
    <mergeCell ref="B796:C796"/>
    <mergeCell ref="B1017:C1017"/>
    <mergeCell ref="B798:C798"/>
    <mergeCell ref="B827:C827"/>
    <mergeCell ref="B828:C828"/>
    <mergeCell ref="B829:C829"/>
    <mergeCell ref="B881:C881"/>
    <mergeCell ref="B883:C883"/>
    <mergeCell ref="B884:C884"/>
    <mergeCell ref="B885:C885"/>
    <mergeCell ref="B965:C965"/>
    <mergeCell ref="B966:C966"/>
    <mergeCell ref="B967:C967"/>
    <mergeCell ref="B1019:C1019"/>
    <mergeCell ref="B1020:C1020"/>
    <mergeCell ref="B1021:C1021"/>
    <mergeCell ref="B1082:C1082"/>
    <mergeCell ref="B1093:C109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301D-B709-4036-BE6C-C30C5D34A2D8}">
  <sheetPr codeName="Feuil3">
    <tabColor rgb="FF1F3864"/>
  </sheetPr>
  <dimension ref="A1:E31"/>
  <sheetViews>
    <sheetView zoomScaleNormal="100" workbookViewId="0">
      <selection sqref="A1:E1"/>
    </sheetView>
  </sheetViews>
  <sheetFormatPr baseColWidth="10" defaultColWidth="8.7109375" defaultRowHeight="15" x14ac:dyDescent="0.25"/>
  <cols>
    <col min="1" max="1" width="28" style="1" customWidth="1"/>
    <col min="2" max="2" width="55" style="1" customWidth="1"/>
    <col min="3" max="3" width="45" style="1" customWidth="1"/>
    <col min="4" max="4" width="12" style="1" customWidth="1"/>
    <col min="5" max="5" width="25" style="1" customWidth="1"/>
    <col min="6" max="16384" width="8.7109375" style="1"/>
  </cols>
  <sheetData>
    <row r="1" spans="1:5" ht="30" customHeight="1" x14ac:dyDescent="0.25">
      <c r="A1" s="245" t="s">
        <v>872</v>
      </c>
      <c r="B1" s="245"/>
      <c r="C1" s="245"/>
      <c r="D1" s="245"/>
      <c r="E1" s="245"/>
    </row>
    <row r="2" spans="1:5" ht="15.75" customHeight="1" x14ac:dyDescent="0.25">
      <c r="A2" s="35" t="s">
        <v>873</v>
      </c>
      <c r="B2" s="35"/>
      <c r="C2" s="35"/>
      <c r="D2" s="35"/>
      <c r="E2" s="35"/>
    </row>
    <row r="3" spans="1:5" ht="15.75" customHeight="1" x14ac:dyDescent="0.25">
      <c r="A3" s="36" t="s">
        <v>874</v>
      </c>
      <c r="B3" s="36" t="s">
        <v>875</v>
      </c>
      <c r="C3" s="36" t="s">
        <v>876</v>
      </c>
      <c r="D3" s="36"/>
      <c r="E3" s="36"/>
    </row>
    <row r="4" spans="1:5" ht="15.75" customHeight="1" x14ac:dyDescent="0.25">
      <c r="A4" s="37" t="s">
        <v>877</v>
      </c>
      <c r="B4" s="37" t="s">
        <v>878</v>
      </c>
      <c r="C4" s="37" t="s">
        <v>879</v>
      </c>
      <c r="D4" s="37"/>
      <c r="E4" s="37"/>
    </row>
    <row r="5" spans="1:5" ht="15.75" customHeight="1" x14ac:dyDescent="0.25">
      <c r="A5" s="37"/>
      <c r="B5" s="37"/>
      <c r="C5" s="37"/>
      <c r="D5" s="37"/>
      <c r="E5" s="37"/>
    </row>
    <row r="6" spans="1:5" ht="15.75" customHeight="1" x14ac:dyDescent="0.25">
      <c r="A6" s="35" t="s">
        <v>880</v>
      </c>
      <c r="B6" s="35"/>
      <c r="C6" s="35"/>
      <c r="D6" s="35"/>
      <c r="E6" s="35"/>
    </row>
    <row r="7" spans="1:5" ht="15.75" customHeight="1" x14ac:dyDescent="0.25">
      <c r="A7" s="36" t="s">
        <v>881</v>
      </c>
      <c r="B7" s="36" t="s">
        <v>882</v>
      </c>
      <c r="C7" s="36" t="s">
        <v>883</v>
      </c>
      <c r="D7" s="36"/>
      <c r="E7" s="36"/>
    </row>
    <row r="8" spans="1:5" ht="15.75" customHeight="1" x14ac:dyDescent="0.25">
      <c r="A8" s="37" t="s">
        <v>884</v>
      </c>
      <c r="B8" s="37" t="s">
        <v>885</v>
      </c>
      <c r="C8" s="37" t="s">
        <v>886</v>
      </c>
      <c r="D8" s="37"/>
      <c r="E8" s="37"/>
    </row>
    <row r="9" spans="1:5" ht="15.75" customHeight="1" x14ac:dyDescent="0.25">
      <c r="A9" s="37" t="s">
        <v>887</v>
      </c>
      <c r="B9" s="37" t="s">
        <v>888</v>
      </c>
      <c r="C9" s="37" t="s">
        <v>889</v>
      </c>
      <c r="D9" s="37"/>
      <c r="E9" s="37"/>
    </row>
    <row r="10" spans="1:5" ht="15.75" customHeight="1" x14ac:dyDescent="0.25">
      <c r="A10" s="37" t="s">
        <v>890</v>
      </c>
      <c r="B10" s="37" t="s">
        <v>891</v>
      </c>
      <c r="C10" s="37" t="s">
        <v>889</v>
      </c>
      <c r="D10" s="37"/>
      <c r="E10" s="37"/>
    </row>
    <row r="11" spans="1:5" ht="15.75" customHeight="1" x14ac:dyDescent="0.25">
      <c r="A11" s="37" t="s">
        <v>892</v>
      </c>
      <c r="B11" s="37" t="s">
        <v>893</v>
      </c>
      <c r="C11" s="37" t="s">
        <v>889</v>
      </c>
      <c r="D11" s="37"/>
      <c r="E11" s="37"/>
    </row>
    <row r="12" spans="1:5" ht="15.75" customHeight="1" x14ac:dyDescent="0.25">
      <c r="A12" s="37" t="s">
        <v>894</v>
      </c>
      <c r="B12" s="37" t="s">
        <v>895</v>
      </c>
      <c r="C12" s="37" t="s">
        <v>889</v>
      </c>
      <c r="D12" s="37"/>
      <c r="E12" s="37"/>
    </row>
    <row r="13" spans="1:5" ht="15.75" customHeight="1" x14ac:dyDescent="0.25">
      <c r="A13" s="37"/>
      <c r="B13" s="37"/>
      <c r="C13" s="37"/>
      <c r="D13" s="37"/>
      <c r="E13" s="37"/>
    </row>
    <row r="14" spans="1:5" ht="15.75" customHeight="1" x14ac:dyDescent="0.25">
      <c r="A14" s="35" t="s">
        <v>896</v>
      </c>
      <c r="B14" s="35"/>
      <c r="C14" s="35"/>
      <c r="D14" s="35"/>
      <c r="E14" s="35"/>
    </row>
    <row r="15" spans="1:5" ht="15.75" customHeight="1" x14ac:dyDescent="0.25">
      <c r="A15" s="36" t="s">
        <v>897</v>
      </c>
      <c r="B15" s="36" t="s">
        <v>898</v>
      </c>
      <c r="C15" s="36" t="s">
        <v>883</v>
      </c>
      <c r="D15" s="36"/>
      <c r="E15" s="36"/>
    </row>
    <row r="16" spans="1:5" ht="15.75" customHeight="1" x14ac:dyDescent="0.25">
      <c r="A16" s="37" t="s">
        <v>899</v>
      </c>
      <c r="B16" s="37">
        <v>0</v>
      </c>
      <c r="C16" s="37" t="s">
        <v>900</v>
      </c>
      <c r="D16" s="37"/>
      <c r="E16" s="37"/>
    </row>
    <row r="17" spans="1:5" ht="15.75" customHeight="1" x14ac:dyDescent="0.25">
      <c r="A17" s="37" t="s">
        <v>901</v>
      </c>
      <c r="B17" s="37" t="s">
        <v>902</v>
      </c>
      <c r="C17" s="37" t="s">
        <v>903</v>
      </c>
      <c r="D17" s="37"/>
      <c r="E17" s="37"/>
    </row>
    <row r="18" spans="1:5" ht="15.75" customHeight="1" x14ac:dyDescent="0.25">
      <c r="A18" s="37" t="s">
        <v>904</v>
      </c>
      <c r="B18" s="37" t="s">
        <v>905</v>
      </c>
      <c r="C18" s="37" t="s">
        <v>906</v>
      </c>
      <c r="D18" s="37"/>
      <c r="E18" s="37"/>
    </row>
    <row r="19" spans="1:5" ht="15.75" customHeight="1" x14ac:dyDescent="0.25">
      <c r="A19" s="37" t="s">
        <v>907</v>
      </c>
      <c r="B19" s="37">
        <f>J4*O4</f>
        <v>0</v>
      </c>
      <c r="C19" s="37" t="s">
        <v>908</v>
      </c>
      <c r="D19" s="37"/>
      <c r="E19" s="37"/>
    </row>
    <row r="20" spans="1:5" ht="15.75" customHeight="1" x14ac:dyDescent="0.25">
      <c r="A20" s="37" t="s">
        <v>909</v>
      </c>
      <c r="B20" s="37">
        <f>J4*N4</f>
        <v>0</v>
      </c>
      <c r="C20" s="37" t="s">
        <v>910</v>
      </c>
      <c r="D20" s="37"/>
      <c r="E20" s="37"/>
    </row>
    <row r="21" spans="1:5" ht="15.75" customHeight="1" x14ac:dyDescent="0.25">
      <c r="A21" s="37" t="s">
        <v>911</v>
      </c>
      <c r="B21" s="37">
        <f>P4-Q4</f>
        <v>0</v>
      </c>
      <c r="C21" s="37" t="s">
        <v>912</v>
      </c>
      <c r="D21" s="37"/>
      <c r="E21" s="37"/>
    </row>
    <row r="22" spans="1:5" ht="15.75" customHeight="1" x14ac:dyDescent="0.25">
      <c r="A22" s="37" t="s">
        <v>913</v>
      </c>
      <c r="B22" s="37">
        <f>IF(P4=0,0,R4/P4)</f>
        <v>0</v>
      </c>
      <c r="C22" s="37" t="s">
        <v>914</v>
      </c>
      <c r="D22" s="37"/>
      <c r="E22" s="37"/>
    </row>
    <row r="23" spans="1:5" ht="15.75" customHeight="1" x14ac:dyDescent="0.25">
      <c r="A23" s="37" t="s">
        <v>915</v>
      </c>
      <c r="B23" s="37" t="str">
        <f>IF(T4=0,"LOCAL",IF(S4&gt;seuil,"IMPORT","ARBITRAGE"))</f>
        <v>LOCAL</v>
      </c>
      <c r="C23" s="37" t="s">
        <v>916</v>
      </c>
      <c r="D23" s="37"/>
      <c r="E23" s="37"/>
    </row>
    <row r="24" spans="1:5" ht="15.75" customHeight="1" x14ac:dyDescent="0.25">
      <c r="A24" s="37"/>
      <c r="B24" s="37"/>
      <c r="C24" s="37"/>
      <c r="D24" s="37"/>
      <c r="E24" s="37"/>
    </row>
    <row r="25" spans="1:5" ht="15.75" customHeight="1" x14ac:dyDescent="0.25">
      <c r="A25" s="35" t="s">
        <v>917</v>
      </c>
      <c r="B25" s="35"/>
      <c r="C25" s="35"/>
      <c r="D25" s="35"/>
      <c r="E25" s="35"/>
    </row>
    <row r="26" spans="1:5" ht="15.75" customHeight="1" x14ac:dyDescent="0.25">
      <c r="A26" s="36" t="s">
        <v>881</v>
      </c>
      <c r="B26" s="36" t="s">
        <v>918</v>
      </c>
      <c r="C26" s="36" t="s">
        <v>919</v>
      </c>
      <c r="D26" s="36" t="s">
        <v>920</v>
      </c>
      <c r="E26" s="36" t="s">
        <v>921</v>
      </c>
    </row>
    <row r="27" spans="1:5" ht="15.75" customHeight="1" x14ac:dyDescent="0.25">
      <c r="A27" s="37" t="s">
        <v>890</v>
      </c>
      <c r="B27" s="37" t="s">
        <v>922</v>
      </c>
      <c r="C27" s="37" t="s">
        <v>923</v>
      </c>
      <c r="D27" s="37" t="s">
        <v>924</v>
      </c>
      <c r="E27" s="37" t="s">
        <v>925</v>
      </c>
    </row>
    <row r="28" spans="1:5" ht="15.75" customHeight="1" x14ac:dyDescent="0.25">
      <c r="A28" s="37" t="s">
        <v>892</v>
      </c>
      <c r="B28" s="37" t="s">
        <v>924</v>
      </c>
      <c r="C28" s="37" t="s">
        <v>926</v>
      </c>
      <c r="D28" s="37" t="s">
        <v>927</v>
      </c>
      <c r="E28" s="37" t="s">
        <v>925</v>
      </c>
    </row>
    <row r="29" spans="1:5" ht="15.75" customHeight="1" x14ac:dyDescent="0.25">
      <c r="A29" s="37" t="s">
        <v>887</v>
      </c>
      <c r="B29" s="37" t="s">
        <v>923</v>
      </c>
      <c r="C29" s="37" t="s">
        <v>928</v>
      </c>
      <c r="D29" s="37" t="s">
        <v>926</v>
      </c>
      <c r="E29" s="37" t="s">
        <v>929</v>
      </c>
    </row>
    <row r="30" spans="1:5" ht="15.75" customHeight="1" x14ac:dyDescent="0.25">
      <c r="A30" s="37" t="s">
        <v>884</v>
      </c>
      <c r="B30" s="37" t="s">
        <v>924</v>
      </c>
      <c r="C30" s="37" t="s">
        <v>926</v>
      </c>
      <c r="D30" s="37" t="s">
        <v>927</v>
      </c>
      <c r="E30" s="37" t="s">
        <v>930</v>
      </c>
    </row>
    <row r="31" spans="1:5" ht="15.75" customHeight="1" x14ac:dyDescent="0.25">
      <c r="A31" s="37" t="s">
        <v>894</v>
      </c>
      <c r="B31" s="37" t="s">
        <v>931</v>
      </c>
      <c r="C31" s="37" t="s">
        <v>932</v>
      </c>
      <c r="D31" s="37" t="s">
        <v>923</v>
      </c>
      <c r="E31" s="37" t="s">
        <v>933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25C9-1D24-4435-B6A8-90090B11B364}">
  <sheetPr codeName="Feuil4">
    <tabColor rgb="FF1F3864"/>
  </sheetPr>
  <dimension ref="A1:E18"/>
  <sheetViews>
    <sheetView zoomScaleNormal="100" workbookViewId="0">
      <pane ySplit="3" topLeftCell="A4" activePane="bottomLeft" state="frozen"/>
      <selection pane="bottomLeft" activeCell="A5" sqref="A5"/>
    </sheetView>
  </sheetViews>
  <sheetFormatPr baseColWidth="10" defaultColWidth="8.7109375" defaultRowHeight="15" x14ac:dyDescent="0.25"/>
  <cols>
    <col min="1" max="1" width="26" style="1" customWidth="1"/>
    <col min="2" max="2" width="27.140625" style="1" customWidth="1"/>
    <col min="3" max="3" width="13.28515625" style="1" customWidth="1"/>
    <col min="4" max="4" width="12.140625" style="1" customWidth="1"/>
    <col min="5" max="5" width="12" style="1" customWidth="1"/>
    <col min="6" max="16384" width="8.7109375" style="1"/>
  </cols>
  <sheetData>
    <row r="1" spans="1:5" ht="25.5" customHeight="1" x14ac:dyDescent="0.25">
      <c r="A1" s="246" t="s">
        <v>934</v>
      </c>
      <c r="B1" s="246"/>
    </row>
    <row r="2" spans="1:5" ht="21.75" customHeight="1" x14ac:dyDescent="0.25">
      <c r="A2" s="247" t="str">
        <f>CONCATENATE("📊 Scénario actif : ", '00_CONFIG__T_PARAMETRES'!$H$2)</f>
        <v>📊 Scénario actif : REALISTE</v>
      </c>
      <c r="B2" s="247"/>
    </row>
    <row r="3" spans="1:5" ht="19.5" customHeight="1" x14ac:dyDescent="0.25">
      <c r="A3" s="38" t="s">
        <v>935</v>
      </c>
      <c r="B3" s="38" t="s">
        <v>936</v>
      </c>
      <c r="C3" s="39" t="s">
        <v>918</v>
      </c>
      <c r="D3" s="38" t="s">
        <v>919</v>
      </c>
      <c r="E3" s="40" t="s">
        <v>920</v>
      </c>
    </row>
    <row r="4" spans="1:5" ht="15.75" customHeight="1" x14ac:dyDescent="0.25">
      <c r="A4" s="41" t="s">
        <v>937</v>
      </c>
      <c r="B4" s="42" t="str">
        <f>INDEX('00_CONFIG__T_PARAMETRES'!$C$3:$E$3,1,MATCH('00_CONFIG__T_PARAMETRES'!$H$2,'00_CONFIG__T_PARAMETRES'!$C$2:$E$2,0))</f>
        <v>PNMC</v>
      </c>
      <c r="C4" s="43" t="str">
        <f>'00_CONFIG__T_PARAMETRES'!$C$3</f>
        <v>PNMC</v>
      </c>
      <c r="D4" s="44" t="str">
        <f>'00_CONFIG__T_PARAMETRES'!$D$3</f>
        <v>PNMC</v>
      </c>
      <c r="E4" s="45" t="str">
        <f>'00_CONFIG__T_PARAMETRES'!$E$3</f>
        <v>PNMC</v>
      </c>
    </row>
    <row r="5" spans="1:5" ht="15.75" customHeight="1" x14ac:dyDescent="0.25">
      <c r="A5" s="41" t="s">
        <v>938</v>
      </c>
      <c r="B5" s="42" t="str">
        <f>INDEX('00_CONFIG__T_PARAMETRES'!$C$4:$E$4,1,MATCH('00_CONFIG__T_PARAMETRES'!$H$2,'00_CONFIG__T_PARAMETRES'!$C$2:$E$2,0))</f>
        <v>Mixte</v>
      </c>
      <c r="C5" s="43" t="str">
        <f>'00_CONFIG__T_PARAMETRES'!$C$4</f>
        <v>Mixte</v>
      </c>
      <c r="D5" s="44" t="str">
        <f>'00_CONFIG__T_PARAMETRES'!$D$4</f>
        <v>Mixte</v>
      </c>
      <c r="E5" s="45" t="str">
        <f>'00_CONFIG__T_PARAMETRES'!$E$4</f>
        <v>Local</v>
      </c>
    </row>
    <row r="6" spans="1:5" ht="15.75" customHeight="1" x14ac:dyDescent="0.25">
      <c r="A6" s="41" t="s">
        <v>939</v>
      </c>
      <c r="B6" s="42" t="str">
        <f>INDEX('00_CONFIG__T_PARAMETRES'!$C$5:$E$5,1,MATCH('00_CONFIG__T_PARAMETRES'!$H$2,'00_CONFIG__T_PARAMETRES'!$C$2:$E$2,0))</f>
        <v>FCFA</v>
      </c>
      <c r="C6" s="43" t="str">
        <f>'00_CONFIG__T_PARAMETRES'!$C$5</f>
        <v>FCFA</v>
      </c>
      <c r="D6" s="44" t="str">
        <f>'00_CONFIG__T_PARAMETRES'!$D$5</f>
        <v>FCFA</v>
      </c>
      <c r="E6" s="45" t="str">
        <f>'00_CONFIG__T_PARAMETRES'!$E$5</f>
        <v>FCFA</v>
      </c>
    </row>
    <row r="7" spans="1:5" ht="15.75" customHeight="1" x14ac:dyDescent="0.25">
      <c r="A7" s="41" t="s">
        <v>884</v>
      </c>
      <c r="B7" s="46">
        <f>INDEX('00_CONFIG__T_PARAMETRES'!$C$6:$E$6,1,MATCH('00_CONFIG__T_PARAMETRES'!$H$2,'00_CONFIG__T_PARAMETRES'!$C$2:$E$2,0))</f>
        <v>0.15</v>
      </c>
      <c r="C7" s="47">
        <f>'00_CONFIG__T_PARAMETRES'!$C$6</f>
        <v>0.12</v>
      </c>
      <c r="D7" s="48">
        <f>'00_CONFIG__T_PARAMETRES'!$D$6</f>
        <v>0.15</v>
      </c>
      <c r="E7" s="49">
        <f>'00_CONFIG__T_PARAMETRES'!$E$6</f>
        <v>0.2</v>
      </c>
    </row>
    <row r="8" spans="1:5" ht="15.75" customHeight="1" x14ac:dyDescent="0.25">
      <c r="A8" s="41" t="s">
        <v>887</v>
      </c>
      <c r="B8" s="46">
        <f>INDEX('00_CONFIG__T_PARAMETRES'!$C$7:$E$7,1,MATCH('00_CONFIG__T_PARAMETRES'!$H$2,'00_CONFIG__T_PARAMETRES'!$C$2:$E$2,0))</f>
        <v>0.1</v>
      </c>
      <c r="C8" s="47">
        <f>'00_CONFIG__T_PARAMETRES'!$C$7</f>
        <v>0.08</v>
      </c>
      <c r="D8" s="48">
        <f>'00_CONFIG__T_PARAMETRES'!$D$7</f>
        <v>0.1</v>
      </c>
      <c r="E8" s="49">
        <f>'00_CONFIG__T_PARAMETRES'!$E$7</f>
        <v>0.15</v>
      </c>
    </row>
    <row r="9" spans="1:5" ht="15.75" customHeight="1" x14ac:dyDescent="0.25">
      <c r="A9" s="41" t="s">
        <v>890</v>
      </c>
      <c r="B9" s="46">
        <f>INDEX('00_CONFIG__T_PARAMETRES'!$C$8:$E$8,1,MATCH('00_CONFIG__T_PARAMETRES'!$H$2,'00_CONFIG__T_PARAMETRES'!$C$2:$E$2,0))</f>
        <v>0.08</v>
      </c>
      <c r="C9" s="47">
        <f>'00_CONFIG__T_PARAMETRES'!$C$8</f>
        <v>0.06</v>
      </c>
      <c r="D9" s="48">
        <f>'00_CONFIG__T_PARAMETRES'!$D$8</f>
        <v>0.08</v>
      </c>
      <c r="E9" s="49">
        <f>'00_CONFIG__T_PARAMETRES'!$E$8</f>
        <v>0.12</v>
      </c>
    </row>
    <row r="10" spans="1:5" ht="15.75" customHeight="1" x14ac:dyDescent="0.25">
      <c r="A10" s="41" t="s">
        <v>892</v>
      </c>
      <c r="B10" s="46">
        <f>INDEX('00_CONFIG__T_PARAMETRES'!$C$9:$E$9,1,MATCH('00_CONFIG__T_PARAMETRES'!$H$2,'00_CONFIG__T_PARAMETRES'!$C$2:$E$2,0))</f>
        <v>0.15</v>
      </c>
      <c r="C10" s="47">
        <f>'00_CONFIG__T_PARAMETRES'!$C$9</f>
        <v>0.12</v>
      </c>
      <c r="D10" s="48">
        <f>'00_CONFIG__T_PARAMETRES'!$D$9</f>
        <v>0.15</v>
      </c>
      <c r="E10" s="49">
        <f>'00_CONFIG__T_PARAMETRES'!$E$9</f>
        <v>0.2</v>
      </c>
    </row>
    <row r="11" spans="1:5" ht="15.75" customHeight="1" x14ac:dyDescent="0.25">
      <c r="A11" s="41" t="s">
        <v>940</v>
      </c>
      <c r="B11" s="50">
        <f>INDEX('00_CONFIG__T_PARAMETRES'!$C$10:$E$10,1,MATCH('00_CONFIG__T_PARAMETRES'!$H$2,'00_CONFIG__T_PARAMETRES'!$C$2:$E$2,0))</f>
        <v>2500000</v>
      </c>
      <c r="C11" s="51">
        <f>'00_CONFIG__T_PARAMETRES'!$C$10</f>
        <v>2200000</v>
      </c>
      <c r="D11" s="52">
        <f>'00_CONFIG__T_PARAMETRES'!$D$10</f>
        <v>2500000</v>
      </c>
      <c r="E11" s="53">
        <f>'00_CONFIG__T_PARAMETRES'!$E$10</f>
        <v>3000000</v>
      </c>
    </row>
    <row r="12" spans="1:5" ht="15.75" customHeight="1" x14ac:dyDescent="0.25">
      <c r="A12" s="41" t="s">
        <v>941</v>
      </c>
      <c r="B12" s="50">
        <f>INDEX('00_CONFIG__T_PARAMETRES'!$C$11:$E$11,1,MATCH('00_CONFIG__T_PARAMETRES'!$H$2,'00_CONFIG__T_PARAMETRES'!$C$2:$E$2,0))</f>
        <v>28</v>
      </c>
      <c r="C12" s="51">
        <f>'00_CONFIG__T_PARAMETRES'!$C$11</f>
        <v>30</v>
      </c>
      <c r="D12" s="52">
        <f>'00_CONFIG__T_PARAMETRES'!$D$11</f>
        <v>28</v>
      </c>
      <c r="E12" s="53">
        <f>'00_CONFIG__T_PARAMETRES'!$E$11</f>
        <v>25</v>
      </c>
    </row>
    <row r="13" spans="1:5" ht="15.75" customHeight="1" x14ac:dyDescent="0.25">
      <c r="A13" s="41" t="s">
        <v>894</v>
      </c>
      <c r="B13" s="46">
        <f>INDEX('00_CONFIG__T_PARAMETRES'!$C$12:$E$12,1,MATCH('00_CONFIG__T_PARAMETRES'!$H$2,'00_CONFIG__T_PARAMETRES'!$C$2:$E$2,0))</f>
        <v>0.05</v>
      </c>
      <c r="C13" s="47">
        <f>'00_CONFIG__T_PARAMETRES'!$C$12</f>
        <v>0.03</v>
      </c>
      <c r="D13" s="48">
        <f>'00_CONFIG__T_PARAMETRES'!$D$12</f>
        <v>0.05</v>
      </c>
      <c r="E13" s="49">
        <f>'00_CONFIG__T_PARAMETRES'!$E$12</f>
        <v>0.08</v>
      </c>
    </row>
    <row r="14" spans="1:5" ht="15.75" customHeight="1" x14ac:dyDescent="0.25">
      <c r="A14" s="41" t="s">
        <v>942</v>
      </c>
      <c r="B14" s="46">
        <f>INDEX('00_CONFIG__T_PARAMETRES'!$C$13:$E$13,1,MATCH('00_CONFIG__T_PARAMETRES'!$H$2,'00_CONFIG__T_PARAMETRES'!$C$2:$E$2,0))</f>
        <v>0.4</v>
      </c>
      <c r="C14" s="47">
        <f>'00_CONFIG__T_PARAMETRES'!$C$13</f>
        <v>0.45</v>
      </c>
      <c r="D14" s="48">
        <f>'00_CONFIG__T_PARAMETRES'!$D$13</f>
        <v>0.4</v>
      </c>
      <c r="E14" s="49">
        <f>'00_CONFIG__T_PARAMETRES'!$E$13</f>
        <v>0.35</v>
      </c>
    </row>
    <row r="15" spans="1:5" ht="15.75" customHeight="1" x14ac:dyDescent="0.25">
      <c r="A15" s="41" t="s">
        <v>943</v>
      </c>
      <c r="B15" s="46">
        <f>INDEX('00_CONFIG__T_PARAMETRES'!$C$14:$E$14,1,MATCH('00_CONFIG__T_PARAMETRES'!$H$2,'00_CONFIG__T_PARAMETRES'!$C$2:$E$2,0))</f>
        <v>0.3</v>
      </c>
      <c r="C15" s="47">
        <f>'00_CONFIG__T_PARAMETRES'!$C$14</f>
        <v>0.25</v>
      </c>
      <c r="D15" s="48">
        <f>'00_CONFIG__T_PARAMETRES'!$D$14</f>
        <v>0.3</v>
      </c>
      <c r="E15" s="49">
        <f>'00_CONFIG__T_PARAMETRES'!$E$14</f>
        <v>0.35</v>
      </c>
    </row>
    <row r="16" spans="1:5" ht="15.75" customHeight="1" x14ac:dyDescent="0.25">
      <c r="A16" s="41" t="s">
        <v>944</v>
      </c>
      <c r="B16" s="46">
        <f>INDEX('00_CONFIG__T_PARAMETRES'!$C$15:$E$15,1,MATCH('00_CONFIG__T_PARAMETRES'!$H$2,'00_CONFIG__T_PARAMETRES'!$C$2:$E$2,0))</f>
        <v>0.2</v>
      </c>
      <c r="C16" s="47">
        <f>'00_CONFIG__T_PARAMETRES'!$C$15</f>
        <v>0.2</v>
      </c>
      <c r="D16" s="48">
        <f>'00_CONFIG__T_PARAMETRES'!$D$15</f>
        <v>0.2</v>
      </c>
      <c r="E16" s="49">
        <f>'00_CONFIG__T_PARAMETRES'!$E$15</f>
        <v>0.2</v>
      </c>
    </row>
    <row r="17" spans="1:5" ht="15.75" customHeight="1" x14ac:dyDescent="0.25">
      <c r="A17" s="41" t="s">
        <v>945</v>
      </c>
      <c r="B17" s="46">
        <f>INDEX('00_CONFIG__T_PARAMETRES'!$C$16:$E$16,1,MATCH('00_CONFIG__T_PARAMETRES'!$H$2,'00_CONFIG__T_PARAMETRES'!$C$2:$E$2,0))</f>
        <v>0.1</v>
      </c>
      <c r="C17" s="47">
        <f>'00_CONFIG__T_PARAMETRES'!$C$16</f>
        <v>0.1</v>
      </c>
      <c r="D17" s="48">
        <f>'00_CONFIG__T_PARAMETRES'!$D$16</f>
        <v>0.1</v>
      </c>
      <c r="E17" s="49">
        <f>'00_CONFIG__T_PARAMETRES'!$E$16</f>
        <v>0.1</v>
      </c>
    </row>
    <row r="18" spans="1:5" ht="15" customHeight="1" x14ac:dyDescent="0.25">
      <c r="A18" s="54"/>
      <c r="B18" s="54"/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F8D6-DE81-49FB-A5D4-C7127FAAA93E}">
  <sheetPr codeName="Feuil5">
    <tabColor rgb="FF1F3864"/>
  </sheetPr>
  <dimension ref="A1:H16"/>
  <sheetViews>
    <sheetView zoomScaleNormal="100" workbookViewId="0">
      <pane ySplit="2" topLeftCell="A3" activePane="bottomLeft" state="frozen"/>
      <selection pane="bottomLeft" activeCell="G29" sqref="G29"/>
    </sheetView>
  </sheetViews>
  <sheetFormatPr baseColWidth="10" defaultColWidth="8.7109375" defaultRowHeight="15" x14ac:dyDescent="0.25"/>
  <cols>
    <col min="1" max="1" width="73.42578125" style="1" customWidth="1"/>
    <col min="2" max="2" width="26" style="1" customWidth="1"/>
    <col min="3" max="5" width="14" style="1" customWidth="1"/>
    <col min="6" max="6" width="38" style="1" customWidth="1"/>
    <col min="7" max="7" width="4" style="1" customWidth="1"/>
    <col min="8" max="8" width="22" style="1" customWidth="1"/>
    <col min="9" max="9" width="8.7109375" style="1"/>
    <col min="10" max="10" width="11.5703125" style="1" customWidth="1"/>
    <col min="11" max="16384" width="8.7109375" style="1"/>
  </cols>
  <sheetData>
    <row r="1" spans="1:8" ht="30" customHeight="1" x14ac:dyDescent="0.25">
      <c r="A1" s="76" t="s">
        <v>978</v>
      </c>
      <c r="B1" s="76" t="s">
        <v>977</v>
      </c>
      <c r="C1" s="76" t="s">
        <v>976</v>
      </c>
      <c r="D1" s="76" t="s">
        <v>975</v>
      </c>
      <c r="E1" s="76" t="s">
        <v>974</v>
      </c>
      <c r="F1" s="76" t="s">
        <v>973</v>
      </c>
      <c r="H1" s="75" t="s">
        <v>972</v>
      </c>
    </row>
    <row r="2" spans="1:8" ht="27.75" customHeight="1" x14ac:dyDescent="0.25">
      <c r="A2" s="38" t="s">
        <v>971</v>
      </c>
      <c r="B2" s="38" t="s">
        <v>935</v>
      </c>
      <c r="C2" s="38" t="s">
        <v>918</v>
      </c>
      <c r="D2" s="38" t="s">
        <v>969</v>
      </c>
      <c r="E2" s="38" t="s">
        <v>920</v>
      </c>
      <c r="F2" s="38" t="s">
        <v>970</v>
      </c>
      <c r="H2" s="74" t="s">
        <v>969</v>
      </c>
    </row>
    <row r="3" spans="1:8" ht="15" customHeight="1" x14ac:dyDescent="0.25">
      <c r="A3" s="72" t="s">
        <v>962</v>
      </c>
      <c r="B3" s="71" t="s">
        <v>937</v>
      </c>
      <c r="C3" s="70" t="s">
        <v>968</v>
      </c>
      <c r="D3" s="70" t="s">
        <v>968</v>
      </c>
      <c r="E3" s="70" t="s">
        <v>968</v>
      </c>
      <c r="F3" s="69" t="s">
        <v>967</v>
      </c>
      <c r="H3" s="73" t="s">
        <v>966</v>
      </c>
    </row>
    <row r="4" spans="1:8" ht="15" customHeight="1" x14ac:dyDescent="0.25">
      <c r="A4" s="72" t="s">
        <v>962</v>
      </c>
      <c r="B4" s="71" t="s">
        <v>938</v>
      </c>
      <c r="C4" s="70" t="s">
        <v>965</v>
      </c>
      <c r="D4" s="70" t="s">
        <v>965</v>
      </c>
      <c r="E4" s="70" t="s">
        <v>964</v>
      </c>
      <c r="F4" s="69" t="s">
        <v>963</v>
      </c>
    </row>
    <row r="5" spans="1:8" ht="15" customHeight="1" x14ac:dyDescent="0.25">
      <c r="A5" s="72" t="s">
        <v>962</v>
      </c>
      <c r="B5" s="71" t="s">
        <v>939</v>
      </c>
      <c r="C5" s="70" t="s">
        <v>961</v>
      </c>
      <c r="D5" s="70" t="s">
        <v>961</v>
      </c>
      <c r="E5" s="70" t="s">
        <v>961</v>
      </c>
      <c r="F5" s="69" t="s">
        <v>960</v>
      </c>
    </row>
    <row r="6" spans="1:8" ht="15" customHeight="1" x14ac:dyDescent="0.25">
      <c r="A6" s="68" t="s">
        <v>958</v>
      </c>
      <c r="B6" s="67" t="s">
        <v>884</v>
      </c>
      <c r="C6" s="66">
        <v>0.12</v>
      </c>
      <c r="D6" s="66">
        <v>0.15</v>
      </c>
      <c r="E6" s="66">
        <v>0.2</v>
      </c>
      <c r="F6" s="65" t="s">
        <v>959</v>
      </c>
    </row>
    <row r="7" spans="1:8" ht="15" customHeight="1" x14ac:dyDescent="0.25">
      <c r="A7" s="68" t="s">
        <v>958</v>
      </c>
      <c r="B7" s="67" t="s">
        <v>887</v>
      </c>
      <c r="C7" s="66">
        <v>0.08</v>
      </c>
      <c r="D7" s="66">
        <v>0.1</v>
      </c>
      <c r="E7" s="66">
        <v>0.15</v>
      </c>
      <c r="F7" s="65" t="s">
        <v>957</v>
      </c>
    </row>
    <row r="8" spans="1:8" ht="15" customHeight="1" x14ac:dyDescent="0.25">
      <c r="A8" s="62" t="s">
        <v>953</v>
      </c>
      <c r="B8" s="61" t="s">
        <v>890</v>
      </c>
      <c r="C8" s="64">
        <v>0.06</v>
      </c>
      <c r="D8" s="64">
        <v>0.08</v>
      </c>
      <c r="E8" s="64">
        <v>0.12</v>
      </c>
      <c r="F8" s="59" t="s">
        <v>956</v>
      </c>
    </row>
    <row r="9" spans="1:8" ht="15" customHeight="1" x14ac:dyDescent="0.25">
      <c r="A9" s="62" t="s">
        <v>953</v>
      </c>
      <c r="B9" s="61" t="s">
        <v>892</v>
      </c>
      <c r="C9" s="64">
        <v>0.12</v>
      </c>
      <c r="D9" s="64">
        <v>0.15</v>
      </c>
      <c r="E9" s="64">
        <v>0.2</v>
      </c>
      <c r="F9" s="59" t="s">
        <v>955</v>
      </c>
    </row>
    <row r="10" spans="1:8" ht="15" customHeight="1" x14ac:dyDescent="0.25">
      <c r="A10" s="62" t="s">
        <v>953</v>
      </c>
      <c r="B10" s="61" t="s">
        <v>940</v>
      </c>
      <c r="C10" s="63">
        <v>2200000</v>
      </c>
      <c r="D10" s="63">
        <v>2500000</v>
      </c>
      <c r="E10" s="63">
        <v>3000000</v>
      </c>
      <c r="F10" s="59" t="s">
        <v>954</v>
      </c>
    </row>
    <row r="11" spans="1:8" ht="15" customHeight="1" x14ac:dyDescent="0.25">
      <c r="A11" s="62" t="s">
        <v>953</v>
      </c>
      <c r="B11" s="61" t="s">
        <v>941</v>
      </c>
      <c r="C11" s="60">
        <v>30</v>
      </c>
      <c r="D11" s="60">
        <v>28</v>
      </c>
      <c r="E11" s="60">
        <v>25</v>
      </c>
      <c r="F11" s="59" t="s">
        <v>952</v>
      </c>
    </row>
    <row r="12" spans="1:8" ht="15" customHeight="1" x14ac:dyDescent="0.25">
      <c r="A12" s="58" t="s">
        <v>947</v>
      </c>
      <c r="B12" s="57" t="s">
        <v>894</v>
      </c>
      <c r="C12" s="56">
        <v>0.03</v>
      </c>
      <c r="D12" s="56">
        <v>0.05</v>
      </c>
      <c r="E12" s="56">
        <v>0.08</v>
      </c>
      <c r="F12" s="55" t="s">
        <v>951</v>
      </c>
    </row>
    <row r="13" spans="1:8" ht="15" customHeight="1" x14ac:dyDescent="0.25">
      <c r="A13" s="58" t="s">
        <v>947</v>
      </c>
      <c r="B13" s="57" t="s">
        <v>942</v>
      </c>
      <c r="C13" s="56">
        <v>0.45</v>
      </c>
      <c r="D13" s="56">
        <v>0.4</v>
      </c>
      <c r="E13" s="56">
        <v>0.35</v>
      </c>
      <c r="F13" s="55" t="s">
        <v>950</v>
      </c>
    </row>
    <row r="14" spans="1:8" ht="15" customHeight="1" x14ac:dyDescent="0.25">
      <c r="A14" s="58" t="s">
        <v>947</v>
      </c>
      <c r="B14" s="57" t="s">
        <v>943</v>
      </c>
      <c r="C14" s="56">
        <v>0.25</v>
      </c>
      <c r="D14" s="56">
        <v>0.3</v>
      </c>
      <c r="E14" s="56">
        <v>0.35</v>
      </c>
      <c r="F14" s="55" t="s">
        <v>949</v>
      </c>
    </row>
    <row r="15" spans="1:8" ht="15" customHeight="1" x14ac:dyDescent="0.25">
      <c r="A15" s="58" t="s">
        <v>947</v>
      </c>
      <c r="B15" s="57" t="s">
        <v>944</v>
      </c>
      <c r="C15" s="56">
        <v>0.2</v>
      </c>
      <c r="D15" s="56">
        <v>0.2</v>
      </c>
      <c r="E15" s="56">
        <v>0.2</v>
      </c>
      <c r="F15" s="55" t="s">
        <v>948</v>
      </c>
    </row>
    <row r="16" spans="1:8" ht="15" customHeight="1" x14ac:dyDescent="0.25">
      <c r="A16" s="58" t="s">
        <v>947</v>
      </c>
      <c r="B16" s="57" t="s">
        <v>945</v>
      </c>
      <c r="C16" s="56">
        <v>0.1</v>
      </c>
      <c r="D16" s="56">
        <v>0.1</v>
      </c>
      <c r="E16" s="56">
        <v>0.1</v>
      </c>
      <c r="F16" s="55" t="s">
        <v>946</v>
      </c>
    </row>
  </sheetData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1D6D5-F3B7-4064-AF3A-7D0283A6EA71}">
  <sheetPr>
    <tabColor rgb="FF1F3864"/>
  </sheetPr>
  <dimension ref="A1:A2"/>
  <sheetViews>
    <sheetView workbookViewId="0"/>
  </sheetViews>
  <sheetFormatPr baseColWidth="10" defaultRowHeight="15" x14ac:dyDescent="0.25"/>
  <cols>
    <col min="1" max="1" width="20.85546875" bestFit="1" customWidth="1"/>
  </cols>
  <sheetData>
    <row r="1" spans="1:1" x14ac:dyDescent="0.25">
      <c r="A1" t="s">
        <v>2148</v>
      </c>
    </row>
    <row r="2" spans="1:1" x14ac:dyDescent="0.25">
      <c r="A2" s="261" t="s">
        <v>987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D0CE-3E30-4B31-B77A-2059533F885F}">
  <sheetPr codeName="Feuil6">
    <tabColor rgb="FF1F3864"/>
  </sheetPr>
  <dimension ref="A1:H2"/>
  <sheetViews>
    <sheetView zoomScaleNormal="100" workbookViewId="0">
      <selection activeCell="B28" sqref="B28"/>
    </sheetView>
  </sheetViews>
  <sheetFormatPr baseColWidth="10" defaultColWidth="8.7109375" defaultRowHeight="15" x14ac:dyDescent="0.25"/>
  <cols>
    <col min="1" max="8" width="20" style="1" customWidth="1"/>
    <col min="9" max="16384" width="8.7109375" style="1"/>
  </cols>
  <sheetData>
    <row r="1" spans="1:8" ht="15" customHeight="1" x14ac:dyDescent="0.25">
      <c r="A1" s="77" t="s">
        <v>979</v>
      </c>
      <c r="B1" s="77" t="s">
        <v>980</v>
      </c>
      <c r="C1" s="77" t="s">
        <v>981</v>
      </c>
      <c r="D1" s="77" t="s">
        <v>982</v>
      </c>
      <c r="E1" s="77" t="s">
        <v>983</v>
      </c>
      <c r="F1" s="77" t="s">
        <v>984</v>
      </c>
      <c r="G1" s="77" t="s">
        <v>985</v>
      </c>
      <c r="H1" s="77" t="s">
        <v>986</v>
      </c>
    </row>
    <row r="2" spans="1:8" ht="15" customHeight="1" x14ac:dyDescent="0.25">
      <c r="A2" s="54" t="s">
        <v>987</v>
      </c>
      <c r="B2" s="54" t="s">
        <v>988</v>
      </c>
      <c r="C2" s="54" t="s">
        <v>989</v>
      </c>
      <c r="D2" s="54" t="s">
        <v>990</v>
      </c>
      <c r="E2" s="54" t="s">
        <v>991</v>
      </c>
      <c r="F2" s="54" t="s">
        <v>961</v>
      </c>
      <c r="G2" s="54" t="s">
        <v>965</v>
      </c>
      <c r="H2" s="54">
        <v>17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249F-A22A-4260-910D-96304D1C6ED8}">
  <sheetPr>
    <tabColor theme="3" tint="-0.249977111117893"/>
  </sheetPr>
  <dimension ref="A1:G18"/>
  <sheetViews>
    <sheetView workbookViewId="0">
      <selection activeCell="E26" sqref="E26"/>
    </sheetView>
  </sheetViews>
  <sheetFormatPr baseColWidth="10" defaultRowHeight="15" x14ac:dyDescent="0.25"/>
  <cols>
    <col min="1" max="1" width="18" style="1" customWidth="1"/>
    <col min="2" max="2" width="21" style="1" customWidth="1"/>
    <col min="3" max="3" width="22.42578125" style="1" customWidth="1"/>
    <col min="4" max="4" width="17.42578125" style="1" customWidth="1"/>
    <col min="5" max="5" width="14.42578125" style="1" customWidth="1"/>
    <col min="6" max="6" width="22" style="1" customWidth="1"/>
    <col min="7" max="7" width="17.5703125" style="1" customWidth="1"/>
    <col min="8" max="16384" width="11.42578125" style="1"/>
  </cols>
  <sheetData>
    <row r="1" spans="1:7" x14ac:dyDescent="0.25">
      <c r="A1" s="1" t="s">
        <v>1053</v>
      </c>
      <c r="B1" s="1" t="s">
        <v>1052</v>
      </c>
      <c r="C1" s="1" t="s">
        <v>1051</v>
      </c>
      <c r="D1" s="1" t="s">
        <v>1050</v>
      </c>
      <c r="E1" s="1" t="s">
        <v>1049</v>
      </c>
      <c r="F1" s="1" t="s">
        <v>1048</v>
      </c>
      <c r="G1" s="1" t="s">
        <v>1047</v>
      </c>
    </row>
    <row r="2" spans="1:7" x14ac:dyDescent="0.25">
      <c r="A2" s="1" t="s">
        <v>1046</v>
      </c>
      <c r="B2" s="1" t="s">
        <v>1045</v>
      </c>
      <c r="C2" s="1" t="s">
        <v>1044</v>
      </c>
      <c r="D2" s="1" t="s">
        <v>1043</v>
      </c>
      <c r="E2" s="1">
        <v>0</v>
      </c>
      <c r="F2" s="1">
        <v>0.4</v>
      </c>
      <c r="G2" s="1">
        <v>0</v>
      </c>
    </row>
    <row r="3" spans="1:7" x14ac:dyDescent="0.25">
      <c r="A3" s="1" t="s">
        <v>1042</v>
      </c>
      <c r="B3" s="1" t="s">
        <v>1041</v>
      </c>
      <c r="C3" s="1" t="s">
        <v>1040</v>
      </c>
      <c r="D3" s="1" t="s">
        <v>1036</v>
      </c>
      <c r="E3" s="1">
        <v>1</v>
      </c>
      <c r="F3" s="1">
        <v>0.3</v>
      </c>
      <c r="G3" s="1">
        <v>1</v>
      </c>
    </row>
    <row r="4" spans="1:7" x14ac:dyDescent="0.25">
      <c r="A4" s="1" t="s">
        <v>1039</v>
      </c>
      <c r="B4" s="1" t="s">
        <v>1038</v>
      </c>
      <c r="C4" s="1" t="s">
        <v>1037</v>
      </c>
      <c r="D4" s="1" t="s">
        <v>1036</v>
      </c>
      <c r="E4" s="1">
        <v>1</v>
      </c>
      <c r="F4" s="1">
        <v>0.2</v>
      </c>
      <c r="G4" s="1">
        <v>2</v>
      </c>
    </row>
    <row r="5" spans="1:7" x14ac:dyDescent="0.25">
      <c r="A5" s="1" t="s">
        <v>1035</v>
      </c>
      <c r="B5" s="1" t="s">
        <v>1034</v>
      </c>
      <c r="C5" s="1" t="s">
        <v>1033</v>
      </c>
      <c r="D5" s="1" t="s">
        <v>1002</v>
      </c>
      <c r="E5" s="1">
        <v>1</v>
      </c>
      <c r="F5" s="1">
        <v>0.2</v>
      </c>
      <c r="G5" s="1">
        <v>2</v>
      </c>
    </row>
    <row r="6" spans="1:7" x14ac:dyDescent="0.25">
      <c r="A6" s="1" t="s">
        <v>1032</v>
      </c>
      <c r="B6" s="1" t="s">
        <v>1031</v>
      </c>
      <c r="C6" s="1" t="s">
        <v>1030</v>
      </c>
      <c r="D6" s="1" t="s">
        <v>1002</v>
      </c>
      <c r="E6" s="1">
        <v>1</v>
      </c>
      <c r="F6" s="1">
        <v>0.25</v>
      </c>
      <c r="G6" s="1">
        <v>2</v>
      </c>
    </row>
    <row r="7" spans="1:7" x14ac:dyDescent="0.25">
      <c r="A7" s="1" t="s">
        <v>1029</v>
      </c>
      <c r="B7" s="1" t="s">
        <v>1028</v>
      </c>
      <c r="C7" s="1" t="s">
        <v>1027</v>
      </c>
      <c r="D7" s="1" t="s">
        <v>1002</v>
      </c>
      <c r="E7" s="1">
        <v>1</v>
      </c>
      <c r="F7" s="1">
        <v>0.3</v>
      </c>
      <c r="G7" s="1">
        <v>2</v>
      </c>
    </row>
    <row r="8" spans="1:7" x14ac:dyDescent="0.25">
      <c r="A8" s="1" t="s">
        <v>1026</v>
      </c>
      <c r="B8" s="1" t="s">
        <v>1025</v>
      </c>
      <c r="C8" s="1" t="s">
        <v>1024</v>
      </c>
      <c r="D8" s="1" t="s">
        <v>1002</v>
      </c>
      <c r="E8" s="1">
        <v>1</v>
      </c>
      <c r="F8" s="1">
        <v>0.2</v>
      </c>
      <c r="G8" s="1">
        <v>2</v>
      </c>
    </row>
    <row r="9" spans="1:7" x14ac:dyDescent="0.25">
      <c r="A9" s="1" t="s">
        <v>1023</v>
      </c>
      <c r="B9" s="1" t="s">
        <v>1022</v>
      </c>
      <c r="C9" s="1" t="s">
        <v>1021</v>
      </c>
      <c r="D9" s="1" t="s">
        <v>992</v>
      </c>
      <c r="E9" s="1">
        <v>1</v>
      </c>
      <c r="F9" s="1">
        <v>0.15</v>
      </c>
      <c r="G9" s="1">
        <v>3</v>
      </c>
    </row>
    <row r="10" spans="1:7" x14ac:dyDescent="0.25">
      <c r="A10" s="1" t="s">
        <v>1020</v>
      </c>
      <c r="B10" s="1" t="s">
        <v>1019</v>
      </c>
      <c r="C10" s="1" t="s">
        <v>1018</v>
      </c>
      <c r="D10" s="1" t="s">
        <v>992</v>
      </c>
      <c r="E10" s="1">
        <v>1</v>
      </c>
      <c r="F10" s="1">
        <v>0.1</v>
      </c>
      <c r="G10" s="1">
        <v>2.5</v>
      </c>
    </row>
    <row r="11" spans="1:7" x14ac:dyDescent="0.25">
      <c r="A11" s="1" t="s">
        <v>1017</v>
      </c>
      <c r="B11" s="1" t="s">
        <v>1016</v>
      </c>
      <c r="C11" s="1" t="s">
        <v>1015</v>
      </c>
      <c r="D11" s="1" t="s">
        <v>992</v>
      </c>
      <c r="E11" s="1">
        <v>1</v>
      </c>
      <c r="F11" s="1">
        <v>0.25</v>
      </c>
      <c r="G11" s="1">
        <v>2</v>
      </c>
    </row>
    <row r="12" spans="1:7" x14ac:dyDescent="0.25">
      <c r="A12" s="1" t="s">
        <v>1014</v>
      </c>
      <c r="B12" s="1" t="s">
        <v>1013</v>
      </c>
      <c r="C12" s="1" t="s">
        <v>1012</v>
      </c>
      <c r="D12" s="1" t="s">
        <v>992</v>
      </c>
      <c r="E12" s="1">
        <v>1</v>
      </c>
      <c r="F12" s="1">
        <v>0.2</v>
      </c>
      <c r="G12" s="1">
        <v>1.5</v>
      </c>
    </row>
    <row r="13" spans="1:7" x14ac:dyDescent="0.25">
      <c r="A13" s="1" t="s">
        <v>1011</v>
      </c>
      <c r="B13" s="1" t="s">
        <v>1010</v>
      </c>
      <c r="C13" s="1" t="s">
        <v>1009</v>
      </c>
      <c r="D13" s="1" t="s">
        <v>1002</v>
      </c>
      <c r="E13" s="1">
        <v>1</v>
      </c>
      <c r="F13" s="1">
        <v>0.1</v>
      </c>
      <c r="G13" s="1">
        <v>3.5</v>
      </c>
    </row>
    <row r="14" spans="1:7" x14ac:dyDescent="0.25">
      <c r="A14" s="1" t="s">
        <v>1008</v>
      </c>
      <c r="B14" s="1" t="s">
        <v>1007</v>
      </c>
      <c r="C14" s="1" t="s">
        <v>1006</v>
      </c>
      <c r="D14" s="1" t="s">
        <v>992</v>
      </c>
      <c r="E14" s="1">
        <v>1</v>
      </c>
      <c r="F14" s="1">
        <v>0.25</v>
      </c>
      <c r="G14" s="1">
        <v>2</v>
      </c>
    </row>
    <row r="15" spans="1:7" x14ac:dyDescent="0.25">
      <c r="A15" s="1" t="s">
        <v>1005</v>
      </c>
      <c r="B15" s="1" t="s">
        <v>1004</v>
      </c>
      <c r="C15" s="1" t="s">
        <v>1003</v>
      </c>
      <c r="D15" s="1" t="s">
        <v>1002</v>
      </c>
      <c r="E15" s="1">
        <v>1</v>
      </c>
      <c r="F15" s="1">
        <v>0.4</v>
      </c>
      <c r="G15" s="1">
        <v>2</v>
      </c>
    </row>
    <row r="16" spans="1:7" x14ac:dyDescent="0.25">
      <c r="A16" s="1" t="s">
        <v>1001</v>
      </c>
      <c r="B16" s="1" t="s">
        <v>1000</v>
      </c>
      <c r="C16" s="1" t="s">
        <v>999</v>
      </c>
      <c r="D16" s="1" t="s">
        <v>992</v>
      </c>
      <c r="E16" s="1">
        <v>1</v>
      </c>
      <c r="F16" s="1">
        <v>0.1</v>
      </c>
      <c r="G16" s="1">
        <v>2.5</v>
      </c>
    </row>
    <row r="17" spans="1:7" x14ac:dyDescent="0.25">
      <c r="A17" s="1" t="s">
        <v>998</v>
      </c>
      <c r="B17" s="1" t="s">
        <v>997</v>
      </c>
      <c r="C17" s="1" t="s">
        <v>996</v>
      </c>
      <c r="D17" s="1" t="s">
        <v>992</v>
      </c>
      <c r="E17" s="1">
        <v>1</v>
      </c>
      <c r="F17" s="1">
        <v>0.15</v>
      </c>
      <c r="G17" s="1">
        <v>2</v>
      </c>
    </row>
    <row r="18" spans="1:7" x14ac:dyDescent="0.25">
      <c r="A18" s="1" t="s">
        <v>995</v>
      </c>
      <c r="B18" s="1" t="s">
        <v>994</v>
      </c>
      <c r="C18" s="1" t="s">
        <v>993</v>
      </c>
      <c r="D18" s="1" t="s">
        <v>992</v>
      </c>
      <c r="E18" s="1">
        <v>1</v>
      </c>
      <c r="F18" s="1">
        <v>0.1</v>
      </c>
      <c r="G18" s="1">
        <v>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2B9EB-41BF-45FB-BF70-6CFCAAC3A06E}">
  <sheetPr>
    <tabColor theme="3" tint="-0.249977111117893"/>
  </sheetPr>
  <dimension ref="A1:E5"/>
  <sheetViews>
    <sheetView workbookViewId="0">
      <selection sqref="A1:E5"/>
    </sheetView>
  </sheetViews>
  <sheetFormatPr baseColWidth="10" defaultRowHeight="15" x14ac:dyDescent="0.25"/>
  <cols>
    <col min="1" max="1" width="17.85546875" style="1" bestFit="1" customWidth="1"/>
    <col min="2" max="2" width="21" style="1" bestFit="1" customWidth="1"/>
    <col min="3" max="3" width="22.42578125" style="1" bestFit="1" customWidth="1"/>
    <col min="4" max="4" width="21" style="1" bestFit="1" customWidth="1"/>
    <col min="5" max="5" width="20.42578125" style="1" bestFit="1" customWidth="1"/>
    <col min="6" max="16384" width="11.42578125" style="1"/>
  </cols>
  <sheetData>
    <row r="1" spans="1:5" x14ac:dyDescent="0.25">
      <c r="A1" s="1" t="s">
        <v>1050</v>
      </c>
      <c r="B1" s="1" t="s">
        <v>1054</v>
      </c>
      <c r="C1" s="1" t="s">
        <v>1055</v>
      </c>
      <c r="D1" s="1" t="s">
        <v>1056</v>
      </c>
      <c r="E1" s="1" t="s">
        <v>1057</v>
      </c>
    </row>
    <row r="2" spans="1:5" x14ac:dyDescent="0.25">
      <c r="A2" s="1" t="s">
        <v>1043</v>
      </c>
      <c r="B2" s="1" t="s">
        <v>1058</v>
      </c>
      <c r="C2" s="1" t="s">
        <v>1059</v>
      </c>
      <c r="D2" s="1" t="s">
        <v>1058</v>
      </c>
      <c r="E2" s="1">
        <v>1</v>
      </c>
    </row>
    <row r="3" spans="1:5" x14ac:dyDescent="0.25">
      <c r="A3" s="1" t="s">
        <v>1036</v>
      </c>
      <c r="B3" s="1" t="s">
        <v>1060</v>
      </c>
      <c r="C3" s="1" t="s">
        <v>1061</v>
      </c>
      <c r="D3" s="1" t="s">
        <v>1062</v>
      </c>
      <c r="E3" s="1">
        <v>2</v>
      </c>
    </row>
    <row r="4" spans="1:5" x14ac:dyDescent="0.25">
      <c r="A4" s="1" t="s">
        <v>1002</v>
      </c>
      <c r="B4" s="1" t="s">
        <v>1062</v>
      </c>
      <c r="C4" s="1" t="s">
        <v>1063</v>
      </c>
      <c r="D4" s="1" t="s">
        <v>1062</v>
      </c>
      <c r="E4" s="1">
        <v>3</v>
      </c>
    </row>
    <row r="5" spans="1:5" x14ac:dyDescent="0.25">
      <c r="A5" s="1" t="s">
        <v>992</v>
      </c>
      <c r="B5" s="1" t="s">
        <v>1064</v>
      </c>
      <c r="C5" s="1" t="s">
        <v>1065</v>
      </c>
      <c r="D5" s="1" t="s">
        <v>1064</v>
      </c>
      <c r="E5" s="1">
        <v>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2481-E527-461A-B07A-33CE515967E8}">
  <sheetPr>
    <tabColor theme="3" tint="-0.249977111117893"/>
  </sheetPr>
  <dimension ref="A1:D3"/>
  <sheetViews>
    <sheetView workbookViewId="0">
      <selection activeCell="A3" sqref="A3"/>
    </sheetView>
  </sheetViews>
  <sheetFormatPr baseColWidth="10" defaultRowHeight="15" x14ac:dyDescent="0.25"/>
  <cols>
    <col min="1" max="1" width="20.7109375" style="1" customWidth="1"/>
    <col min="2" max="2" width="23.42578125" style="1" customWidth="1"/>
    <col min="3" max="3" width="25.140625" style="1" customWidth="1"/>
    <col min="4" max="4" width="20" style="1" customWidth="1"/>
    <col min="5" max="16384" width="11.42578125" style="1"/>
  </cols>
  <sheetData>
    <row r="1" spans="1:4" x14ac:dyDescent="0.25">
      <c r="A1" s="1" t="s">
        <v>1066</v>
      </c>
      <c r="B1" s="1" t="s">
        <v>1067</v>
      </c>
      <c r="C1" s="1" t="s">
        <v>979</v>
      </c>
      <c r="D1" s="1" t="s">
        <v>1057</v>
      </c>
    </row>
    <row r="2" spans="1:4" x14ac:dyDescent="0.25">
      <c r="A2" s="1" t="s">
        <v>1068</v>
      </c>
      <c r="B2" s="1" t="s">
        <v>1069</v>
      </c>
      <c r="C2" s="1" t="s">
        <v>987</v>
      </c>
      <c r="D2" s="1">
        <v>1</v>
      </c>
    </row>
    <row r="3" spans="1:4" x14ac:dyDescent="0.25">
      <c r="A3" s="1" t="s">
        <v>1070</v>
      </c>
      <c r="B3" s="1" t="s">
        <v>1071</v>
      </c>
      <c r="C3" s="1" t="s">
        <v>987</v>
      </c>
      <c r="D3" s="1"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8FB1-59A7-4B21-8114-F29519C7425A}">
  <sheetPr>
    <tabColor theme="4" tint="-0.249977111117893"/>
  </sheetPr>
  <dimension ref="A1:B17"/>
  <sheetViews>
    <sheetView workbookViewId="0">
      <selection activeCell="E22" sqref="E22"/>
    </sheetView>
  </sheetViews>
  <sheetFormatPr baseColWidth="10" defaultRowHeight="15" x14ac:dyDescent="0.25"/>
  <cols>
    <col min="1" max="1" width="20.28515625" customWidth="1"/>
    <col min="2" max="2" width="20.85546875" customWidth="1"/>
  </cols>
  <sheetData>
    <row r="1" spans="1:2" ht="30" x14ac:dyDescent="0.25">
      <c r="A1" s="216" t="s">
        <v>1804</v>
      </c>
      <c r="B1" s="216" t="s">
        <v>1053</v>
      </c>
    </row>
    <row r="2" spans="1:2" x14ac:dyDescent="0.25">
      <c r="A2" s="217" t="s">
        <v>1805</v>
      </c>
      <c r="B2" s="217" t="s">
        <v>1046</v>
      </c>
    </row>
    <row r="3" spans="1:2" x14ac:dyDescent="0.25">
      <c r="A3" s="217" t="s">
        <v>1806</v>
      </c>
      <c r="B3" s="217" t="s">
        <v>1046</v>
      </c>
    </row>
    <row r="4" spans="1:2" x14ac:dyDescent="0.25">
      <c r="A4" s="217" t="s">
        <v>1807</v>
      </c>
      <c r="B4" s="217" t="s">
        <v>1046</v>
      </c>
    </row>
    <row r="5" spans="1:2" x14ac:dyDescent="0.25">
      <c r="A5" s="217" t="s">
        <v>1808</v>
      </c>
      <c r="B5" s="217" t="s">
        <v>1042</v>
      </c>
    </row>
    <row r="6" spans="1:2" x14ac:dyDescent="0.25">
      <c r="A6" s="217" t="s">
        <v>1038</v>
      </c>
      <c r="B6" s="217" t="s">
        <v>1039</v>
      </c>
    </row>
    <row r="7" spans="1:2" x14ac:dyDescent="0.25">
      <c r="A7" s="217" t="s">
        <v>1809</v>
      </c>
      <c r="B7" s="217" t="s">
        <v>1035</v>
      </c>
    </row>
    <row r="8" spans="1:2" x14ac:dyDescent="0.25">
      <c r="A8" s="217" t="s">
        <v>1810</v>
      </c>
      <c r="B8" s="217" t="s">
        <v>1032</v>
      </c>
    </row>
    <row r="9" spans="1:2" x14ac:dyDescent="0.25">
      <c r="A9" s="217" t="s">
        <v>1811</v>
      </c>
      <c r="B9" s="217" t="s">
        <v>1023</v>
      </c>
    </row>
    <row r="10" spans="1:2" x14ac:dyDescent="0.25">
      <c r="A10" s="217" t="s">
        <v>1812</v>
      </c>
      <c r="B10" s="217" t="s">
        <v>1020</v>
      </c>
    </row>
    <row r="11" spans="1:2" x14ac:dyDescent="0.25">
      <c r="A11" s="217" t="s">
        <v>1813</v>
      </c>
      <c r="B11" s="217" t="s">
        <v>1017</v>
      </c>
    </row>
    <row r="12" spans="1:2" x14ac:dyDescent="0.25">
      <c r="A12" s="217" t="s">
        <v>1814</v>
      </c>
      <c r="B12" s="217" t="s">
        <v>1001</v>
      </c>
    </row>
    <row r="13" spans="1:2" x14ac:dyDescent="0.25">
      <c r="A13" s="217" t="s">
        <v>1815</v>
      </c>
      <c r="B13" s="217" t="s">
        <v>1014</v>
      </c>
    </row>
    <row r="14" spans="1:2" x14ac:dyDescent="0.25">
      <c r="A14" s="217" t="s">
        <v>1816</v>
      </c>
      <c r="B14" s="217" t="s">
        <v>1011</v>
      </c>
    </row>
    <row r="15" spans="1:2" x14ac:dyDescent="0.25">
      <c r="A15" s="217" t="s">
        <v>1817</v>
      </c>
      <c r="B15" s="217" t="s">
        <v>1008</v>
      </c>
    </row>
    <row r="16" spans="1:2" x14ac:dyDescent="0.25">
      <c r="A16" s="217" t="s">
        <v>1818</v>
      </c>
      <c r="B16" s="217" t="s">
        <v>1005</v>
      </c>
    </row>
    <row r="17" spans="1:2" x14ac:dyDescent="0.25">
      <c r="A17" s="217" t="s">
        <v>1819</v>
      </c>
      <c r="B17" t="s">
        <v>1017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E99A-7048-4BBF-A85A-D262191ED6C1}">
  <sheetPr>
    <tabColor rgb="FFFF0000"/>
  </sheetPr>
  <dimension ref="A1"/>
  <sheetViews>
    <sheetView workbookViewId="0"/>
  </sheetViews>
  <sheetFormatPr baseColWidth="10" defaultRowHeight="15" x14ac:dyDescent="0.25"/>
  <cols>
    <col min="1" max="16384" width="11.42578125" style="1"/>
  </cols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2964-8DCB-4C19-AC19-1EE0FC91DA1A}">
  <dimension ref="A1"/>
  <sheetViews>
    <sheetView workbookViewId="0"/>
  </sheetViews>
  <sheetFormatPr baseColWidth="10" defaultRowHeight="15" x14ac:dyDescent="0.25"/>
  <cols>
    <col min="1" max="1" width="39.7109375" bestFit="1" customWidth="1"/>
    <col min="2" max="2" width="15.7109375" bestFit="1" customWidth="1"/>
    <col min="3" max="3" width="16.7109375" bestFit="1" customWidth="1"/>
    <col min="4" max="4" width="13.42578125" bestFit="1" customWidth="1"/>
    <col min="5" max="5" width="14.42578125" customWidth="1"/>
    <col min="6" max="7" width="14.28515625" bestFit="1" customWidth="1"/>
  </cols>
  <sheetData/>
  <phoneticPr fontId="3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4867-8E13-4A39-9775-052F9D46CF1B}">
  <dimension ref="A1:H301"/>
  <sheetViews>
    <sheetView workbookViewId="0">
      <selection activeCell="C18" sqref="C18"/>
    </sheetView>
  </sheetViews>
  <sheetFormatPr baseColWidth="10" defaultRowHeight="15" x14ac:dyDescent="0.25"/>
  <cols>
    <col min="1" max="1" width="20.85546875" bestFit="1" customWidth="1"/>
    <col min="2" max="2" width="42.5703125" bestFit="1" customWidth="1"/>
    <col min="3" max="3" width="81.140625" bestFit="1" customWidth="1"/>
    <col min="4" max="4" width="6.7109375" bestFit="1" customWidth="1"/>
    <col min="5" max="5" width="15.140625" bestFit="1" customWidth="1"/>
    <col min="6" max="6" width="12.85546875" bestFit="1" customWidth="1"/>
    <col min="7" max="7" width="8.7109375" bestFit="1" customWidth="1"/>
    <col min="8" max="8" width="7" bestFit="1" customWidth="1"/>
  </cols>
  <sheetData>
    <row r="1" spans="1:8" x14ac:dyDescent="0.25">
      <c r="A1" t="s">
        <v>979</v>
      </c>
      <c r="B1" t="s">
        <v>1072</v>
      </c>
      <c r="C1" t="s">
        <v>1073</v>
      </c>
      <c r="D1" t="s">
        <v>1074</v>
      </c>
      <c r="E1" t="s">
        <v>1066</v>
      </c>
      <c r="F1" t="s">
        <v>1538</v>
      </c>
      <c r="G1" t="s">
        <v>1075</v>
      </c>
      <c r="H1" t="s">
        <v>1539</v>
      </c>
    </row>
    <row r="2" spans="1:8" x14ac:dyDescent="0.25">
      <c r="A2" t="s">
        <v>987</v>
      </c>
      <c r="B2" t="s">
        <v>1081</v>
      </c>
      <c r="C2" t="s">
        <v>1082</v>
      </c>
      <c r="D2" t="s">
        <v>1083</v>
      </c>
      <c r="E2" t="s">
        <v>1068</v>
      </c>
      <c r="F2" t="s">
        <v>1542</v>
      </c>
      <c r="G2" t="s">
        <v>1084</v>
      </c>
      <c r="H2">
        <v>1</v>
      </c>
    </row>
    <row r="3" spans="1:8" x14ac:dyDescent="0.25">
      <c r="A3" t="s">
        <v>987</v>
      </c>
      <c r="B3" t="s">
        <v>1088</v>
      </c>
      <c r="C3" t="s">
        <v>1089</v>
      </c>
      <c r="D3" t="s">
        <v>1083</v>
      </c>
      <c r="E3" t="s">
        <v>1068</v>
      </c>
      <c r="F3" t="s">
        <v>1542</v>
      </c>
      <c r="G3" t="s">
        <v>1084</v>
      </c>
      <c r="H3">
        <v>1</v>
      </c>
    </row>
    <row r="4" spans="1:8" x14ac:dyDescent="0.25">
      <c r="A4" t="s">
        <v>987</v>
      </c>
      <c r="B4" t="s">
        <v>1090</v>
      </c>
      <c r="C4" t="s">
        <v>1091</v>
      </c>
      <c r="D4" t="s">
        <v>1083</v>
      </c>
      <c r="E4" t="s">
        <v>1068</v>
      </c>
      <c r="F4" t="s">
        <v>1542</v>
      </c>
      <c r="G4" t="s">
        <v>1084</v>
      </c>
      <c r="H4">
        <v>1</v>
      </c>
    </row>
    <row r="5" spans="1:8" x14ac:dyDescent="0.25">
      <c r="A5" t="s">
        <v>987</v>
      </c>
      <c r="B5" t="s">
        <v>1092</v>
      </c>
      <c r="C5" t="s">
        <v>1093</v>
      </c>
      <c r="D5" t="s">
        <v>1083</v>
      </c>
      <c r="E5" t="s">
        <v>1068</v>
      </c>
      <c r="F5" t="s">
        <v>1542</v>
      </c>
      <c r="G5" t="s">
        <v>1084</v>
      </c>
      <c r="H5">
        <v>1</v>
      </c>
    </row>
    <row r="6" spans="1:8" x14ac:dyDescent="0.25">
      <c r="A6" t="s">
        <v>987</v>
      </c>
      <c r="B6" t="s">
        <v>1094</v>
      </c>
      <c r="C6" t="s">
        <v>1095</v>
      </c>
      <c r="D6" t="s">
        <v>1083</v>
      </c>
      <c r="E6" t="s">
        <v>1068</v>
      </c>
      <c r="F6" t="s">
        <v>1542</v>
      </c>
      <c r="G6" t="s">
        <v>1084</v>
      </c>
      <c r="H6">
        <v>1</v>
      </c>
    </row>
    <row r="7" spans="1:8" x14ac:dyDescent="0.25">
      <c r="A7" t="s">
        <v>987</v>
      </c>
      <c r="B7" t="s">
        <v>1096</v>
      </c>
      <c r="C7" t="s">
        <v>1097</v>
      </c>
      <c r="D7" t="s">
        <v>1083</v>
      </c>
      <c r="E7" t="s">
        <v>1068</v>
      </c>
      <c r="F7" t="s">
        <v>1542</v>
      </c>
      <c r="G7" t="s">
        <v>1084</v>
      </c>
      <c r="H7">
        <v>1</v>
      </c>
    </row>
    <row r="8" spans="1:8" x14ac:dyDescent="0.25">
      <c r="A8" t="s">
        <v>987</v>
      </c>
      <c r="B8" t="s">
        <v>1098</v>
      </c>
      <c r="C8" t="s">
        <v>1099</v>
      </c>
      <c r="D8" t="s">
        <v>1083</v>
      </c>
      <c r="E8" t="s">
        <v>1068</v>
      </c>
      <c r="F8" t="s">
        <v>1542</v>
      </c>
      <c r="G8" t="s">
        <v>1084</v>
      </c>
      <c r="H8">
        <v>1</v>
      </c>
    </row>
    <row r="9" spans="1:8" x14ac:dyDescent="0.25">
      <c r="A9" t="s">
        <v>987</v>
      </c>
      <c r="B9" t="s">
        <v>1100</v>
      </c>
      <c r="C9" t="s">
        <v>1101</v>
      </c>
      <c r="D9" t="s">
        <v>1083</v>
      </c>
      <c r="E9" t="s">
        <v>1068</v>
      </c>
      <c r="F9" t="s">
        <v>1727</v>
      </c>
      <c r="G9" t="s">
        <v>1084</v>
      </c>
      <c r="H9">
        <v>1</v>
      </c>
    </row>
    <row r="10" spans="1:8" x14ac:dyDescent="0.25">
      <c r="A10" t="s">
        <v>987</v>
      </c>
      <c r="B10" t="s">
        <v>1102</v>
      </c>
      <c r="C10" t="s">
        <v>1103</v>
      </c>
      <c r="D10" t="s">
        <v>1083</v>
      </c>
      <c r="E10" t="s">
        <v>1070</v>
      </c>
      <c r="F10" t="s">
        <v>1729</v>
      </c>
      <c r="G10" t="s">
        <v>1084</v>
      </c>
      <c r="H10">
        <v>1</v>
      </c>
    </row>
    <row r="11" spans="1:8" x14ac:dyDescent="0.25">
      <c r="A11" t="s">
        <v>987</v>
      </c>
      <c r="B11" t="s">
        <v>1104</v>
      </c>
      <c r="C11" t="s">
        <v>1105</v>
      </c>
      <c r="D11" t="s">
        <v>1083</v>
      </c>
      <c r="E11" t="s">
        <v>1068</v>
      </c>
      <c r="F11" t="s">
        <v>1730</v>
      </c>
      <c r="G11" t="s">
        <v>1084</v>
      </c>
      <c r="H11">
        <v>1</v>
      </c>
    </row>
    <row r="12" spans="1:8" x14ac:dyDescent="0.25">
      <c r="A12" t="s">
        <v>987</v>
      </c>
      <c r="B12" t="s">
        <v>1106</v>
      </c>
      <c r="C12" t="s">
        <v>1107</v>
      </c>
      <c r="D12" t="s">
        <v>1083</v>
      </c>
      <c r="E12" t="s">
        <v>1068</v>
      </c>
      <c r="F12" t="s">
        <v>1542</v>
      </c>
      <c r="G12" t="s">
        <v>1084</v>
      </c>
      <c r="H12">
        <v>1</v>
      </c>
    </row>
    <row r="13" spans="1:8" x14ac:dyDescent="0.25">
      <c r="A13" t="s">
        <v>987</v>
      </c>
      <c r="B13" t="s">
        <v>1108</v>
      </c>
      <c r="C13" t="s">
        <v>1109</v>
      </c>
      <c r="D13" t="s">
        <v>1083</v>
      </c>
      <c r="E13" t="s">
        <v>1068</v>
      </c>
      <c r="F13" t="s">
        <v>1727</v>
      </c>
      <c r="G13" t="s">
        <v>1110</v>
      </c>
      <c r="H13">
        <v>460</v>
      </c>
    </row>
    <row r="14" spans="1:8" x14ac:dyDescent="0.25">
      <c r="A14" t="s">
        <v>987</v>
      </c>
      <c r="B14" t="s">
        <v>1111</v>
      </c>
      <c r="C14" t="s">
        <v>1112</v>
      </c>
      <c r="D14" t="s">
        <v>1083</v>
      </c>
      <c r="E14" t="s">
        <v>1068</v>
      </c>
      <c r="F14" t="s">
        <v>1731</v>
      </c>
      <c r="G14" t="s">
        <v>1113</v>
      </c>
      <c r="H14">
        <v>3.07</v>
      </c>
    </row>
    <row r="15" spans="1:8" x14ac:dyDescent="0.25">
      <c r="A15" t="s">
        <v>987</v>
      </c>
      <c r="B15" t="s">
        <v>1114</v>
      </c>
      <c r="C15" t="s">
        <v>1115</v>
      </c>
      <c r="D15" t="s">
        <v>1083</v>
      </c>
      <c r="E15" t="s">
        <v>1068</v>
      </c>
      <c r="F15" t="s">
        <v>1731</v>
      </c>
      <c r="G15" t="s">
        <v>1113</v>
      </c>
      <c r="H15">
        <v>4.3600000000000003</v>
      </c>
    </row>
    <row r="16" spans="1:8" x14ac:dyDescent="0.25">
      <c r="A16" t="s">
        <v>987</v>
      </c>
      <c r="B16" t="s">
        <v>1116</v>
      </c>
      <c r="C16" t="s">
        <v>1117</v>
      </c>
      <c r="D16" t="s">
        <v>1083</v>
      </c>
      <c r="E16" t="s">
        <v>1068</v>
      </c>
      <c r="F16" t="s">
        <v>1731</v>
      </c>
      <c r="G16" t="s">
        <v>1110</v>
      </c>
      <c r="H16">
        <v>15.84</v>
      </c>
    </row>
    <row r="17" spans="1:8" x14ac:dyDescent="0.25">
      <c r="A17" t="s">
        <v>987</v>
      </c>
      <c r="B17" t="s">
        <v>1118</v>
      </c>
      <c r="C17" t="s">
        <v>1119</v>
      </c>
      <c r="D17" t="s">
        <v>1083</v>
      </c>
      <c r="E17" t="s">
        <v>1068</v>
      </c>
      <c r="F17" t="s">
        <v>1731</v>
      </c>
      <c r="G17" t="s">
        <v>1120</v>
      </c>
      <c r="H17">
        <v>436</v>
      </c>
    </row>
    <row r="18" spans="1:8" x14ac:dyDescent="0.25">
      <c r="A18" t="s">
        <v>987</v>
      </c>
      <c r="B18" t="s">
        <v>1121</v>
      </c>
      <c r="C18" t="s">
        <v>1732</v>
      </c>
      <c r="D18" t="s">
        <v>1083</v>
      </c>
      <c r="E18" t="s">
        <v>1068</v>
      </c>
      <c r="F18" t="s">
        <v>1731</v>
      </c>
      <c r="G18" t="s">
        <v>1113</v>
      </c>
      <c r="H18">
        <v>1.65</v>
      </c>
    </row>
    <row r="19" spans="1:8" x14ac:dyDescent="0.25">
      <c r="A19" t="s">
        <v>987</v>
      </c>
      <c r="B19" t="s">
        <v>1122</v>
      </c>
      <c r="C19" t="s">
        <v>1733</v>
      </c>
      <c r="D19" t="s">
        <v>1083</v>
      </c>
      <c r="E19" t="s">
        <v>1068</v>
      </c>
      <c r="F19" t="s">
        <v>1731</v>
      </c>
      <c r="G19" t="s">
        <v>1110</v>
      </c>
      <c r="H19">
        <v>26.4</v>
      </c>
    </row>
    <row r="20" spans="1:8" x14ac:dyDescent="0.25">
      <c r="A20" t="s">
        <v>987</v>
      </c>
      <c r="B20" t="s">
        <v>1123</v>
      </c>
      <c r="C20" t="s">
        <v>1734</v>
      </c>
      <c r="D20" t="s">
        <v>1083</v>
      </c>
      <c r="E20" t="s">
        <v>1068</v>
      </c>
      <c r="F20" t="s">
        <v>1731</v>
      </c>
      <c r="G20" t="s">
        <v>1120</v>
      </c>
      <c r="H20">
        <v>198</v>
      </c>
    </row>
    <row r="21" spans="1:8" x14ac:dyDescent="0.25">
      <c r="A21" t="s">
        <v>987</v>
      </c>
      <c r="B21" t="s">
        <v>1124</v>
      </c>
      <c r="C21" t="s">
        <v>1735</v>
      </c>
      <c r="D21" t="s">
        <v>1083</v>
      </c>
      <c r="E21" t="s">
        <v>1068</v>
      </c>
      <c r="F21" t="s">
        <v>1731</v>
      </c>
      <c r="G21" t="s">
        <v>1113</v>
      </c>
      <c r="H21">
        <v>3.72</v>
      </c>
    </row>
    <row r="22" spans="1:8" x14ac:dyDescent="0.25">
      <c r="A22" t="s">
        <v>987</v>
      </c>
      <c r="B22" t="s">
        <v>1125</v>
      </c>
      <c r="C22" t="s">
        <v>1736</v>
      </c>
      <c r="D22" t="s">
        <v>1083</v>
      </c>
      <c r="E22" t="s">
        <v>1068</v>
      </c>
      <c r="F22" t="s">
        <v>1731</v>
      </c>
      <c r="G22" t="s">
        <v>1110</v>
      </c>
      <c r="H22">
        <v>37.33</v>
      </c>
    </row>
    <row r="23" spans="1:8" x14ac:dyDescent="0.25">
      <c r="A23" t="s">
        <v>987</v>
      </c>
      <c r="B23" t="s">
        <v>1126</v>
      </c>
      <c r="C23" t="s">
        <v>1737</v>
      </c>
      <c r="D23" t="s">
        <v>1083</v>
      </c>
      <c r="E23" t="s">
        <v>1068</v>
      </c>
      <c r="F23" t="s">
        <v>1731</v>
      </c>
      <c r="G23" t="s">
        <v>1120</v>
      </c>
      <c r="H23">
        <v>484</v>
      </c>
    </row>
    <row r="24" spans="1:8" x14ac:dyDescent="0.25">
      <c r="A24" t="s">
        <v>987</v>
      </c>
      <c r="B24" t="s">
        <v>1127</v>
      </c>
      <c r="C24" t="s">
        <v>1738</v>
      </c>
      <c r="D24" t="s">
        <v>1083</v>
      </c>
      <c r="E24" t="s">
        <v>1068</v>
      </c>
      <c r="F24" t="s">
        <v>1731</v>
      </c>
      <c r="G24" t="s">
        <v>1113</v>
      </c>
      <c r="H24">
        <v>33.200000000000003</v>
      </c>
    </row>
    <row r="25" spans="1:8" x14ac:dyDescent="0.25">
      <c r="A25" t="s">
        <v>987</v>
      </c>
      <c r="B25" t="s">
        <v>1129</v>
      </c>
      <c r="C25" t="s">
        <v>1739</v>
      </c>
      <c r="D25" t="s">
        <v>1083</v>
      </c>
      <c r="E25" t="s">
        <v>1068</v>
      </c>
      <c r="F25" t="s">
        <v>1731</v>
      </c>
      <c r="G25" t="s">
        <v>1110</v>
      </c>
      <c r="H25">
        <v>66.8</v>
      </c>
    </row>
    <row r="26" spans="1:8" x14ac:dyDescent="0.25">
      <c r="A26" t="s">
        <v>987</v>
      </c>
      <c r="B26" t="s">
        <v>1130</v>
      </c>
      <c r="C26" t="s">
        <v>1740</v>
      </c>
      <c r="D26" t="s">
        <v>1083</v>
      </c>
      <c r="E26" t="s">
        <v>1068</v>
      </c>
      <c r="F26" t="s">
        <v>1731</v>
      </c>
      <c r="G26" t="s">
        <v>1120</v>
      </c>
      <c r="H26">
        <v>2324</v>
      </c>
    </row>
    <row r="27" spans="1:8" x14ac:dyDescent="0.25">
      <c r="A27" t="s">
        <v>987</v>
      </c>
      <c r="B27" t="s">
        <v>1131</v>
      </c>
      <c r="C27" t="s">
        <v>1132</v>
      </c>
      <c r="D27" t="s">
        <v>1083</v>
      </c>
      <c r="E27" t="s">
        <v>1068</v>
      </c>
      <c r="F27" t="s">
        <v>1731</v>
      </c>
      <c r="G27" t="s">
        <v>1110</v>
      </c>
      <c r="H27">
        <v>78.98</v>
      </c>
    </row>
    <row r="28" spans="1:8" x14ac:dyDescent="0.25">
      <c r="A28" t="s">
        <v>987</v>
      </c>
      <c r="B28" t="s">
        <v>1133</v>
      </c>
      <c r="C28" t="s">
        <v>1741</v>
      </c>
      <c r="D28" t="s">
        <v>1083</v>
      </c>
      <c r="E28" t="s">
        <v>1070</v>
      </c>
      <c r="F28" t="s">
        <v>1731</v>
      </c>
      <c r="G28" t="s">
        <v>1113</v>
      </c>
      <c r="H28">
        <v>30.3</v>
      </c>
    </row>
    <row r="29" spans="1:8" x14ac:dyDescent="0.25">
      <c r="A29" t="s">
        <v>987</v>
      </c>
      <c r="B29" t="s">
        <v>1134</v>
      </c>
      <c r="C29" t="s">
        <v>1742</v>
      </c>
      <c r="D29" t="s">
        <v>1083</v>
      </c>
      <c r="E29" t="s">
        <v>1070</v>
      </c>
      <c r="F29" t="s">
        <v>1731</v>
      </c>
      <c r="G29" t="s">
        <v>1110</v>
      </c>
      <c r="H29">
        <v>10.8</v>
      </c>
    </row>
    <row r="30" spans="1:8" x14ac:dyDescent="0.25">
      <c r="A30" t="s">
        <v>987</v>
      </c>
      <c r="B30" t="s">
        <v>1135</v>
      </c>
      <c r="C30" t="s">
        <v>1743</v>
      </c>
      <c r="D30" t="s">
        <v>1083</v>
      </c>
      <c r="E30" t="s">
        <v>1070</v>
      </c>
      <c r="F30" t="s">
        <v>1731</v>
      </c>
      <c r="G30" t="s">
        <v>1120</v>
      </c>
      <c r="H30">
        <v>1818</v>
      </c>
    </row>
    <row r="31" spans="1:8" x14ac:dyDescent="0.25">
      <c r="A31" t="s">
        <v>987</v>
      </c>
      <c r="B31" t="s">
        <v>1136</v>
      </c>
      <c r="C31" t="s">
        <v>1744</v>
      </c>
      <c r="D31" t="s">
        <v>1083</v>
      </c>
      <c r="E31" t="s">
        <v>1068</v>
      </c>
      <c r="F31" t="s">
        <v>1727</v>
      </c>
      <c r="G31" t="s">
        <v>1113</v>
      </c>
      <c r="H31">
        <v>2.48</v>
      </c>
    </row>
    <row r="32" spans="1:8" x14ac:dyDescent="0.25">
      <c r="A32" t="s">
        <v>987</v>
      </c>
      <c r="B32" t="s">
        <v>1138</v>
      </c>
      <c r="C32" t="s">
        <v>1745</v>
      </c>
      <c r="D32" t="s">
        <v>1083</v>
      </c>
      <c r="E32" t="s">
        <v>1068</v>
      </c>
      <c r="F32" t="s">
        <v>1727</v>
      </c>
      <c r="G32" t="s">
        <v>1110</v>
      </c>
      <c r="H32">
        <v>39.6</v>
      </c>
    </row>
    <row r="33" spans="1:8" x14ac:dyDescent="0.25">
      <c r="A33" t="s">
        <v>987</v>
      </c>
      <c r="B33" t="s">
        <v>1139</v>
      </c>
      <c r="C33" t="s">
        <v>1746</v>
      </c>
      <c r="D33" t="s">
        <v>1083</v>
      </c>
      <c r="E33" t="s">
        <v>1068</v>
      </c>
      <c r="F33" t="s">
        <v>1727</v>
      </c>
      <c r="G33" t="s">
        <v>1120</v>
      </c>
      <c r="H33">
        <v>297.60000000000002</v>
      </c>
    </row>
    <row r="34" spans="1:8" x14ac:dyDescent="0.25">
      <c r="A34" t="s">
        <v>987</v>
      </c>
      <c r="B34" t="s">
        <v>1140</v>
      </c>
      <c r="C34" t="s">
        <v>1747</v>
      </c>
      <c r="D34" t="s">
        <v>1083</v>
      </c>
      <c r="E34" t="s">
        <v>1068</v>
      </c>
      <c r="F34" t="s">
        <v>1727</v>
      </c>
      <c r="G34" t="s">
        <v>1113</v>
      </c>
      <c r="H34">
        <v>3.72</v>
      </c>
    </row>
    <row r="35" spans="1:8" x14ac:dyDescent="0.25">
      <c r="A35" t="s">
        <v>987</v>
      </c>
      <c r="B35" t="s">
        <v>1141</v>
      </c>
      <c r="C35" t="s">
        <v>1748</v>
      </c>
      <c r="D35" t="s">
        <v>1083</v>
      </c>
      <c r="E35" t="s">
        <v>1068</v>
      </c>
      <c r="F35" t="s">
        <v>1727</v>
      </c>
      <c r="G35" t="s">
        <v>1110</v>
      </c>
      <c r="H35">
        <v>46.46</v>
      </c>
    </row>
    <row r="36" spans="1:8" x14ac:dyDescent="0.25">
      <c r="A36" t="s">
        <v>987</v>
      </c>
      <c r="B36" t="s">
        <v>1142</v>
      </c>
      <c r="C36" t="s">
        <v>1749</v>
      </c>
      <c r="D36" t="s">
        <v>1083</v>
      </c>
      <c r="E36" t="s">
        <v>1068</v>
      </c>
      <c r="F36" t="s">
        <v>1727</v>
      </c>
      <c r="G36" t="s">
        <v>1120</v>
      </c>
      <c r="H36">
        <v>483.6</v>
      </c>
    </row>
    <row r="37" spans="1:8" x14ac:dyDescent="0.25">
      <c r="A37" t="s">
        <v>987</v>
      </c>
      <c r="B37" t="s">
        <v>1143</v>
      </c>
      <c r="C37" t="s">
        <v>1750</v>
      </c>
      <c r="D37" t="s">
        <v>1083</v>
      </c>
      <c r="E37" t="s">
        <v>1068</v>
      </c>
      <c r="F37" t="s">
        <v>1727</v>
      </c>
      <c r="G37" t="s">
        <v>1113</v>
      </c>
      <c r="H37">
        <v>5.31</v>
      </c>
    </row>
    <row r="38" spans="1:8" x14ac:dyDescent="0.25">
      <c r="A38" t="s">
        <v>987</v>
      </c>
      <c r="B38" t="s">
        <v>1145</v>
      </c>
      <c r="C38" t="s">
        <v>1751</v>
      </c>
      <c r="D38" t="s">
        <v>1083</v>
      </c>
      <c r="E38" t="s">
        <v>1068</v>
      </c>
      <c r="F38" t="s">
        <v>1727</v>
      </c>
      <c r="G38" t="s">
        <v>1110</v>
      </c>
      <c r="H38">
        <v>79.63</v>
      </c>
    </row>
    <row r="39" spans="1:8" x14ac:dyDescent="0.25">
      <c r="A39" t="s">
        <v>987</v>
      </c>
      <c r="B39" t="s">
        <v>1146</v>
      </c>
      <c r="C39" t="s">
        <v>1752</v>
      </c>
      <c r="D39" t="s">
        <v>1083</v>
      </c>
      <c r="E39" t="s">
        <v>1068</v>
      </c>
      <c r="F39" t="s">
        <v>1727</v>
      </c>
      <c r="G39" t="s">
        <v>1120</v>
      </c>
      <c r="H39">
        <v>1113.5999999999999</v>
      </c>
    </row>
    <row r="40" spans="1:8" x14ac:dyDescent="0.25">
      <c r="A40" t="s">
        <v>987</v>
      </c>
      <c r="B40" t="s">
        <v>1147</v>
      </c>
      <c r="C40" t="s">
        <v>1753</v>
      </c>
      <c r="D40" t="s">
        <v>1083</v>
      </c>
      <c r="E40" t="s">
        <v>1068</v>
      </c>
      <c r="F40" t="s">
        <v>1727</v>
      </c>
      <c r="G40" t="s">
        <v>1113</v>
      </c>
      <c r="H40">
        <v>4.74</v>
      </c>
    </row>
    <row r="41" spans="1:8" x14ac:dyDescent="0.25">
      <c r="A41" t="s">
        <v>987</v>
      </c>
      <c r="B41" t="s">
        <v>1148</v>
      </c>
      <c r="C41" t="s">
        <v>1754</v>
      </c>
      <c r="D41" t="s">
        <v>1083</v>
      </c>
      <c r="E41" t="s">
        <v>1068</v>
      </c>
      <c r="F41" t="s">
        <v>1727</v>
      </c>
      <c r="G41" t="s">
        <v>1110</v>
      </c>
      <c r="H41">
        <v>71.099999999999994</v>
      </c>
    </row>
    <row r="42" spans="1:8" x14ac:dyDescent="0.25">
      <c r="A42" t="s">
        <v>987</v>
      </c>
      <c r="B42" t="s">
        <v>1149</v>
      </c>
      <c r="C42" t="s">
        <v>1755</v>
      </c>
      <c r="D42" t="s">
        <v>1083</v>
      </c>
      <c r="E42" t="s">
        <v>1068</v>
      </c>
      <c r="F42" t="s">
        <v>1727</v>
      </c>
      <c r="G42" t="s">
        <v>1120</v>
      </c>
      <c r="H42">
        <v>331.8</v>
      </c>
    </row>
    <row r="43" spans="1:8" x14ac:dyDescent="0.25">
      <c r="A43" t="s">
        <v>987</v>
      </c>
      <c r="B43" t="s">
        <v>1150</v>
      </c>
      <c r="C43" t="s">
        <v>1756</v>
      </c>
      <c r="D43" t="s">
        <v>1083</v>
      </c>
      <c r="E43" t="s">
        <v>1068</v>
      </c>
      <c r="F43" t="s">
        <v>1727</v>
      </c>
      <c r="G43" t="s">
        <v>1113</v>
      </c>
      <c r="H43">
        <v>9.2799999999999994</v>
      </c>
    </row>
    <row r="44" spans="1:8" x14ac:dyDescent="0.25">
      <c r="A44" t="s">
        <v>987</v>
      </c>
      <c r="B44" t="s">
        <v>1151</v>
      </c>
      <c r="C44" t="s">
        <v>1757</v>
      </c>
      <c r="D44" t="s">
        <v>1083</v>
      </c>
      <c r="E44" t="s">
        <v>1068</v>
      </c>
      <c r="F44" t="s">
        <v>1727</v>
      </c>
      <c r="G44" t="s">
        <v>1110</v>
      </c>
      <c r="H44">
        <v>51.33</v>
      </c>
    </row>
    <row r="45" spans="1:8" x14ac:dyDescent="0.25">
      <c r="A45" t="s">
        <v>987</v>
      </c>
      <c r="B45" t="s">
        <v>1153</v>
      </c>
      <c r="C45" t="s">
        <v>1758</v>
      </c>
      <c r="D45" t="s">
        <v>1083</v>
      </c>
      <c r="E45" t="s">
        <v>1068</v>
      </c>
      <c r="F45" t="s">
        <v>1727</v>
      </c>
      <c r="G45" t="s">
        <v>1120</v>
      </c>
      <c r="H45">
        <v>1113.5999999999999</v>
      </c>
    </row>
    <row r="46" spans="1:8" x14ac:dyDescent="0.25">
      <c r="A46" t="s">
        <v>987</v>
      </c>
      <c r="B46" t="s">
        <v>1154</v>
      </c>
      <c r="C46" t="s">
        <v>1758</v>
      </c>
      <c r="D46" t="s">
        <v>1083</v>
      </c>
      <c r="E46" t="s">
        <v>1068</v>
      </c>
      <c r="F46" t="s">
        <v>1727</v>
      </c>
      <c r="G46" t="s">
        <v>1120</v>
      </c>
      <c r="H46">
        <v>1113.5999999999999</v>
      </c>
    </row>
    <row r="47" spans="1:8" x14ac:dyDescent="0.25">
      <c r="A47" t="s">
        <v>987</v>
      </c>
      <c r="B47" t="s">
        <v>1155</v>
      </c>
      <c r="C47" t="s">
        <v>1156</v>
      </c>
      <c r="D47" t="s">
        <v>1083</v>
      </c>
      <c r="E47" t="s">
        <v>1068</v>
      </c>
      <c r="F47" t="s">
        <v>1727</v>
      </c>
      <c r="G47" t="s">
        <v>1110</v>
      </c>
      <c r="H47">
        <v>1</v>
      </c>
    </row>
    <row r="48" spans="1:8" x14ac:dyDescent="0.25">
      <c r="A48" t="s">
        <v>987</v>
      </c>
      <c r="B48" t="s">
        <v>1157</v>
      </c>
      <c r="C48" t="s">
        <v>1158</v>
      </c>
      <c r="D48" t="s">
        <v>1083</v>
      </c>
      <c r="E48" t="s">
        <v>1068</v>
      </c>
      <c r="F48" t="s">
        <v>1727</v>
      </c>
      <c r="G48" t="s">
        <v>1110</v>
      </c>
      <c r="H48">
        <v>1</v>
      </c>
    </row>
    <row r="49" spans="1:8" x14ac:dyDescent="0.25">
      <c r="A49" t="s">
        <v>987</v>
      </c>
      <c r="B49" t="s">
        <v>1159</v>
      </c>
      <c r="C49" t="s">
        <v>1160</v>
      </c>
      <c r="D49" t="s">
        <v>1083</v>
      </c>
      <c r="E49" t="s">
        <v>1068</v>
      </c>
      <c r="F49" t="s">
        <v>1727</v>
      </c>
      <c r="G49" t="s">
        <v>1110</v>
      </c>
      <c r="H49">
        <v>1</v>
      </c>
    </row>
    <row r="50" spans="1:8" x14ac:dyDescent="0.25">
      <c r="A50" t="s">
        <v>987</v>
      </c>
      <c r="B50" t="s">
        <v>1161</v>
      </c>
      <c r="C50" t="s">
        <v>1162</v>
      </c>
      <c r="D50" t="s">
        <v>1083</v>
      </c>
      <c r="E50" t="s">
        <v>1068</v>
      </c>
      <c r="F50" t="s">
        <v>1727</v>
      </c>
      <c r="G50" t="s">
        <v>1084</v>
      </c>
      <c r="H50">
        <v>1</v>
      </c>
    </row>
    <row r="51" spans="1:8" x14ac:dyDescent="0.25">
      <c r="A51" t="s">
        <v>987</v>
      </c>
      <c r="B51" t="s">
        <v>1163</v>
      </c>
      <c r="C51" t="s">
        <v>1164</v>
      </c>
      <c r="D51" t="s">
        <v>1083</v>
      </c>
      <c r="E51" t="s">
        <v>1068</v>
      </c>
      <c r="F51" t="s">
        <v>1727</v>
      </c>
      <c r="G51" t="s">
        <v>1084</v>
      </c>
      <c r="H51">
        <v>1</v>
      </c>
    </row>
    <row r="52" spans="1:8" x14ac:dyDescent="0.25">
      <c r="A52" t="s">
        <v>987</v>
      </c>
      <c r="B52" t="s">
        <v>1165</v>
      </c>
      <c r="C52" t="s">
        <v>1759</v>
      </c>
      <c r="D52" t="s">
        <v>1083</v>
      </c>
      <c r="E52" t="s">
        <v>1068</v>
      </c>
      <c r="F52" t="s">
        <v>1727</v>
      </c>
      <c r="G52" t="s">
        <v>1113</v>
      </c>
      <c r="H52">
        <v>1</v>
      </c>
    </row>
    <row r="53" spans="1:8" x14ac:dyDescent="0.25">
      <c r="A53" t="s">
        <v>987</v>
      </c>
      <c r="B53" t="s">
        <v>1166</v>
      </c>
      <c r="C53" t="s">
        <v>1760</v>
      </c>
      <c r="D53" t="s">
        <v>1083</v>
      </c>
      <c r="E53" t="s">
        <v>1068</v>
      </c>
      <c r="F53" t="s">
        <v>1727</v>
      </c>
      <c r="G53" t="s">
        <v>1110</v>
      </c>
      <c r="H53">
        <v>1</v>
      </c>
    </row>
    <row r="54" spans="1:8" x14ac:dyDescent="0.25">
      <c r="A54" t="s">
        <v>987</v>
      </c>
      <c r="B54" t="s">
        <v>1167</v>
      </c>
      <c r="C54" t="s">
        <v>1761</v>
      </c>
      <c r="D54" t="s">
        <v>1083</v>
      </c>
      <c r="E54" t="s">
        <v>1068</v>
      </c>
      <c r="F54" t="s">
        <v>1762</v>
      </c>
      <c r="G54" t="s">
        <v>1113</v>
      </c>
      <c r="H54">
        <v>21.9</v>
      </c>
    </row>
    <row r="55" spans="1:8" x14ac:dyDescent="0.25">
      <c r="A55" t="s">
        <v>987</v>
      </c>
      <c r="B55" t="s">
        <v>1168</v>
      </c>
      <c r="C55" t="s">
        <v>1763</v>
      </c>
      <c r="D55" t="s">
        <v>1083</v>
      </c>
      <c r="E55" t="s">
        <v>1068</v>
      </c>
      <c r="F55" t="s">
        <v>1762</v>
      </c>
      <c r="G55" t="s">
        <v>1110</v>
      </c>
      <c r="H55">
        <v>101.18</v>
      </c>
    </row>
    <row r="56" spans="1:8" x14ac:dyDescent="0.25">
      <c r="A56" t="s">
        <v>987</v>
      </c>
      <c r="B56" t="s">
        <v>1169</v>
      </c>
      <c r="C56" t="s">
        <v>1764</v>
      </c>
      <c r="D56" t="s">
        <v>1083</v>
      </c>
      <c r="E56" t="s">
        <v>1068</v>
      </c>
      <c r="F56" t="s">
        <v>1762</v>
      </c>
      <c r="G56" t="s">
        <v>1120</v>
      </c>
      <c r="H56">
        <v>2628</v>
      </c>
    </row>
    <row r="57" spans="1:8" x14ac:dyDescent="0.25">
      <c r="A57" t="s">
        <v>987</v>
      </c>
      <c r="B57" t="s">
        <v>1170</v>
      </c>
      <c r="C57" t="s">
        <v>1171</v>
      </c>
      <c r="D57" t="s">
        <v>1083</v>
      </c>
      <c r="E57" t="s">
        <v>1068</v>
      </c>
      <c r="F57" t="s">
        <v>1762</v>
      </c>
      <c r="G57" t="s">
        <v>1084</v>
      </c>
      <c r="H57">
        <v>1</v>
      </c>
    </row>
    <row r="58" spans="1:8" x14ac:dyDescent="0.25">
      <c r="A58" t="s">
        <v>987</v>
      </c>
      <c r="B58" t="s">
        <v>1172</v>
      </c>
      <c r="C58" t="s">
        <v>1173</v>
      </c>
      <c r="D58" t="s">
        <v>1174</v>
      </c>
      <c r="E58" t="s">
        <v>1068</v>
      </c>
      <c r="F58" t="s">
        <v>1729</v>
      </c>
      <c r="G58" t="s">
        <v>1110</v>
      </c>
      <c r="H58">
        <v>107.66</v>
      </c>
    </row>
    <row r="59" spans="1:8" x14ac:dyDescent="0.25">
      <c r="A59" t="s">
        <v>987</v>
      </c>
      <c r="B59" t="s">
        <v>1175</v>
      </c>
      <c r="C59" t="s">
        <v>1176</v>
      </c>
      <c r="D59" t="s">
        <v>1174</v>
      </c>
      <c r="E59" t="s">
        <v>1068</v>
      </c>
      <c r="F59" t="s">
        <v>1729</v>
      </c>
      <c r="G59" t="s">
        <v>1177</v>
      </c>
      <c r="H59">
        <v>182.88</v>
      </c>
    </row>
    <row r="60" spans="1:8" x14ac:dyDescent="0.25">
      <c r="A60" t="s">
        <v>987</v>
      </c>
      <c r="B60" t="s">
        <v>1172</v>
      </c>
      <c r="C60" t="s">
        <v>1173</v>
      </c>
      <c r="D60" t="s">
        <v>1174</v>
      </c>
      <c r="E60" t="s">
        <v>1068</v>
      </c>
      <c r="F60" t="s">
        <v>1730</v>
      </c>
      <c r="G60" t="s">
        <v>1110</v>
      </c>
      <c r="H60">
        <v>99.69</v>
      </c>
    </row>
    <row r="61" spans="1:8" x14ac:dyDescent="0.25">
      <c r="A61" t="s">
        <v>987</v>
      </c>
      <c r="B61" t="s">
        <v>1175</v>
      </c>
      <c r="C61" t="s">
        <v>1176</v>
      </c>
      <c r="D61" t="s">
        <v>1174</v>
      </c>
      <c r="E61" t="s">
        <v>1068</v>
      </c>
      <c r="F61" t="s">
        <v>1730</v>
      </c>
      <c r="G61" t="s">
        <v>1177</v>
      </c>
      <c r="H61">
        <v>159.12</v>
      </c>
    </row>
    <row r="62" spans="1:8" x14ac:dyDescent="0.25">
      <c r="A62" t="s">
        <v>987</v>
      </c>
      <c r="B62" t="s">
        <v>1172</v>
      </c>
      <c r="C62" t="s">
        <v>1173</v>
      </c>
      <c r="D62" t="s">
        <v>1174</v>
      </c>
      <c r="E62" t="s">
        <v>1068</v>
      </c>
      <c r="F62" t="s">
        <v>1762</v>
      </c>
      <c r="G62" t="s">
        <v>1110</v>
      </c>
      <c r="H62">
        <v>24.95</v>
      </c>
    </row>
    <row r="63" spans="1:8" x14ac:dyDescent="0.25">
      <c r="A63" t="s">
        <v>987</v>
      </c>
      <c r="B63" t="s">
        <v>1175</v>
      </c>
      <c r="C63" t="s">
        <v>1176</v>
      </c>
      <c r="D63" t="s">
        <v>1174</v>
      </c>
      <c r="E63" t="s">
        <v>1068</v>
      </c>
      <c r="F63" t="s">
        <v>1762</v>
      </c>
      <c r="G63" t="s">
        <v>1177</v>
      </c>
      <c r="H63">
        <v>56.14</v>
      </c>
    </row>
    <row r="64" spans="1:8" x14ac:dyDescent="0.25">
      <c r="A64" t="s">
        <v>987</v>
      </c>
      <c r="B64" t="s">
        <v>1178</v>
      </c>
      <c r="C64" t="s">
        <v>1179</v>
      </c>
      <c r="D64" t="s">
        <v>1174</v>
      </c>
      <c r="E64" t="s">
        <v>1068</v>
      </c>
      <c r="F64" t="s">
        <v>1762</v>
      </c>
      <c r="G64" t="s">
        <v>1110</v>
      </c>
      <c r="H64">
        <v>320</v>
      </c>
    </row>
    <row r="65" spans="1:8" x14ac:dyDescent="0.25">
      <c r="A65" t="s">
        <v>987</v>
      </c>
      <c r="B65" t="s">
        <v>1180</v>
      </c>
      <c r="C65" t="s">
        <v>1181</v>
      </c>
      <c r="D65" t="s">
        <v>1174</v>
      </c>
      <c r="E65" t="s">
        <v>1068</v>
      </c>
      <c r="F65" t="s">
        <v>1762</v>
      </c>
      <c r="G65" t="s">
        <v>1110</v>
      </c>
      <c r="H65">
        <v>320</v>
      </c>
    </row>
    <row r="66" spans="1:8" x14ac:dyDescent="0.25">
      <c r="A66" t="s">
        <v>987</v>
      </c>
      <c r="B66" t="s">
        <v>1182</v>
      </c>
      <c r="C66" t="s">
        <v>1176</v>
      </c>
      <c r="D66" t="s">
        <v>1174</v>
      </c>
      <c r="E66" t="s">
        <v>1068</v>
      </c>
      <c r="F66" t="s">
        <v>1762</v>
      </c>
      <c r="G66" t="s">
        <v>1177</v>
      </c>
      <c r="H66">
        <v>120</v>
      </c>
    </row>
    <row r="67" spans="1:8" x14ac:dyDescent="0.25">
      <c r="A67" t="s">
        <v>987</v>
      </c>
      <c r="B67" t="s">
        <v>1183</v>
      </c>
      <c r="C67" t="s">
        <v>1179</v>
      </c>
      <c r="D67" t="s">
        <v>1174</v>
      </c>
      <c r="E67" t="s">
        <v>1068</v>
      </c>
      <c r="F67" t="s">
        <v>1762</v>
      </c>
      <c r="G67" t="s">
        <v>1110</v>
      </c>
      <c r="H67">
        <v>56.75</v>
      </c>
    </row>
    <row r="68" spans="1:8" x14ac:dyDescent="0.25">
      <c r="A68" t="s">
        <v>987</v>
      </c>
      <c r="B68" t="s">
        <v>1184</v>
      </c>
      <c r="C68" t="s">
        <v>1185</v>
      </c>
      <c r="D68" t="s">
        <v>1174</v>
      </c>
      <c r="E68" t="s">
        <v>1068</v>
      </c>
      <c r="F68" t="s">
        <v>1762</v>
      </c>
      <c r="G68" t="s">
        <v>1110</v>
      </c>
      <c r="H68">
        <v>56.75</v>
      </c>
    </row>
    <row r="69" spans="1:8" x14ac:dyDescent="0.25">
      <c r="A69" t="s">
        <v>987</v>
      </c>
      <c r="B69" t="s">
        <v>1186</v>
      </c>
      <c r="C69" t="s">
        <v>1176</v>
      </c>
      <c r="D69" t="s">
        <v>1174</v>
      </c>
      <c r="E69" t="s">
        <v>1068</v>
      </c>
      <c r="F69" t="s">
        <v>1762</v>
      </c>
      <c r="G69" t="s">
        <v>1177</v>
      </c>
      <c r="H69">
        <v>36</v>
      </c>
    </row>
    <row r="70" spans="1:8" x14ac:dyDescent="0.25">
      <c r="A70" t="s">
        <v>987</v>
      </c>
      <c r="B70" t="s">
        <v>1172</v>
      </c>
      <c r="C70" t="s">
        <v>1173</v>
      </c>
      <c r="D70" t="s">
        <v>1174</v>
      </c>
      <c r="E70" t="s">
        <v>1068</v>
      </c>
      <c r="F70" t="s">
        <v>1765</v>
      </c>
      <c r="G70" t="s">
        <v>1110</v>
      </c>
      <c r="H70">
        <v>55.52</v>
      </c>
    </row>
    <row r="71" spans="1:8" x14ac:dyDescent="0.25">
      <c r="A71" t="s">
        <v>987</v>
      </c>
      <c r="B71" t="s">
        <v>1175</v>
      </c>
      <c r="C71" t="s">
        <v>1176</v>
      </c>
      <c r="D71" t="s">
        <v>1174</v>
      </c>
      <c r="E71" t="s">
        <v>1068</v>
      </c>
      <c r="F71" t="s">
        <v>1765</v>
      </c>
      <c r="G71" t="s">
        <v>1177</v>
      </c>
      <c r="H71">
        <v>89.96</v>
      </c>
    </row>
    <row r="72" spans="1:8" x14ac:dyDescent="0.25">
      <c r="A72" t="s">
        <v>987</v>
      </c>
      <c r="B72" t="s">
        <v>1183</v>
      </c>
      <c r="C72" t="s">
        <v>1179</v>
      </c>
      <c r="D72" t="s">
        <v>1174</v>
      </c>
      <c r="E72" t="s">
        <v>1068</v>
      </c>
      <c r="F72" t="s">
        <v>1766</v>
      </c>
      <c r="G72" t="s">
        <v>1110</v>
      </c>
      <c r="H72">
        <v>83</v>
      </c>
    </row>
    <row r="73" spans="1:8" x14ac:dyDescent="0.25">
      <c r="A73" t="s">
        <v>987</v>
      </c>
      <c r="B73" t="s">
        <v>1184</v>
      </c>
      <c r="C73" t="s">
        <v>1466</v>
      </c>
      <c r="D73" t="s">
        <v>1174</v>
      </c>
      <c r="E73" t="s">
        <v>1068</v>
      </c>
      <c r="F73" t="s">
        <v>1766</v>
      </c>
      <c r="G73" t="s">
        <v>1110</v>
      </c>
      <c r="H73">
        <v>83</v>
      </c>
    </row>
    <row r="74" spans="1:8" x14ac:dyDescent="0.25">
      <c r="A74" t="s">
        <v>987</v>
      </c>
      <c r="B74" t="s">
        <v>1186</v>
      </c>
      <c r="C74" t="s">
        <v>1176</v>
      </c>
      <c r="D74" t="s">
        <v>1174</v>
      </c>
      <c r="E74" t="s">
        <v>1068</v>
      </c>
      <c r="F74" t="s">
        <v>1766</v>
      </c>
      <c r="G74" t="s">
        <v>1177</v>
      </c>
      <c r="H74">
        <v>11.87</v>
      </c>
    </row>
    <row r="75" spans="1:8" x14ac:dyDescent="0.25">
      <c r="A75" t="s">
        <v>987</v>
      </c>
      <c r="B75" t="s">
        <v>1172</v>
      </c>
      <c r="C75" t="s">
        <v>1767</v>
      </c>
      <c r="D75" t="s">
        <v>1174</v>
      </c>
      <c r="E75" t="s">
        <v>1070</v>
      </c>
      <c r="F75" t="s">
        <v>1729</v>
      </c>
      <c r="G75" t="s">
        <v>1110</v>
      </c>
      <c r="H75">
        <v>61.54</v>
      </c>
    </row>
    <row r="76" spans="1:8" x14ac:dyDescent="0.25">
      <c r="A76" t="s">
        <v>987</v>
      </c>
      <c r="B76" t="s">
        <v>1175</v>
      </c>
      <c r="C76" t="s">
        <v>1176</v>
      </c>
      <c r="D76" t="s">
        <v>1174</v>
      </c>
      <c r="E76" t="s">
        <v>1070</v>
      </c>
      <c r="F76" t="s">
        <v>1729</v>
      </c>
      <c r="G76" t="s">
        <v>1177</v>
      </c>
      <c r="H76">
        <v>77.72</v>
      </c>
    </row>
    <row r="77" spans="1:8" x14ac:dyDescent="0.25">
      <c r="A77" t="s">
        <v>987</v>
      </c>
      <c r="B77" t="s">
        <v>1183</v>
      </c>
      <c r="C77" t="s">
        <v>1179</v>
      </c>
      <c r="D77" t="s">
        <v>1174</v>
      </c>
      <c r="E77" t="s">
        <v>1070</v>
      </c>
      <c r="F77" t="s">
        <v>1766</v>
      </c>
      <c r="G77" t="s">
        <v>1110</v>
      </c>
      <c r="H77">
        <v>231</v>
      </c>
    </row>
    <row r="78" spans="1:8" x14ac:dyDescent="0.25">
      <c r="A78" t="s">
        <v>987</v>
      </c>
      <c r="B78" t="s">
        <v>1184</v>
      </c>
      <c r="C78" t="s">
        <v>1768</v>
      </c>
      <c r="D78" t="s">
        <v>1174</v>
      </c>
      <c r="E78" t="s">
        <v>1070</v>
      </c>
      <c r="F78" t="s">
        <v>1766</v>
      </c>
      <c r="G78" t="s">
        <v>1110</v>
      </c>
      <c r="H78">
        <v>231</v>
      </c>
    </row>
    <row r="79" spans="1:8" x14ac:dyDescent="0.25">
      <c r="A79" t="s">
        <v>987</v>
      </c>
      <c r="B79" t="s">
        <v>1186</v>
      </c>
      <c r="C79" t="s">
        <v>1176</v>
      </c>
      <c r="D79" t="s">
        <v>1174</v>
      </c>
      <c r="E79" t="s">
        <v>1070</v>
      </c>
      <c r="F79" t="s">
        <v>1766</v>
      </c>
      <c r="G79" t="s">
        <v>1177</v>
      </c>
      <c r="H79">
        <v>101.1</v>
      </c>
    </row>
    <row r="80" spans="1:8" x14ac:dyDescent="0.25">
      <c r="A80" t="s">
        <v>987</v>
      </c>
      <c r="B80" t="s">
        <v>1187</v>
      </c>
      <c r="C80" t="s">
        <v>1188</v>
      </c>
      <c r="D80" t="s">
        <v>1189</v>
      </c>
      <c r="E80" t="s">
        <v>1068</v>
      </c>
      <c r="F80" t="s">
        <v>1727</v>
      </c>
      <c r="G80" t="s">
        <v>1110</v>
      </c>
      <c r="H80">
        <v>314.58999999999997</v>
      </c>
    </row>
    <row r="81" spans="1:8" x14ac:dyDescent="0.25">
      <c r="A81" t="s">
        <v>987</v>
      </c>
      <c r="B81" t="s">
        <v>1190</v>
      </c>
      <c r="C81" t="s">
        <v>1191</v>
      </c>
      <c r="D81" t="s">
        <v>1189</v>
      </c>
      <c r="E81" t="s">
        <v>1068</v>
      </c>
      <c r="F81" t="s">
        <v>1727</v>
      </c>
      <c r="G81" t="s">
        <v>1110</v>
      </c>
      <c r="H81">
        <v>559</v>
      </c>
    </row>
    <row r="82" spans="1:8" x14ac:dyDescent="0.25">
      <c r="A82" t="s">
        <v>987</v>
      </c>
      <c r="B82" t="s">
        <v>1192</v>
      </c>
      <c r="C82" t="s">
        <v>1193</v>
      </c>
      <c r="D82" t="s">
        <v>1189</v>
      </c>
      <c r="E82" t="s">
        <v>1068</v>
      </c>
      <c r="F82" t="s">
        <v>1727</v>
      </c>
      <c r="G82" t="s">
        <v>1177</v>
      </c>
      <c r="H82">
        <v>418.68</v>
      </c>
    </row>
    <row r="83" spans="1:8" x14ac:dyDescent="0.25">
      <c r="A83" t="s">
        <v>987</v>
      </c>
      <c r="B83" t="s">
        <v>1187</v>
      </c>
      <c r="C83" t="s">
        <v>1188</v>
      </c>
      <c r="D83" t="s">
        <v>1189</v>
      </c>
      <c r="E83" t="s">
        <v>1068</v>
      </c>
      <c r="F83" t="s">
        <v>1729</v>
      </c>
      <c r="G83" t="s">
        <v>1110</v>
      </c>
      <c r="H83">
        <v>351.33</v>
      </c>
    </row>
    <row r="84" spans="1:8" x14ac:dyDescent="0.25">
      <c r="A84" t="s">
        <v>987</v>
      </c>
      <c r="B84" t="s">
        <v>1190</v>
      </c>
      <c r="C84" t="s">
        <v>1191</v>
      </c>
      <c r="D84" t="s">
        <v>1189</v>
      </c>
      <c r="E84" t="s">
        <v>1068</v>
      </c>
      <c r="F84" t="s">
        <v>1729</v>
      </c>
      <c r="G84" t="s">
        <v>1110</v>
      </c>
      <c r="H84">
        <v>594</v>
      </c>
    </row>
    <row r="85" spans="1:8" x14ac:dyDescent="0.25">
      <c r="A85" t="s">
        <v>987</v>
      </c>
      <c r="B85" t="s">
        <v>1192</v>
      </c>
      <c r="C85" t="s">
        <v>1193</v>
      </c>
      <c r="D85" t="s">
        <v>1189</v>
      </c>
      <c r="E85" t="s">
        <v>1068</v>
      </c>
      <c r="F85" t="s">
        <v>1729</v>
      </c>
      <c r="G85" t="s">
        <v>1177</v>
      </c>
      <c r="H85">
        <v>494.58</v>
      </c>
    </row>
    <row r="86" spans="1:8" x14ac:dyDescent="0.25">
      <c r="A86" t="s">
        <v>987</v>
      </c>
      <c r="B86" t="s">
        <v>1187</v>
      </c>
      <c r="C86" t="s">
        <v>1188</v>
      </c>
      <c r="D86" t="s">
        <v>1189</v>
      </c>
      <c r="E86" t="s">
        <v>1068</v>
      </c>
      <c r="F86" t="s">
        <v>1730</v>
      </c>
      <c r="G86" t="s">
        <v>1110</v>
      </c>
      <c r="H86">
        <v>278.2</v>
      </c>
    </row>
    <row r="87" spans="1:8" x14ac:dyDescent="0.25">
      <c r="A87" t="s">
        <v>987</v>
      </c>
      <c r="B87" t="s">
        <v>1190</v>
      </c>
      <c r="C87" t="s">
        <v>1191</v>
      </c>
      <c r="D87" t="s">
        <v>1189</v>
      </c>
      <c r="E87" t="s">
        <v>1068</v>
      </c>
      <c r="F87" t="s">
        <v>1730</v>
      </c>
      <c r="G87" t="s">
        <v>1110</v>
      </c>
      <c r="H87">
        <v>557</v>
      </c>
    </row>
    <row r="88" spans="1:8" x14ac:dyDescent="0.25">
      <c r="A88" t="s">
        <v>987</v>
      </c>
      <c r="B88" t="s">
        <v>1192</v>
      </c>
      <c r="C88" t="s">
        <v>1193</v>
      </c>
      <c r="D88" t="s">
        <v>1189</v>
      </c>
      <c r="E88" t="s">
        <v>1068</v>
      </c>
      <c r="F88" t="s">
        <v>1730</v>
      </c>
      <c r="G88" t="s">
        <v>1177</v>
      </c>
      <c r="H88">
        <v>499.38</v>
      </c>
    </row>
    <row r="89" spans="1:8" x14ac:dyDescent="0.25">
      <c r="A89" t="s">
        <v>987</v>
      </c>
      <c r="B89" t="s">
        <v>1187</v>
      </c>
      <c r="C89" t="s">
        <v>1188</v>
      </c>
      <c r="D89" t="s">
        <v>1189</v>
      </c>
      <c r="E89" t="s">
        <v>1068</v>
      </c>
      <c r="F89" t="s">
        <v>1762</v>
      </c>
      <c r="G89" t="s">
        <v>1110</v>
      </c>
      <c r="H89">
        <v>162.06</v>
      </c>
    </row>
    <row r="90" spans="1:8" x14ac:dyDescent="0.25">
      <c r="A90" t="s">
        <v>987</v>
      </c>
      <c r="B90" t="s">
        <v>1190</v>
      </c>
      <c r="C90" t="s">
        <v>1191</v>
      </c>
      <c r="D90" t="s">
        <v>1189</v>
      </c>
      <c r="E90" t="s">
        <v>1068</v>
      </c>
      <c r="F90" t="s">
        <v>1762</v>
      </c>
      <c r="G90" t="s">
        <v>1110</v>
      </c>
      <c r="H90">
        <v>557</v>
      </c>
    </row>
    <row r="91" spans="1:8" x14ac:dyDescent="0.25">
      <c r="A91" t="s">
        <v>987</v>
      </c>
      <c r="B91" t="s">
        <v>1192</v>
      </c>
      <c r="C91" t="s">
        <v>1193</v>
      </c>
      <c r="D91" t="s">
        <v>1189</v>
      </c>
      <c r="E91" t="s">
        <v>1068</v>
      </c>
      <c r="F91" t="s">
        <v>1762</v>
      </c>
      <c r="G91" t="s">
        <v>1177</v>
      </c>
      <c r="H91">
        <v>300.82</v>
      </c>
    </row>
    <row r="92" spans="1:8" x14ac:dyDescent="0.25">
      <c r="A92" t="s">
        <v>987</v>
      </c>
      <c r="B92" t="s">
        <v>1187</v>
      </c>
      <c r="C92" t="s">
        <v>1188</v>
      </c>
      <c r="D92" t="s">
        <v>1189</v>
      </c>
      <c r="E92" t="s">
        <v>1068</v>
      </c>
      <c r="F92" t="s">
        <v>1765</v>
      </c>
      <c r="G92" t="s">
        <v>1110</v>
      </c>
      <c r="H92">
        <v>99.33</v>
      </c>
    </row>
    <row r="93" spans="1:8" x14ac:dyDescent="0.25">
      <c r="A93" t="s">
        <v>987</v>
      </c>
      <c r="B93" t="s">
        <v>1190</v>
      </c>
      <c r="C93" t="s">
        <v>1191</v>
      </c>
      <c r="D93" t="s">
        <v>1189</v>
      </c>
      <c r="E93" t="s">
        <v>1068</v>
      </c>
      <c r="F93" t="s">
        <v>1765</v>
      </c>
      <c r="G93" t="s">
        <v>1110</v>
      </c>
      <c r="H93">
        <v>182</v>
      </c>
    </row>
    <row r="94" spans="1:8" x14ac:dyDescent="0.25">
      <c r="A94" t="s">
        <v>987</v>
      </c>
      <c r="B94" t="s">
        <v>1192</v>
      </c>
      <c r="C94" t="s">
        <v>1193</v>
      </c>
      <c r="D94" t="s">
        <v>1189</v>
      </c>
      <c r="E94" t="s">
        <v>1068</v>
      </c>
      <c r="F94" t="s">
        <v>1765</v>
      </c>
      <c r="G94" t="s">
        <v>1177</v>
      </c>
      <c r="H94">
        <v>172.84</v>
      </c>
    </row>
    <row r="95" spans="1:8" x14ac:dyDescent="0.25">
      <c r="A95" t="s">
        <v>987</v>
      </c>
      <c r="B95" t="s">
        <v>1187</v>
      </c>
      <c r="C95" t="s">
        <v>1188</v>
      </c>
      <c r="D95" t="s">
        <v>1189</v>
      </c>
      <c r="E95" t="s">
        <v>1070</v>
      </c>
      <c r="F95" t="s">
        <v>1727</v>
      </c>
      <c r="G95" t="s">
        <v>1110</v>
      </c>
      <c r="H95">
        <v>144.22999999999999</v>
      </c>
    </row>
    <row r="96" spans="1:8" x14ac:dyDescent="0.25">
      <c r="A96" t="s">
        <v>987</v>
      </c>
      <c r="B96" t="s">
        <v>1194</v>
      </c>
      <c r="C96" t="s">
        <v>1195</v>
      </c>
      <c r="D96" t="s">
        <v>1189</v>
      </c>
      <c r="E96" t="s">
        <v>1070</v>
      </c>
      <c r="F96" t="s">
        <v>1727</v>
      </c>
      <c r="G96" t="s">
        <v>1177</v>
      </c>
      <c r="H96">
        <v>5.19</v>
      </c>
    </row>
    <row r="97" spans="1:8" x14ac:dyDescent="0.25">
      <c r="A97" t="s">
        <v>987</v>
      </c>
      <c r="B97" t="s">
        <v>1190</v>
      </c>
      <c r="C97" t="s">
        <v>1191</v>
      </c>
      <c r="D97" t="s">
        <v>1189</v>
      </c>
      <c r="E97" t="s">
        <v>1070</v>
      </c>
      <c r="F97" t="s">
        <v>1727</v>
      </c>
      <c r="G97" t="s">
        <v>1110</v>
      </c>
      <c r="H97">
        <v>210</v>
      </c>
    </row>
    <row r="98" spans="1:8" x14ac:dyDescent="0.25">
      <c r="A98" t="s">
        <v>987</v>
      </c>
      <c r="B98" t="s">
        <v>1192</v>
      </c>
      <c r="C98" t="s">
        <v>1193</v>
      </c>
      <c r="D98" t="s">
        <v>1189</v>
      </c>
      <c r="E98" t="s">
        <v>1070</v>
      </c>
      <c r="F98" t="s">
        <v>1727</v>
      </c>
      <c r="G98" t="s">
        <v>1177</v>
      </c>
      <c r="H98">
        <v>119.94</v>
      </c>
    </row>
    <row r="99" spans="1:8" x14ac:dyDescent="0.25">
      <c r="A99" t="s">
        <v>987</v>
      </c>
      <c r="B99" t="s">
        <v>1187</v>
      </c>
      <c r="C99" t="s">
        <v>1188</v>
      </c>
      <c r="D99" t="s">
        <v>1189</v>
      </c>
      <c r="E99" t="s">
        <v>1070</v>
      </c>
      <c r="F99" t="s">
        <v>1729</v>
      </c>
      <c r="G99" t="s">
        <v>1110</v>
      </c>
      <c r="H99">
        <v>60.7</v>
      </c>
    </row>
    <row r="100" spans="1:8" x14ac:dyDescent="0.25">
      <c r="A100" t="s">
        <v>987</v>
      </c>
      <c r="B100" t="s">
        <v>1190</v>
      </c>
      <c r="C100" t="s">
        <v>1191</v>
      </c>
      <c r="D100" t="s">
        <v>1189</v>
      </c>
      <c r="E100" t="s">
        <v>1070</v>
      </c>
      <c r="F100" t="s">
        <v>1729</v>
      </c>
      <c r="G100" t="s">
        <v>1110</v>
      </c>
      <c r="H100">
        <v>210</v>
      </c>
    </row>
    <row r="101" spans="1:8" x14ac:dyDescent="0.25">
      <c r="A101" t="s">
        <v>987</v>
      </c>
      <c r="B101" t="s">
        <v>1192</v>
      </c>
      <c r="C101" t="s">
        <v>1193</v>
      </c>
      <c r="D101" t="s">
        <v>1189</v>
      </c>
      <c r="E101" t="s">
        <v>1070</v>
      </c>
      <c r="F101" t="s">
        <v>1729</v>
      </c>
      <c r="G101" t="s">
        <v>1177</v>
      </c>
      <c r="H101">
        <v>192.38</v>
      </c>
    </row>
    <row r="102" spans="1:8" x14ac:dyDescent="0.25">
      <c r="A102" t="s">
        <v>987</v>
      </c>
      <c r="B102" t="s">
        <v>1196</v>
      </c>
      <c r="C102" t="s">
        <v>1769</v>
      </c>
      <c r="D102" t="s">
        <v>1198</v>
      </c>
      <c r="E102" t="s">
        <v>1068</v>
      </c>
      <c r="F102" t="s">
        <v>1727</v>
      </c>
      <c r="G102" t="s">
        <v>1110</v>
      </c>
      <c r="H102">
        <v>46.38</v>
      </c>
    </row>
    <row r="103" spans="1:8" x14ac:dyDescent="0.25">
      <c r="A103" t="s">
        <v>987</v>
      </c>
      <c r="B103" t="s">
        <v>1196</v>
      </c>
      <c r="C103" t="s">
        <v>1770</v>
      </c>
      <c r="D103" t="s">
        <v>1198</v>
      </c>
      <c r="E103" t="s">
        <v>1068</v>
      </c>
      <c r="F103" t="s">
        <v>1727</v>
      </c>
      <c r="G103" t="s">
        <v>1110</v>
      </c>
      <c r="H103">
        <v>5.32</v>
      </c>
    </row>
    <row r="104" spans="1:8" x14ac:dyDescent="0.25">
      <c r="A104" t="s">
        <v>987</v>
      </c>
      <c r="B104" t="s">
        <v>1196</v>
      </c>
      <c r="C104" t="s">
        <v>1771</v>
      </c>
      <c r="D104" t="s">
        <v>1198</v>
      </c>
      <c r="E104" t="s">
        <v>1068</v>
      </c>
      <c r="F104" t="s">
        <v>1727</v>
      </c>
      <c r="G104" t="s">
        <v>1110</v>
      </c>
      <c r="H104">
        <v>12</v>
      </c>
    </row>
    <row r="105" spans="1:8" x14ac:dyDescent="0.25">
      <c r="A105" t="s">
        <v>987</v>
      </c>
      <c r="B105" t="s">
        <v>1196</v>
      </c>
      <c r="C105" t="s">
        <v>1772</v>
      </c>
      <c r="D105" t="s">
        <v>1198</v>
      </c>
      <c r="E105" t="s">
        <v>1068</v>
      </c>
      <c r="F105" t="s">
        <v>1727</v>
      </c>
      <c r="G105" t="s">
        <v>1110</v>
      </c>
      <c r="H105">
        <v>3.36</v>
      </c>
    </row>
    <row r="106" spans="1:8" x14ac:dyDescent="0.25">
      <c r="A106" t="s">
        <v>987</v>
      </c>
      <c r="B106" t="s">
        <v>1196</v>
      </c>
      <c r="C106" t="s">
        <v>1773</v>
      </c>
      <c r="D106" t="s">
        <v>1198</v>
      </c>
      <c r="E106" t="s">
        <v>1068</v>
      </c>
      <c r="F106" t="s">
        <v>1727</v>
      </c>
      <c r="G106" t="s">
        <v>1110</v>
      </c>
      <c r="H106">
        <v>1.92</v>
      </c>
    </row>
    <row r="107" spans="1:8" x14ac:dyDescent="0.25">
      <c r="A107" t="s">
        <v>987</v>
      </c>
      <c r="B107" t="s">
        <v>1196</v>
      </c>
      <c r="C107" t="s">
        <v>1774</v>
      </c>
      <c r="D107" t="s">
        <v>1198</v>
      </c>
      <c r="E107" t="s">
        <v>1068</v>
      </c>
      <c r="F107" t="s">
        <v>1727</v>
      </c>
      <c r="G107" t="s">
        <v>1110</v>
      </c>
      <c r="H107">
        <v>1.2</v>
      </c>
    </row>
    <row r="108" spans="1:8" x14ac:dyDescent="0.25">
      <c r="A108" t="s">
        <v>987</v>
      </c>
      <c r="B108" t="s">
        <v>1196</v>
      </c>
      <c r="C108" t="s">
        <v>1775</v>
      </c>
      <c r="D108" t="s">
        <v>1198</v>
      </c>
      <c r="E108" t="s">
        <v>1068</v>
      </c>
      <c r="F108" t="s">
        <v>1727</v>
      </c>
      <c r="G108" t="s">
        <v>1110</v>
      </c>
      <c r="H108">
        <v>1.44</v>
      </c>
    </row>
    <row r="109" spans="1:8" x14ac:dyDescent="0.25">
      <c r="A109" t="s">
        <v>987</v>
      </c>
      <c r="B109" t="s">
        <v>1196</v>
      </c>
      <c r="C109" t="s">
        <v>1776</v>
      </c>
      <c r="D109" t="s">
        <v>1198</v>
      </c>
      <c r="E109" t="s">
        <v>1068</v>
      </c>
      <c r="F109" t="s">
        <v>1727</v>
      </c>
      <c r="G109" t="s">
        <v>1110</v>
      </c>
      <c r="H109">
        <v>5.39</v>
      </c>
    </row>
    <row r="110" spans="1:8" x14ac:dyDescent="0.25">
      <c r="A110" t="s">
        <v>987</v>
      </c>
      <c r="B110" t="s">
        <v>1196</v>
      </c>
      <c r="C110" t="s">
        <v>1777</v>
      </c>
      <c r="D110" t="s">
        <v>1198</v>
      </c>
      <c r="E110" t="s">
        <v>1068</v>
      </c>
      <c r="F110" t="s">
        <v>1727</v>
      </c>
      <c r="G110" t="s">
        <v>1110</v>
      </c>
      <c r="H110">
        <v>9.9</v>
      </c>
    </row>
    <row r="111" spans="1:8" x14ac:dyDescent="0.25">
      <c r="A111" t="s">
        <v>987</v>
      </c>
      <c r="B111" t="s">
        <v>1196</v>
      </c>
      <c r="C111" t="s">
        <v>1778</v>
      </c>
      <c r="D111" t="s">
        <v>1198</v>
      </c>
      <c r="E111" t="s">
        <v>1068</v>
      </c>
      <c r="F111" t="s">
        <v>1727</v>
      </c>
      <c r="G111" t="s">
        <v>1110</v>
      </c>
      <c r="H111">
        <v>5.28</v>
      </c>
    </row>
    <row r="112" spans="1:8" x14ac:dyDescent="0.25">
      <c r="A112" t="s">
        <v>987</v>
      </c>
      <c r="B112" t="s">
        <v>1196</v>
      </c>
      <c r="C112" t="s">
        <v>1779</v>
      </c>
      <c r="D112" t="s">
        <v>1198</v>
      </c>
      <c r="E112" t="s">
        <v>1068</v>
      </c>
      <c r="F112" t="s">
        <v>1727</v>
      </c>
      <c r="G112" t="s">
        <v>1110</v>
      </c>
      <c r="H112">
        <v>31.68</v>
      </c>
    </row>
    <row r="113" spans="1:8" x14ac:dyDescent="0.25">
      <c r="A113" t="s">
        <v>987</v>
      </c>
      <c r="B113" t="s">
        <v>1196</v>
      </c>
      <c r="C113" t="s">
        <v>1780</v>
      </c>
      <c r="D113" t="s">
        <v>1198</v>
      </c>
      <c r="E113" t="s">
        <v>1068</v>
      </c>
      <c r="F113" t="s">
        <v>1727</v>
      </c>
      <c r="G113" t="s">
        <v>1110</v>
      </c>
      <c r="H113">
        <v>19.36</v>
      </c>
    </row>
    <row r="114" spans="1:8" x14ac:dyDescent="0.25">
      <c r="A114" t="s">
        <v>987</v>
      </c>
      <c r="B114" t="s">
        <v>1196</v>
      </c>
      <c r="C114" t="s">
        <v>1781</v>
      </c>
      <c r="D114" t="s">
        <v>1198</v>
      </c>
      <c r="E114" t="s">
        <v>1068</v>
      </c>
      <c r="F114" t="s">
        <v>1729</v>
      </c>
      <c r="G114" t="s">
        <v>1110</v>
      </c>
      <c r="H114">
        <v>1.44</v>
      </c>
    </row>
    <row r="115" spans="1:8" x14ac:dyDescent="0.25">
      <c r="A115" t="s">
        <v>987</v>
      </c>
      <c r="B115" t="s">
        <v>1196</v>
      </c>
      <c r="C115" t="s">
        <v>1782</v>
      </c>
      <c r="D115" t="s">
        <v>1198</v>
      </c>
      <c r="E115" t="s">
        <v>1068</v>
      </c>
      <c r="F115" t="s">
        <v>1729</v>
      </c>
      <c r="G115" t="s">
        <v>1110</v>
      </c>
      <c r="H115">
        <v>8.94</v>
      </c>
    </row>
    <row r="116" spans="1:8" x14ac:dyDescent="0.25">
      <c r="A116" t="s">
        <v>987</v>
      </c>
      <c r="B116" t="s">
        <v>1196</v>
      </c>
      <c r="C116" t="s">
        <v>1783</v>
      </c>
      <c r="D116" t="s">
        <v>1198</v>
      </c>
      <c r="E116" t="s">
        <v>1068</v>
      </c>
      <c r="F116" t="s">
        <v>1729</v>
      </c>
      <c r="G116" t="s">
        <v>1110</v>
      </c>
      <c r="H116">
        <v>7.92</v>
      </c>
    </row>
    <row r="117" spans="1:8" x14ac:dyDescent="0.25">
      <c r="A117" t="s">
        <v>987</v>
      </c>
      <c r="B117" t="s">
        <v>1196</v>
      </c>
      <c r="C117" t="s">
        <v>1773</v>
      </c>
      <c r="D117" t="s">
        <v>1198</v>
      </c>
      <c r="E117" t="s">
        <v>1068</v>
      </c>
      <c r="F117" t="s">
        <v>1729</v>
      </c>
      <c r="G117" t="s">
        <v>1110</v>
      </c>
      <c r="H117">
        <v>17.28</v>
      </c>
    </row>
    <row r="118" spans="1:8" x14ac:dyDescent="0.25">
      <c r="A118" t="s">
        <v>987</v>
      </c>
      <c r="B118" t="s">
        <v>1196</v>
      </c>
      <c r="C118" t="s">
        <v>1774</v>
      </c>
      <c r="D118" t="s">
        <v>1198</v>
      </c>
      <c r="E118" t="s">
        <v>1068</v>
      </c>
      <c r="F118" t="s">
        <v>1729</v>
      </c>
      <c r="G118" t="s">
        <v>1110</v>
      </c>
      <c r="H118">
        <v>1.2</v>
      </c>
    </row>
    <row r="119" spans="1:8" x14ac:dyDescent="0.25">
      <c r="A119" t="s">
        <v>987</v>
      </c>
      <c r="B119" t="s">
        <v>1196</v>
      </c>
      <c r="C119" t="s">
        <v>1775</v>
      </c>
      <c r="D119" t="s">
        <v>1198</v>
      </c>
      <c r="E119" t="s">
        <v>1068</v>
      </c>
      <c r="F119" t="s">
        <v>1729</v>
      </c>
      <c r="G119" t="s">
        <v>1110</v>
      </c>
      <c r="H119">
        <v>2.52</v>
      </c>
    </row>
    <row r="120" spans="1:8" x14ac:dyDescent="0.25">
      <c r="A120" t="s">
        <v>987</v>
      </c>
      <c r="B120" t="s">
        <v>1199</v>
      </c>
      <c r="C120" t="s">
        <v>1200</v>
      </c>
      <c r="D120" t="s">
        <v>1198</v>
      </c>
      <c r="E120" t="s">
        <v>1068</v>
      </c>
      <c r="F120" t="s">
        <v>1729</v>
      </c>
      <c r="G120" t="s">
        <v>1110</v>
      </c>
      <c r="H120">
        <v>32.4</v>
      </c>
    </row>
    <row r="121" spans="1:8" x14ac:dyDescent="0.25">
      <c r="A121" t="s">
        <v>987</v>
      </c>
      <c r="B121" t="s">
        <v>1196</v>
      </c>
      <c r="C121" t="s">
        <v>1784</v>
      </c>
      <c r="D121" t="s">
        <v>1198</v>
      </c>
      <c r="E121" t="s">
        <v>1068</v>
      </c>
      <c r="F121" t="s">
        <v>1729</v>
      </c>
      <c r="G121" t="s">
        <v>1110</v>
      </c>
      <c r="H121">
        <v>33</v>
      </c>
    </row>
    <row r="122" spans="1:8" x14ac:dyDescent="0.25">
      <c r="A122" t="s">
        <v>987</v>
      </c>
      <c r="B122" t="s">
        <v>1196</v>
      </c>
      <c r="C122" t="s">
        <v>1779</v>
      </c>
      <c r="D122" t="s">
        <v>1198</v>
      </c>
      <c r="E122" t="s">
        <v>1068</v>
      </c>
      <c r="F122" t="s">
        <v>1729</v>
      </c>
      <c r="G122" t="s">
        <v>1110</v>
      </c>
      <c r="H122">
        <v>39.6</v>
      </c>
    </row>
    <row r="123" spans="1:8" x14ac:dyDescent="0.25">
      <c r="A123" t="s">
        <v>987</v>
      </c>
      <c r="B123" t="s">
        <v>1196</v>
      </c>
      <c r="C123" t="s">
        <v>1780</v>
      </c>
      <c r="D123" t="s">
        <v>1198</v>
      </c>
      <c r="E123" t="s">
        <v>1068</v>
      </c>
      <c r="F123" t="s">
        <v>1729</v>
      </c>
      <c r="G123" t="s">
        <v>1110</v>
      </c>
      <c r="H123">
        <v>28.16</v>
      </c>
    </row>
    <row r="124" spans="1:8" x14ac:dyDescent="0.25">
      <c r="A124" t="s">
        <v>987</v>
      </c>
      <c r="B124" t="s">
        <v>1196</v>
      </c>
      <c r="C124" t="s">
        <v>1785</v>
      </c>
      <c r="D124" t="s">
        <v>1198</v>
      </c>
      <c r="E124" t="s">
        <v>1068</v>
      </c>
      <c r="F124" t="s">
        <v>1730</v>
      </c>
      <c r="G124" t="s">
        <v>1110</v>
      </c>
      <c r="H124">
        <v>1.8</v>
      </c>
    </row>
    <row r="125" spans="1:8" x14ac:dyDescent="0.25">
      <c r="A125" t="s">
        <v>987</v>
      </c>
      <c r="B125" t="s">
        <v>1196</v>
      </c>
      <c r="C125" t="s">
        <v>1773</v>
      </c>
      <c r="D125" t="s">
        <v>1198</v>
      </c>
      <c r="E125" t="s">
        <v>1068</v>
      </c>
      <c r="F125" t="s">
        <v>1730</v>
      </c>
      <c r="G125" t="s">
        <v>1110</v>
      </c>
      <c r="H125">
        <v>17.28</v>
      </c>
    </row>
    <row r="126" spans="1:8" x14ac:dyDescent="0.25">
      <c r="A126" t="s">
        <v>987</v>
      </c>
      <c r="B126" t="s">
        <v>1196</v>
      </c>
      <c r="C126" t="s">
        <v>1774</v>
      </c>
      <c r="D126" t="s">
        <v>1198</v>
      </c>
      <c r="E126" t="s">
        <v>1068</v>
      </c>
      <c r="F126" t="s">
        <v>1730</v>
      </c>
      <c r="G126" t="s">
        <v>1110</v>
      </c>
      <c r="H126">
        <v>3.6</v>
      </c>
    </row>
    <row r="127" spans="1:8" x14ac:dyDescent="0.25">
      <c r="A127" t="s">
        <v>987</v>
      </c>
      <c r="B127" t="s">
        <v>1196</v>
      </c>
      <c r="C127" t="s">
        <v>1775</v>
      </c>
      <c r="D127" t="s">
        <v>1198</v>
      </c>
      <c r="E127" t="s">
        <v>1068</v>
      </c>
      <c r="F127" t="s">
        <v>1730</v>
      </c>
      <c r="G127" t="s">
        <v>1110</v>
      </c>
      <c r="H127">
        <v>2.52</v>
      </c>
    </row>
    <row r="128" spans="1:8" x14ac:dyDescent="0.25">
      <c r="A128" t="s">
        <v>987</v>
      </c>
      <c r="B128" t="s">
        <v>1199</v>
      </c>
      <c r="C128" t="s">
        <v>1200</v>
      </c>
      <c r="D128" t="s">
        <v>1198</v>
      </c>
      <c r="E128" t="s">
        <v>1068</v>
      </c>
      <c r="F128" t="s">
        <v>1730</v>
      </c>
      <c r="G128" t="s">
        <v>1110</v>
      </c>
      <c r="H128">
        <v>32.4</v>
      </c>
    </row>
    <row r="129" spans="1:8" x14ac:dyDescent="0.25">
      <c r="A129" t="s">
        <v>987</v>
      </c>
      <c r="B129" t="s">
        <v>1196</v>
      </c>
      <c r="C129" t="s">
        <v>1784</v>
      </c>
      <c r="D129" t="s">
        <v>1198</v>
      </c>
      <c r="E129" t="s">
        <v>1068</v>
      </c>
      <c r="F129" t="s">
        <v>1730</v>
      </c>
      <c r="G129" t="s">
        <v>1110</v>
      </c>
      <c r="H129">
        <v>27.5</v>
      </c>
    </row>
    <row r="130" spans="1:8" x14ac:dyDescent="0.25">
      <c r="A130" t="s">
        <v>987</v>
      </c>
      <c r="B130" t="s">
        <v>1196</v>
      </c>
      <c r="C130" t="s">
        <v>1777</v>
      </c>
      <c r="D130" t="s">
        <v>1198</v>
      </c>
      <c r="E130" t="s">
        <v>1068</v>
      </c>
      <c r="F130" t="s">
        <v>1730</v>
      </c>
      <c r="G130" t="s">
        <v>1110</v>
      </c>
      <c r="H130">
        <v>39.6</v>
      </c>
    </row>
    <row r="131" spans="1:8" x14ac:dyDescent="0.25">
      <c r="A131" t="s">
        <v>987</v>
      </c>
      <c r="B131" t="s">
        <v>1196</v>
      </c>
      <c r="C131" t="s">
        <v>1778</v>
      </c>
      <c r="D131" t="s">
        <v>1198</v>
      </c>
      <c r="E131" t="s">
        <v>1068</v>
      </c>
      <c r="F131" t="s">
        <v>1730</v>
      </c>
      <c r="G131" t="s">
        <v>1110</v>
      </c>
      <c r="H131">
        <v>10.56</v>
      </c>
    </row>
    <row r="132" spans="1:8" x14ac:dyDescent="0.25">
      <c r="A132" t="s">
        <v>987</v>
      </c>
      <c r="B132" t="s">
        <v>1196</v>
      </c>
      <c r="C132" t="s">
        <v>1779</v>
      </c>
      <c r="D132" t="s">
        <v>1198</v>
      </c>
      <c r="E132" t="s">
        <v>1068</v>
      </c>
      <c r="F132" t="s">
        <v>1730</v>
      </c>
      <c r="G132" t="s">
        <v>1110</v>
      </c>
      <c r="H132">
        <v>35.64</v>
      </c>
    </row>
    <row r="133" spans="1:8" x14ac:dyDescent="0.25">
      <c r="A133" t="s">
        <v>987</v>
      </c>
      <c r="B133" t="s">
        <v>1196</v>
      </c>
      <c r="C133" t="s">
        <v>1780</v>
      </c>
      <c r="D133" t="s">
        <v>1198</v>
      </c>
      <c r="E133" t="s">
        <v>1068</v>
      </c>
      <c r="F133" t="s">
        <v>1730</v>
      </c>
      <c r="G133" t="s">
        <v>1110</v>
      </c>
      <c r="H133">
        <v>12.32</v>
      </c>
    </row>
    <row r="134" spans="1:8" x14ac:dyDescent="0.25">
      <c r="A134" t="s">
        <v>987</v>
      </c>
      <c r="B134" t="s">
        <v>1196</v>
      </c>
      <c r="C134" t="s">
        <v>1786</v>
      </c>
      <c r="D134" t="s">
        <v>1198</v>
      </c>
      <c r="E134" t="s">
        <v>1068</v>
      </c>
      <c r="F134" t="s">
        <v>1762</v>
      </c>
      <c r="G134" t="s">
        <v>1110</v>
      </c>
      <c r="H134">
        <v>14.4</v>
      </c>
    </row>
    <row r="135" spans="1:8" x14ac:dyDescent="0.25">
      <c r="A135" t="s">
        <v>987</v>
      </c>
      <c r="B135" t="s">
        <v>1196</v>
      </c>
      <c r="C135" t="s">
        <v>1787</v>
      </c>
      <c r="D135" t="s">
        <v>1198</v>
      </c>
      <c r="E135" t="s">
        <v>1068</v>
      </c>
      <c r="F135" t="s">
        <v>1762</v>
      </c>
      <c r="G135" t="s">
        <v>1110</v>
      </c>
      <c r="H135">
        <v>13.2</v>
      </c>
    </row>
    <row r="136" spans="1:8" x14ac:dyDescent="0.25">
      <c r="A136" t="s">
        <v>987</v>
      </c>
      <c r="B136" t="s">
        <v>1196</v>
      </c>
      <c r="C136" t="s">
        <v>1785</v>
      </c>
      <c r="D136" t="s">
        <v>1198</v>
      </c>
      <c r="E136" t="s">
        <v>1068</v>
      </c>
      <c r="F136" t="s">
        <v>1762</v>
      </c>
      <c r="G136" t="s">
        <v>1110</v>
      </c>
      <c r="H136">
        <v>9</v>
      </c>
    </row>
    <row r="137" spans="1:8" x14ac:dyDescent="0.25">
      <c r="A137" t="s">
        <v>987</v>
      </c>
      <c r="B137" t="s">
        <v>1196</v>
      </c>
      <c r="C137" t="s">
        <v>1774</v>
      </c>
      <c r="D137" t="s">
        <v>1198</v>
      </c>
      <c r="E137" t="s">
        <v>1068</v>
      </c>
      <c r="F137" t="s">
        <v>1762</v>
      </c>
      <c r="G137" t="s">
        <v>1110</v>
      </c>
      <c r="H137">
        <v>1.2</v>
      </c>
    </row>
    <row r="138" spans="1:8" x14ac:dyDescent="0.25">
      <c r="A138" t="s">
        <v>987</v>
      </c>
      <c r="B138" t="s">
        <v>1196</v>
      </c>
      <c r="C138" t="s">
        <v>1775</v>
      </c>
      <c r="D138" t="s">
        <v>1198</v>
      </c>
      <c r="E138" t="s">
        <v>1068</v>
      </c>
      <c r="F138" t="s">
        <v>1762</v>
      </c>
      <c r="G138" t="s">
        <v>1110</v>
      </c>
      <c r="H138">
        <v>2.16</v>
      </c>
    </row>
    <row r="139" spans="1:8" x14ac:dyDescent="0.25">
      <c r="A139" t="s">
        <v>987</v>
      </c>
      <c r="B139" t="s">
        <v>1199</v>
      </c>
      <c r="C139" t="s">
        <v>1200</v>
      </c>
      <c r="D139" t="s">
        <v>1198</v>
      </c>
      <c r="E139" t="s">
        <v>1068</v>
      </c>
      <c r="F139" t="s">
        <v>1762</v>
      </c>
      <c r="G139" t="s">
        <v>1110</v>
      </c>
      <c r="H139">
        <v>45.22</v>
      </c>
    </row>
    <row r="140" spans="1:8" x14ac:dyDescent="0.25">
      <c r="A140" t="s">
        <v>987</v>
      </c>
      <c r="B140" t="s">
        <v>1196</v>
      </c>
      <c r="C140" t="s">
        <v>1777</v>
      </c>
      <c r="D140" t="s">
        <v>1198</v>
      </c>
      <c r="E140" t="s">
        <v>1068</v>
      </c>
      <c r="F140" t="s">
        <v>1762</v>
      </c>
      <c r="G140" t="s">
        <v>1110</v>
      </c>
      <c r="H140">
        <v>13.2</v>
      </c>
    </row>
    <row r="141" spans="1:8" x14ac:dyDescent="0.25">
      <c r="A141" t="s">
        <v>987</v>
      </c>
      <c r="B141" t="s">
        <v>1196</v>
      </c>
      <c r="C141" t="s">
        <v>1786</v>
      </c>
      <c r="D141" t="s">
        <v>1198</v>
      </c>
      <c r="E141" t="s">
        <v>1068</v>
      </c>
      <c r="F141" t="s">
        <v>1765</v>
      </c>
      <c r="G141" t="s">
        <v>1110</v>
      </c>
      <c r="H141">
        <v>9.6</v>
      </c>
    </row>
    <row r="142" spans="1:8" x14ac:dyDescent="0.25">
      <c r="A142" t="s">
        <v>987</v>
      </c>
      <c r="B142" t="s">
        <v>1196</v>
      </c>
      <c r="C142" t="s">
        <v>1787</v>
      </c>
      <c r="D142" t="s">
        <v>1198</v>
      </c>
      <c r="E142" t="s">
        <v>1068</v>
      </c>
      <c r="F142" t="s">
        <v>1765</v>
      </c>
      <c r="G142" t="s">
        <v>1110</v>
      </c>
      <c r="H142">
        <v>7.2</v>
      </c>
    </row>
    <row r="143" spans="1:8" x14ac:dyDescent="0.25">
      <c r="A143" t="s">
        <v>987</v>
      </c>
      <c r="B143" t="s">
        <v>1196</v>
      </c>
      <c r="C143" t="s">
        <v>1785</v>
      </c>
      <c r="D143" t="s">
        <v>1198</v>
      </c>
      <c r="E143" t="s">
        <v>1068</v>
      </c>
      <c r="F143" t="s">
        <v>1765</v>
      </c>
      <c r="G143" t="s">
        <v>1110</v>
      </c>
      <c r="H143">
        <v>5.4</v>
      </c>
    </row>
    <row r="144" spans="1:8" x14ac:dyDescent="0.25">
      <c r="A144" t="s">
        <v>987</v>
      </c>
      <c r="B144" t="s">
        <v>1196</v>
      </c>
      <c r="C144" t="s">
        <v>1774</v>
      </c>
      <c r="D144" t="s">
        <v>1198</v>
      </c>
      <c r="E144" t="s">
        <v>1068</v>
      </c>
      <c r="F144" t="s">
        <v>1765</v>
      </c>
      <c r="G144" t="s">
        <v>1110</v>
      </c>
      <c r="H144">
        <v>1.08</v>
      </c>
    </row>
    <row r="145" spans="1:8" x14ac:dyDescent="0.25">
      <c r="A145" t="s">
        <v>987</v>
      </c>
      <c r="B145" t="s">
        <v>1196</v>
      </c>
      <c r="C145" t="s">
        <v>1775</v>
      </c>
      <c r="D145" t="s">
        <v>1198</v>
      </c>
      <c r="E145" t="s">
        <v>1068</v>
      </c>
      <c r="F145" t="s">
        <v>1765</v>
      </c>
      <c r="G145" t="s">
        <v>1110</v>
      </c>
      <c r="H145">
        <v>0.72</v>
      </c>
    </row>
    <row r="146" spans="1:8" x14ac:dyDescent="0.25">
      <c r="A146" t="s">
        <v>987</v>
      </c>
      <c r="B146" t="s">
        <v>1199</v>
      </c>
      <c r="C146" t="s">
        <v>1200</v>
      </c>
      <c r="D146" t="s">
        <v>1198</v>
      </c>
      <c r="E146" t="s">
        <v>1068</v>
      </c>
      <c r="F146" t="s">
        <v>1765</v>
      </c>
      <c r="G146" t="s">
        <v>1110</v>
      </c>
      <c r="H146">
        <v>26.88</v>
      </c>
    </row>
    <row r="147" spans="1:8" x14ac:dyDescent="0.25">
      <c r="A147" t="s">
        <v>987</v>
      </c>
      <c r="B147" t="s">
        <v>1196</v>
      </c>
      <c r="C147" t="s">
        <v>1777</v>
      </c>
      <c r="D147" t="s">
        <v>1198</v>
      </c>
      <c r="E147" t="s">
        <v>1068</v>
      </c>
      <c r="F147" t="s">
        <v>1765</v>
      </c>
      <c r="G147" t="s">
        <v>1110</v>
      </c>
      <c r="H147">
        <v>13.2</v>
      </c>
    </row>
    <row r="148" spans="1:8" x14ac:dyDescent="0.25">
      <c r="A148" t="s">
        <v>987</v>
      </c>
      <c r="B148" t="s">
        <v>1196</v>
      </c>
      <c r="C148" t="s">
        <v>1781</v>
      </c>
      <c r="D148" t="s">
        <v>1198</v>
      </c>
      <c r="E148" t="s">
        <v>1070</v>
      </c>
      <c r="F148" t="s">
        <v>1727</v>
      </c>
      <c r="G148" t="s">
        <v>1110</v>
      </c>
      <c r="H148">
        <v>1.44</v>
      </c>
    </row>
    <row r="149" spans="1:8" x14ac:dyDescent="0.25">
      <c r="A149" t="s">
        <v>987</v>
      </c>
      <c r="B149" t="s">
        <v>1196</v>
      </c>
      <c r="C149" t="s">
        <v>1788</v>
      </c>
      <c r="D149" t="s">
        <v>1198</v>
      </c>
      <c r="E149" t="s">
        <v>1070</v>
      </c>
      <c r="F149" t="s">
        <v>1727</v>
      </c>
      <c r="G149" t="s">
        <v>1110</v>
      </c>
      <c r="H149">
        <v>0.96</v>
      </c>
    </row>
    <row r="150" spans="1:8" x14ac:dyDescent="0.25">
      <c r="A150" t="s">
        <v>987</v>
      </c>
      <c r="B150" t="s">
        <v>1196</v>
      </c>
      <c r="C150" t="s">
        <v>1775</v>
      </c>
      <c r="D150" t="s">
        <v>1198</v>
      </c>
      <c r="E150" t="s">
        <v>1070</v>
      </c>
      <c r="F150" t="s">
        <v>1727</v>
      </c>
      <c r="G150" t="s">
        <v>1110</v>
      </c>
      <c r="H150">
        <v>0.36</v>
      </c>
    </row>
    <row r="151" spans="1:8" x14ac:dyDescent="0.25">
      <c r="A151" t="s">
        <v>987</v>
      </c>
      <c r="B151" t="s">
        <v>1196</v>
      </c>
      <c r="C151" t="s">
        <v>1777</v>
      </c>
      <c r="D151" t="s">
        <v>1198</v>
      </c>
      <c r="E151" t="s">
        <v>1070</v>
      </c>
      <c r="F151" t="s">
        <v>1727</v>
      </c>
      <c r="G151" t="s">
        <v>1110</v>
      </c>
      <c r="H151">
        <v>6.6</v>
      </c>
    </row>
    <row r="152" spans="1:8" x14ac:dyDescent="0.25">
      <c r="A152" t="s">
        <v>987</v>
      </c>
      <c r="B152" t="s">
        <v>1196</v>
      </c>
      <c r="C152" t="s">
        <v>1779</v>
      </c>
      <c r="D152" t="s">
        <v>1198</v>
      </c>
      <c r="E152" t="s">
        <v>1070</v>
      </c>
      <c r="F152" t="s">
        <v>1727</v>
      </c>
      <c r="G152" t="s">
        <v>1110</v>
      </c>
      <c r="H152">
        <v>11.88</v>
      </c>
    </row>
    <row r="153" spans="1:8" x14ac:dyDescent="0.25">
      <c r="A153" t="s">
        <v>987</v>
      </c>
      <c r="B153" t="s">
        <v>1196</v>
      </c>
      <c r="C153" t="s">
        <v>1780</v>
      </c>
      <c r="D153" t="s">
        <v>1198</v>
      </c>
      <c r="E153" t="s">
        <v>1070</v>
      </c>
      <c r="F153" t="s">
        <v>1727</v>
      </c>
      <c r="G153" t="s">
        <v>1110</v>
      </c>
      <c r="H153">
        <v>5.28</v>
      </c>
    </row>
    <row r="154" spans="1:8" x14ac:dyDescent="0.25">
      <c r="A154" t="s">
        <v>987</v>
      </c>
      <c r="B154" t="s">
        <v>1196</v>
      </c>
      <c r="C154" t="s">
        <v>1789</v>
      </c>
      <c r="D154" t="s">
        <v>1198</v>
      </c>
      <c r="E154" t="s">
        <v>1070</v>
      </c>
      <c r="F154" t="s">
        <v>1729</v>
      </c>
      <c r="G154" t="s">
        <v>1110</v>
      </c>
      <c r="H154">
        <v>19.2</v>
      </c>
    </row>
    <row r="155" spans="1:8" x14ac:dyDescent="0.25">
      <c r="A155" t="s">
        <v>987</v>
      </c>
      <c r="B155" t="s">
        <v>1196</v>
      </c>
      <c r="C155" t="s">
        <v>1790</v>
      </c>
      <c r="D155" t="s">
        <v>1198</v>
      </c>
      <c r="E155" t="s">
        <v>1070</v>
      </c>
      <c r="F155" t="s">
        <v>1729</v>
      </c>
      <c r="G155" t="s">
        <v>1110</v>
      </c>
      <c r="H155">
        <v>8.89</v>
      </c>
    </row>
    <row r="156" spans="1:8" x14ac:dyDescent="0.25">
      <c r="A156" t="s">
        <v>987</v>
      </c>
      <c r="B156" t="s">
        <v>1196</v>
      </c>
      <c r="C156" t="s">
        <v>1791</v>
      </c>
      <c r="D156" t="s">
        <v>1198</v>
      </c>
      <c r="E156" t="s">
        <v>1070</v>
      </c>
      <c r="F156" t="s">
        <v>1729</v>
      </c>
      <c r="G156" t="s">
        <v>1110</v>
      </c>
      <c r="H156">
        <v>24.95</v>
      </c>
    </row>
    <row r="157" spans="1:8" x14ac:dyDescent="0.25">
      <c r="A157" t="s">
        <v>987</v>
      </c>
      <c r="B157" t="s">
        <v>1196</v>
      </c>
      <c r="C157" t="s">
        <v>1792</v>
      </c>
      <c r="D157" t="s">
        <v>1198</v>
      </c>
      <c r="E157" t="s">
        <v>1070</v>
      </c>
      <c r="F157" t="s">
        <v>1729</v>
      </c>
      <c r="G157" t="s">
        <v>1110</v>
      </c>
      <c r="H157">
        <v>12.47</v>
      </c>
    </row>
    <row r="158" spans="1:8" x14ac:dyDescent="0.25">
      <c r="A158" t="s">
        <v>987</v>
      </c>
      <c r="B158" t="s">
        <v>1196</v>
      </c>
      <c r="C158" t="s">
        <v>1775</v>
      </c>
      <c r="D158" t="s">
        <v>1198</v>
      </c>
      <c r="E158" t="s">
        <v>1070</v>
      </c>
      <c r="F158" t="s">
        <v>1729</v>
      </c>
      <c r="G158" t="s">
        <v>1110</v>
      </c>
      <c r="H158">
        <v>0.36</v>
      </c>
    </row>
    <row r="159" spans="1:8" x14ac:dyDescent="0.25">
      <c r="A159" t="s">
        <v>987</v>
      </c>
      <c r="B159" t="s">
        <v>1199</v>
      </c>
      <c r="C159" t="s">
        <v>1200</v>
      </c>
      <c r="D159" t="s">
        <v>1198</v>
      </c>
      <c r="E159" t="s">
        <v>1070</v>
      </c>
      <c r="F159" t="s">
        <v>1729</v>
      </c>
      <c r="G159" t="s">
        <v>1110</v>
      </c>
      <c r="H159">
        <v>28.18</v>
      </c>
    </row>
    <row r="160" spans="1:8" x14ac:dyDescent="0.25">
      <c r="A160" t="s">
        <v>987</v>
      </c>
      <c r="B160" t="s">
        <v>1196</v>
      </c>
      <c r="C160" t="s">
        <v>1777</v>
      </c>
      <c r="D160" t="s">
        <v>1198</v>
      </c>
      <c r="E160" t="s">
        <v>1070</v>
      </c>
      <c r="F160" t="s">
        <v>1729</v>
      </c>
      <c r="G160" t="s">
        <v>1110</v>
      </c>
      <c r="H160">
        <v>3.3</v>
      </c>
    </row>
    <row r="161" spans="1:8" x14ac:dyDescent="0.25">
      <c r="A161" t="s">
        <v>987</v>
      </c>
      <c r="B161" t="s">
        <v>1196</v>
      </c>
      <c r="C161" t="s">
        <v>1780</v>
      </c>
      <c r="D161" t="s">
        <v>1198</v>
      </c>
      <c r="E161" t="s">
        <v>1070</v>
      </c>
      <c r="F161" t="s">
        <v>1729</v>
      </c>
      <c r="G161" t="s">
        <v>1110</v>
      </c>
      <c r="H161">
        <v>5.28</v>
      </c>
    </row>
    <row r="162" spans="1:8" x14ac:dyDescent="0.25">
      <c r="A162" t="s">
        <v>987</v>
      </c>
      <c r="B162" t="s">
        <v>1201</v>
      </c>
      <c r="C162" t="s">
        <v>1202</v>
      </c>
      <c r="D162" t="s">
        <v>1203</v>
      </c>
      <c r="E162" t="s">
        <v>1068</v>
      </c>
      <c r="F162" t="s">
        <v>1542</v>
      </c>
      <c r="G162" t="s">
        <v>1084</v>
      </c>
      <c r="H162">
        <v>1</v>
      </c>
    </row>
    <row r="163" spans="1:8" x14ac:dyDescent="0.25">
      <c r="A163" t="s">
        <v>987</v>
      </c>
      <c r="B163" t="s">
        <v>1204</v>
      </c>
      <c r="C163" t="s">
        <v>1205</v>
      </c>
      <c r="D163" t="s">
        <v>1203</v>
      </c>
      <c r="E163" t="s">
        <v>1068</v>
      </c>
      <c r="F163" t="s">
        <v>1542</v>
      </c>
      <c r="G163" t="s">
        <v>1084</v>
      </c>
      <c r="H163">
        <v>1</v>
      </c>
    </row>
    <row r="164" spans="1:8" x14ac:dyDescent="0.25">
      <c r="A164" t="s">
        <v>987</v>
      </c>
      <c r="B164" t="s">
        <v>1206</v>
      </c>
      <c r="C164" t="s">
        <v>1207</v>
      </c>
      <c r="D164" t="s">
        <v>1203</v>
      </c>
      <c r="E164" t="s">
        <v>1068</v>
      </c>
      <c r="F164" t="s">
        <v>1542</v>
      </c>
      <c r="G164" t="s">
        <v>1110</v>
      </c>
      <c r="H164">
        <v>43.16</v>
      </c>
    </row>
    <row r="165" spans="1:8" x14ac:dyDescent="0.25">
      <c r="A165" t="s">
        <v>987</v>
      </c>
      <c r="B165" t="s">
        <v>1208</v>
      </c>
      <c r="C165" t="s">
        <v>1209</v>
      </c>
      <c r="D165" t="s">
        <v>1203</v>
      </c>
      <c r="E165" t="s">
        <v>1068</v>
      </c>
      <c r="F165" t="s">
        <v>1542</v>
      </c>
      <c r="G165" t="s">
        <v>1084</v>
      </c>
      <c r="H165">
        <v>1</v>
      </c>
    </row>
    <row r="166" spans="1:8" x14ac:dyDescent="0.25">
      <c r="A166" t="s">
        <v>987</v>
      </c>
      <c r="B166" t="s">
        <v>1210</v>
      </c>
      <c r="C166" t="s">
        <v>1211</v>
      </c>
      <c r="D166" t="s">
        <v>1203</v>
      </c>
      <c r="E166" t="s">
        <v>1068</v>
      </c>
      <c r="F166" t="s">
        <v>1542</v>
      </c>
      <c r="G166" t="s">
        <v>1110</v>
      </c>
      <c r="H166">
        <v>6.74</v>
      </c>
    </row>
    <row r="167" spans="1:8" x14ac:dyDescent="0.25">
      <c r="A167" t="s">
        <v>987</v>
      </c>
      <c r="B167" t="s">
        <v>1212</v>
      </c>
      <c r="C167" t="s">
        <v>1213</v>
      </c>
      <c r="D167" t="s">
        <v>1203</v>
      </c>
      <c r="E167" t="s">
        <v>1068</v>
      </c>
      <c r="F167" t="s">
        <v>1542</v>
      </c>
      <c r="G167" t="s">
        <v>1110</v>
      </c>
      <c r="H167">
        <v>11.24</v>
      </c>
    </row>
    <row r="168" spans="1:8" x14ac:dyDescent="0.25">
      <c r="A168" t="s">
        <v>987</v>
      </c>
      <c r="B168" t="s">
        <v>1214</v>
      </c>
      <c r="C168" t="s">
        <v>1793</v>
      </c>
      <c r="D168" t="s">
        <v>1216</v>
      </c>
      <c r="E168" t="s">
        <v>1068</v>
      </c>
      <c r="F168" t="s">
        <v>1729</v>
      </c>
      <c r="G168" t="s">
        <v>1084</v>
      </c>
      <c r="H168">
        <v>1</v>
      </c>
    </row>
    <row r="169" spans="1:8" x14ac:dyDescent="0.25">
      <c r="A169" t="s">
        <v>987</v>
      </c>
      <c r="B169" t="s">
        <v>1214</v>
      </c>
      <c r="C169" t="s">
        <v>1794</v>
      </c>
      <c r="D169" t="s">
        <v>1216</v>
      </c>
      <c r="E169" t="s">
        <v>1068</v>
      </c>
      <c r="F169" t="s">
        <v>1729</v>
      </c>
      <c r="G169" t="s">
        <v>1084</v>
      </c>
      <c r="H169">
        <v>1</v>
      </c>
    </row>
    <row r="170" spans="1:8" x14ac:dyDescent="0.25">
      <c r="A170" t="s">
        <v>987</v>
      </c>
      <c r="B170" t="s">
        <v>1214</v>
      </c>
      <c r="C170" t="s">
        <v>1795</v>
      </c>
      <c r="D170" t="s">
        <v>1216</v>
      </c>
      <c r="E170" t="s">
        <v>1068</v>
      </c>
      <c r="F170" t="s">
        <v>1729</v>
      </c>
      <c r="G170" t="s">
        <v>1084</v>
      </c>
      <c r="H170">
        <v>1</v>
      </c>
    </row>
    <row r="171" spans="1:8" x14ac:dyDescent="0.25">
      <c r="A171" t="s">
        <v>987</v>
      </c>
      <c r="B171" t="s">
        <v>1214</v>
      </c>
      <c r="C171" t="s">
        <v>1796</v>
      </c>
      <c r="D171" t="s">
        <v>1216</v>
      </c>
      <c r="E171" t="s">
        <v>1068</v>
      </c>
      <c r="F171" t="s">
        <v>1729</v>
      </c>
      <c r="G171" t="s">
        <v>1084</v>
      </c>
      <c r="H171">
        <v>1</v>
      </c>
    </row>
    <row r="172" spans="1:8" x14ac:dyDescent="0.25">
      <c r="A172" t="s">
        <v>987</v>
      </c>
      <c r="B172" t="s">
        <v>1214</v>
      </c>
      <c r="C172" t="s">
        <v>1797</v>
      </c>
      <c r="D172" t="s">
        <v>1216</v>
      </c>
      <c r="E172" t="s">
        <v>1068</v>
      </c>
      <c r="F172" t="s">
        <v>1729</v>
      </c>
      <c r="G172" t="s">
        <v>1084</v>
      </c>
      <c r="H172">
        <v>1</v>
      </c>
    </row>
    <row r="173" spans="1:8" x14ac:dyDescent="0.25">
      <c r="A173" t="s">
        <v>987</v>
      </c>
      <c r="B173" t="s">
        <v>1214</v>
      </c>
      <c r="C173" t="s">
        <v>1798</v>
      </c>
      <c r="D173" t="s">
        <v>1216</v>
      </c>
      <c r="E173" t="s">
        <v>1068</v>
      </c>
      <c r="F173" t="s">
        <v>1729</v>
      </c>
      <c r="G173" t="s">
        <v>1084</v>
      </c>
      <c r="H173">
        <v>1</v>
      </c>
    </row>
    <row r="174" spans="1:8" x14ac:dyDescent="0.25">
      <c r="A174" t="s">
        <v>987</v>
      </c>
      <c r="B174" t="s">
        <v>1217</v>
      </c>
      <c r="C174" t="s">
        <v>1799</v>
      </c>
      <c r="D174" t="s">
        <v>1216</v>
      </c>
      <c r="E174" t="s">
        <v>1068</v>
      </c>
      <c r="F174" t="s">
        <v>1762</v>
      </c>
      <c r="G174" t="s">
        <v>1084</v>
      </c>
      <c r="H174">
        <v>7</v>
      </c>
    </row>
    <row r="175" spans="1:8" x14ac:dyDescent="0.25">
      <c r="A175" t="s">
        <v>987</v>
      </c>
      <c r="B175" t="s">
        <v>1214</v>
      </c>
      <c r="C175" t="s">
        <v>1800</v>
      </c>
      <c r="D175" t="s">
        <v>1216</v>
      </c>
      <c r="E175" t="s">
        <v>1068</v>
      </c>
      <c r="F175" t="s">
        <v>1762</v>
      </c>
      <c r="G175" t="s">
        <v>1084</v>
      </c>
      <c r="H175">
        <v>2</v>
      </c>
    </row>
    <row r="176" spans="1:8" x14ac:dyDescent="0.25">
      <c r="A176" t="s">
        <v>987</v>
      </c>
      <c r="B176" t="s">
        <v>1214</v>
      </c>
      <c r="C176" t="s">
        <v>1801</v>
      </c>
      <c r="D176" t="s">
        <v>1216</v>
      </c>
      <c r="E176" t="s">
        <v>1068</v>
      </c>
      <c r="F176" t="s">
        <v>1762</v>
      </c>
      <c r="G176" t="s">
        <v>1084</v>
      </c>
      <c r="H176">
        <v>1</v>
      </c>
    </row>
    <row r="177" spans="1:8" x14ac:dyDescent="0.25">
      <c r="A177" t="s">
        <v>987</v>
      </c>
      <c r="B177" t="s">
        <v>1219</v>
      </c>
      <c r="C177" t="s">
        <v>1220</v>
      </c>
      <c r="D177" t="s">
        <v>1216</v>
      </c>
      <c r="E177" t="s">
        <v>1068</v>
      </c>
      <c r="F177" t="s">
        <v>1762</v>
      </c>
      <c r="G177" t="s">
        <v>1177</v>
      </c>
      <c r="H177">
        <v>3.36</v>
      </c>
    </row>
    <row r="178" spans="1:8" x14ac:dyDescent="0.25">
      <c r="A178" t="s">
        <v>987</v>
      </c>
      <c r="B178" t="s">
        <v>1221</v>
      </c>
      <c r="C178" t="s">
        <v>1222</v>
      </c>
      <c r="D178" t="s">
        <v>1216</v>
      </c>
      <c r="E178" t="s">
        <v>1068</v>
      </c>
      <c r="F178" t="s">
        <v>1762</v>
      </c>
      <c r="G178" t="s">
        <v>1177</v>
      </c>
      <c r="H178">
        <v>3.36</v>
      </c>
    </row>
    <row r="179" spans="1:8" x14ac:dyDescent="0.25">
      <c r="A179" t="s">
        <v>987</v>
      </c>
      <c r="B179" t="s">
        <v>1217</v>
      </c>
      <c r="C179" t="s">
        <v>1799</v>
      </c>
      <c r="D179" t="s">
        <v>1216</v>
      </c>
      <c r="E179" t="s">
        <v>1068</v>
      </c>
      <c r="F179" t="s">
        <v>1765</v>
      </c>
      <c r="G179" t="s">
        <v>1084</v>
      </c>
      <c r="H179">
        <v>4</v>
      </c>
    </row>
    <row r="180" spans="1:8" x14ac:dyDescent="0.25">
      <c r="A180" t="s">
        <v>987</v>
      </c>
      <c r="B180" t="s">
        <v>1214</v>
      </c>
      <c r="C180" t="s">
        <v>1802</v>
      </c>
      <c r="D180" t="s">
        <v>1216</v>
      </c>
      <c r="E180" t="s">
        <v>1068</v>
      </c>
      <c r="F180" t="s">
        <v>1765</v>
      </c>
      <c r="G180" t="s">
        <v>1084</v>
      </c>
      <c r="H180">
        <v>2</v>
      </c>
    </row>
    <row r="181" spans="1:8" x14ac:dyDescent="0.25">
      <c r="A181" t="s">
        <v>987</v>
      </c>
      <c r="B181" t="s">
        <v>1214</v>
      </c>
      <c r="C181" t="s">
        <v>1803</v>
      </c>
      <c r="D181" t="s">
        <v>1216</v>
      </c>
      <c r="E181" t="s">
        <v>1068</v>
      </c>
      <c r="F181" t="s">
        <v>1765</v>
      </c>
      <c r="G181" t="s">
        <v>1084</v>
      </c>
      <c r="H181">
        <v>2</v>
      </c>
    </row>
    <row r="182" spans="1:8" x14ac:dyDescent="0.25">
      <c r="A182" t="s">
        <v>987</v>
      </c>
      <c r="B182" t="s">
        <v>1219</v>
      </c>
      <c r="C182" t="s">
        <v>1220</v>
      </c>
      <c r="D182" t="s">
        <v>1216</v>
      </c>
      <c r="E182" t="s">
        <v>1070</v>
      </c>
      <c r="F182" t="s">
        <v>1727</v>
      </c>
      <c r="G182" t="s">
        <v>1177</v>
      </c>
      <c r="H182">
        <v>2.94</v>
      </c>
    </row>
    <row r="183" spans="1:8" x14ac:dyDescent="0.25">
      <c r="A183" t="s">
        <v>987</v>
      </c>
      <c r="B183" t="s">
        <v>1221</v>
      </c>
      <c r="C183" t="s">
        <v>1222</v>
      </c>
      <c r="D183" t="s">
        <v>1216</v>
      </c>
      <c r="E183" t="s">
        <v>1070</v>
      </c>
      <c r="F183" t="s">
        <v>1727</v>
      </c>
      <c r="G183" t="s">
        <v>1177</v>
      </c>
      <c r="H183">
        <v>2.94</v>
      </c>
    </row>
    <row r="184" spans="1:8" x14ac:dyDescent="0.25">
      <c r="A184" t="s">
        <v>987</v>
      </c>
      <c r="B184" t="s">
        <v>1223</v>
      </c>
      <c r="C184" t="s">
        <v>1224</v>
      </c>
      <c r="D184" t="s">
        <v>1216</v>
      </c>
      <c r="E184" t="s">
        <v>1070</v>
      </c>
      <c r="F184" t="s">
        <v>1727</v>
      </c>
      <c r="G184" t="s">
        <v>1177</v>
      </c>
      <c r="H184">
        <v>2.25</v>
      </c>
    </row>
    <row r="185" spans="1:8" x14ac:dyDescent="0.25">
      <c r="A185" t="s">
        <v>987</v>
      </c>
      <c r="B185" t="s">
        <v>1225</v>
      </c>
      <c r="C185" t="s">
        <v>1226</v>
      </c>
      <c r="D185" t="s">
        <v>1216</v>
      </c>
      <c r="E185" t="s">
        <v>1070</v>
      </c>
      <c r="F185" t="s">
        <v>1727</v>
      </c>
      <c r="G185" t="s">
        <v>1177</v>
      </c>
      <c r="H185">
        <v>2.25</v>
      </c>
    </row>
    <row r="186" spans="1:8" x14ac:dyDescent="0.25">
      <c r="A186" t="s">
        <v>987</v>
      </c>
      <c r="B186" t="s">
        <v>1227</v>
      </c>
      <c r="C186" t="s">
        <v>1228</v>
      </c>
      <c r="D186" t="s">
        <v>1229</v>
      </c>
      <c r="E186" t="s">
        <v>1068</v>
      </c>
      <c r="F186" t="s">
        <v>1542</v>
      </c>
      <c r="G186" t="s">
        <v>1084</v>
      </c>
      <c r="H186">
        <v>135</v>
      </c>
    </row>
    <row r="187" spans="1:8" x14ac:dyDescent="0.25">
      <c r="A187" t="s">
        <v>987</v>
      </c>
      <c r="B187" t="s">
        <v>1230</v>
      </c>
      <c r="C187" t="s">
        <v>1231</v>
      </c>
      <c r="D187" t="s">
        <v>1229</v>
      </c>
      <c r="E187" t="s">
        <v>1068</v>
      </c>
      <c r="F187" t="s">
        <v>1542</v>
      </c>
      <c r="G187" t="s">
        <v>1084</v>
      </c>
      <c r="H187">
        <v>257</v>
      </c>
    </row>
    <row r="188" spans="1:8" x14ac:dyDescent="0.25">
      <c r="A188" t="s">
        <v>987</v>
      </c>
      <c r="B188" t="s">
        <v>1232</v>
      </c>
      <c r="C188" t="s">
        <v>1233</v>
      </c>
      <c r="D188" t="s">
        <v>1229</v>
      </c>
      <c r="E188" t="s">
        <v>1068</v>
      </c>
      <c r="F188" t="s">
        <v>1542</v>
      </c>
      <c r="G188" t="s">
        <v>1084</v>
      </c>
      <c r="H188">
        <v>20</v>
      </c>
    </row>
    <row r="189" spans="1:8" x14ac:dyDescent="0.25">
      <c r="A189" t="s">
        <v>987</v>
      </c>
      <c r="B189" t="s">
        <v>1234</v>
      </c>
      <c r="C189" t="s">
        <v>1235</v>
      </c>
      <c r="D189" t="s">
        <v>1229</v>
      </c>
      <c r="E189" t="s">
        <v>1068</v>
      </c>
      <c r="F189" t="s">
        <v>1542</v>
      </c>
      <c r="G189" t="s">
        <v>1084</v>
      </c>
      <c r="H189">
        <v>36</v>
      </c>
    </row>
    <row r="190" spans="1:8" x14ac:dyDescent="0.25">
      <c r="A190" t="s">
        <v>987</v>
      </c>
      <c r="B190" t="s">
        <v>1236</v>
      </c>
      <c r="C190" t="s">
        <v>1237</v>
      </c>
      <c r="D190" t="s">
        <v>1229</v>
      </c>
      <c r="E190" t="s">
        <v>1068</v>
      </c>
      <c r="F190" t="s">
        <v>1542</v>
      </c>
      <c r="G190" t="s">
        <v>1084</v>
      </c>
      <c r="H190">
        <v>32</v>
      </c>
    </row>
    <row r="191" spans="1:8" x14ac:dyDescent="0.25">
      <c r="A191" t="s">
        <v>987</v>
      </c>
      <c r="B191" t="s">
        <v>1238</v>
      </c>
      <c r="C191" t="s">
        <v>1239</v>
      </c>
      <c r="D191" t="s">
        <v>1229</v>
      </c>
      <c r="E191" t="s">
        <v>1068</v>
      </c>
      <c r="F191" t="s">
        <v>1542</v>
      </c>
      <c r="G191" t="s">
        <v>1084</v>
      </c>
      <c r="H191">
        <v>8</v>
      </c>
    </row>
    <row r="192" spans="1:8" x14ac:dyDescent="0.25">
      <c r="A192" t="s">
        <v>987</v>
      </c>
      <c r="B192" t="s">
        <v>1240</v>
      </c>
      <c r="C192" t="s">
        <v>1241</v>
      </c>
      <c r="D192" t="s">
        <v>1229</v>
      </c>
      <c r="E192" t="s">
        <v>1068</v>
      </c>
      <c r="F192" t="s">
        <v>1542</v>
      </c>
      <c r="G192" t="s">
        <v>1084</v>
      </c>
      <c r="H192">
        <v>12</v>
      </c>
    </row>
    <row r="193" spans="1:8" x14ac:dyDescent="0.25">
      <c r="A193" t="s">
        <v>987</v>
      </c>
      <c r="B193" t="s">
        <v>1242</v>
      </c>
      <c r="C193" t="s">
        <v>1243</v>
      </c>
      <c r="D193" t="s">
        <v>1229</v>
      </c>
      <c r="E193" t="s">
        <v>1068</v>
      </c>
      <c r="F193" t="s">
        <v>1542</v>
      </c>
      <c r="G193" t="s">
        <v>1084</v>
      </c>
      <c r="H193">
        <v>76</v>
      </c>
    </row>
    <row r="194" spans="1:8" x14ac:dyDescent="0.25">
      <c r="A194" t="s">
        <v>987</v>
      </c>
      <c r="B194" t="s">
        <v>1244</v>
      </c>
      <c r="C194" t="s">
        <v>1245</v>
      </c>
      <c r="D194" t="s">
        <v>1229</v>
      </c>
      <c r="E194" t="s">
        <v>1068</v>
      </c>
      <c r="F194" t="s">
        <v>1542</v>
      </c>
      <c r="G194" t="s">
        <v>1084</v>
      </c>
      <c r="H194">
        <v>40</v>
      </c>
    </row>
    <row r="195" spans="1:8" x14ac:dyDescent="0.25">
      <c r="A195" t="s">
        <v>987</v>
      </c>
      <c r="B195" t="s">
        <v>1246</v>
      </c>
      <c r="C195" t="s">
        <v>1247</v>
      </c>
      <c r="D195" t="s">
        <v>1229</v>
      </c>
      <c r="E195" t="s">
        <v>1068</v>
      </c>
      <c r="F195" t="s">
        <v>1542</v>
      </c>
      <c r="G195" t="s">
        <v>1084</v>
      </c>
      <c r="H195">
        <v>24</v>
      </c>
    </row>
    <row r="196" spans="1:8" x14ac:dyDescent="0.25">
      <c r="A196" t="s">
        <v>987</v>
      </c>
      <c r="B196" t="s">
        <v>1248</v>
      </c>
      <c r="C196" t="s">
        <v>1249</v>
      </c>
      <c r="D196" t="s">
        <v>1229</v>
      </c>
      <c r="E196" t="s">
        <v>1068</v>
      </c>
      <c r="F196" t="s">
        <v>1542</v>
      </c>
      <c r="G196" t="s">
        <v>1084</v>
      </c>
      <c r="H196">
        <v>20</v>
      </c>
    </row>
    <row r="197" spans="1:8" x14ac:dyDescent="0.25">
      <c r="A197" t="s">
        <v>987</v>
      </c>
      <c r="B197" t="s">
        <v>1250</v>
      </c>
      <c r="C197" t="s">
        <v>1251</v>
      </c>
      <c r="D197" t="s">
        <v>1229</v>
      </c>
      <c r="E197" t="s">
        <v>1068</v>
      </c>
      <c r="F197" t="s">
        <v>1542</v>
      </c>
      <c r="G197" t="s">
        <v>1084</v>
      </c>
      <c r="H197">
        <v>64</v>
      </c>
    </row>
    <row r="198" spans="1:8" x14ac:dyDescent="0.25">
      <c r="A198" t="s">
        <v>987</v>
      </c>
      <c r="B198" t="s">
        <v>1252</v>
      </c>
      <c r="C198" t="s">
        <v>1253</v>
      </c>
      <c r="D198" t="s">
        <v>1229</v>
      </c>
      <c r="E198" t="s">
        <v>1068</v>
      </c>
      <c r="F198" t="s">
        <v>1542</v>
      </c>
      <c r="G198" t="s">
        <v>1084</v>
      </c>
      <c r="H198">
        <v>76</v>
      </c>
    </row>
    <row r="199" spans="1:8" x14ac:dyDescent="0.25">
      <c r="A199" t="s">
        <v>987</v>
      </c>
      <c r="B199" t="s">
        <v>1254</v>
      </c>
      <c r="C199" t="s">
        <v>1255</v>
      </c>
      <c r="D199" t="s">
        <v>1229</v>
      </c>
      <c r="E199" t="s">
        <v>1068</v>
      </c>
      <c r="F199" t="s">
        <v>1542</v>
      </c>
      <c r="G199" t="s">
        <v>1084</v>
      </c>
      <c r="H199">
        <v>128</v>
      </c>
    </row>
    <row r="200" spans="1:8" x14ac:dyDescent="0.25">
      <c r="A200" t="s">
        <v>987</v>
      </c>
      <c r="B200" t="s">
        <v>1256</v>
      </c>
      <c r="C200" t="s">
        <v>1257</v>
      </c>
      <c r="D200" t="s">
        <v>1229</v>
      </c>
      <c r="E200" t="s">
        <v>1068</v>
      </c>
      <c r="F200" t="s">
        <v>1542</v>
      </c>
      <c r="G200" t="s">
        <v>1084</v>
      </c>
      <c r="H200">
        <v>90</v>
      </c>
    </row>
    <row r="201" spans="1:8" x14ac:dyDescent="0.25">
      <c r="A201" t="s">
        <v>987</v>
      </c>
      <c r="B201" t="s">
        <v>1258</v>
      </c>
      <c r="C201" t="s">
        <v>1259</v>
      </c>
      <c r="D201" t="s">
        <v>1229</v>
      </c>
      <c r="E201" t="s">
        <v>1068</v>
      </c>
      <c r="F201" t="s">
        <v>1542</v>
      </c>
      <c r="G201" t="s">
        <v>1084</v>
      </c>
      <c r="H201">
        <v>20</v>
      </c>
    </row>
    <row r="202" spans="1:8" x14ac:dyDescent="0.25">
      <c r="A202" t="s">
        <v>987</v>
      </c>
      <c r="B202" t="s">
        <v>1260</v>
      </c>
      <c r="C202" t="s">
        <v>1261</v>
      </c>
      <c r="D202" t="s">
        <v>1229</v>
      </c>
      <c r="E202" t="s">
        <v>1068</v>
      </c>
      <c r="F202" t="s">
        <v>1542</v>
      </c>
      <c r="G202" t="s">
        <v>1084</v>
      </c>
      <c r="H202">
        <v>15</v>
      </c>
    </row>
    <row r="203" spans="1:8" x14ac:dyDescent="0.25">
      <c r="A203" t="s">
        <v>987</v>
      </c>
      <c r="B203" t="s">
        <v>1262</v>
      </c>
      <c r="C203" t="s">
        <v>1263</v>
      </c>
      <c r="D203" t="s">
        <v>1229</v>
      </c>
      <c r="E203" t="s">
        <v>1068</v>
      </c>
      <c r="F203" t="s">
        <v>1542</v>
      </c>
      <c r="G203" t="s">
        <v>1084</v>
      </c>
      <c r="H203">
        <v>1</v>
      </c>
    </row>
    <row r="204" spans="1:8" x14ac:dyDescent="0.25">
      <c r="A204" t="s">
        <v>987</v>
      </c>
      <c r="B204" t="s">
        <v>1264</v>
      </c>
      <c r="C204" t="s">
        <v>1265</v>
      </c>
      <c r="D204" t="s">
        <v>1229</v>
      </c>
      <c r="E204" t="s">
        <v>1068</v>
      </c>
      <c r="F204" t="s">
        <v>1542</v>
      </c>
      <c r="G204" t="s">
        <v>1084</v>
      </c>
      <c r="H204">
        <v>324</v>
      </c>
    </row>
    <row r="205" spans="1:8" x14ac:dyDescent="0.25">
      <c r="A205" t="s">
        <v>987</v>
      </c>
      <c r="B205" t="s">
        <v>1266</v>
      </c>
      <c r="C205" t="s">
        <v>1267</v>
      </c>
      <c r="D205" t="s">
        <v>1229</v>
      </c>
      <c r="E205" t="s">
        <v>1068</v>
      </c>
      <c r="F205" t="s">
        <v>1542</v>
      </c>
      <c r="G205" t="s">
        <v>1084</v>
      </c>
      <c r="H205">
        <v>100</v>
      </c>
    </row>
    <row r="206" spans="1:8" x14ac:dyDescent="0.25">
      <c r="A206" t="s">
        <v>987</v>
      </c>
      <c r="B206" t="s">
        <v>1268</v>
      </c>
      <c r="C206" t="s">
        <v>1269</v>
      </c>
      <c r="D206" t="s">
        <v>1229</v>
      </c>
      <c r="E206" t="s">
        <v>1068</v>
      </c>
      <c r="F206" t="s">
        <v>1542</v>
      </c>
      <c r="G206" t="s">
        <v>1084</v>
      </c>
      <c r="H206">
        <v>50</v>
      </c>
    </row>
    <row r="207" spans="1:8" x14ac:dyDescent="0.25">
      <c r="A207" t="s">
        <v>987</v>
      </c>
      <c r="B207" t="s">
        <v>1270</v>
      </c>
      <c r="C207" t="s">
        <v>1271</v>
      </c>
      <c r="D207" t="s">
        <v>1229</v>
      </c>
      <c r="E207" t="s">
        <v>1068</v>
      </c>
      <c r="F207" t="s">
        <v>1542</v>
      </c>
      <c r="G207" t="s">
        <v>1084</v>
      </c>
      <c r="H207">
        <v>46</v>
      </c>
    </row>
    <row r="208" spans="1:8" x14ac:dyDescent="0.25">
      <c r="A208" t="s">
        <v>987</v>
      </c>
      <c r="B208" t="s">
        <v>1272</v>
      </c>
      <c r="C208" t="s">
        <v>1273</v>
      </c>
      <c r="D208" t="s">
        <v>1229</v>
      </c>
      <c r="E208" t="s">
        <v>1068</v>
      </c>
      <c r="F208" t="s">
        <v>1542</v>
      </c>
      <c r="G208" t="s">
        <v>1084</v>
      </c>
      <c r="H208">
        <v>46</v>
      </c>
    </row>
    <row r="209" spans="1:8" x14ac:dyDescent="0.25">
      <c r="A209" t="s">
        <v>987</v>
      </c>
      <c r="B209" t="s">
        <v>1274</v>
      </c>
      <c r="C209" t="s">
        <v>1275</v>
      </c>
      <c r="D209" t="s">
        <v>1229</v>
      </c>
      <c r="E209" t="s">
        <v>1068</v>
      </c>
      <c r="F209" t="s">
        <v>1542</v>
      </c>
      <c r="G209" t="s">
        <v>1084</v>
      </c>
      <c r="H209">
        <v>25</v>
      </c>
    </row>
    <row r="210" spans="1:8" x14ac:dyDescent="0.25">
      <c r="A210" t="s">
        <v>987</v>
      </c>
      <c r="B210" t="s">
        <v>1276</v>
      </c>
      <c r="C210" t="s">
        <v>1277</v>
      </c>
      <c r="D210" t="s">
        <v>1278</v>
      </c>
      <c r="E210" t="s">
        <v>1068</v>
      </c>
      <c r="F210" t="s">
        <v>1542</v>
      </c>
      <c r="G210" t="s">
        <v>1084</v>
      </c>
      <c r="H210">
        <v>6</v>
      </c>
    </row>
    <row r="211" spans="1:8" x14ac:dyDescent="0.25">
      <c r="A211" t="s">
        <v>987</v>
      </c>
      <c r="B211" t="s">
        <v>1279</v>
      </c>
      <c r="C211" t="s">
        <v>1280</v>
      </c>
      <c r="D211" t="s">
        <v>1278</v>
      </c>
      <c r="E211" t="s">
        <v>1068</v>
      </c>
      <c r="F211" t="s">
        <v>1542</v>
      </c>
      <c r="G211" t="s">
        <v>1084</v>
      </c>
      <c r="H211">
        <v>30</v>
      </c>
    </row>
    <row r="212" spans="1:8" x14ac:dyDescent="0.25">
      <c r="A212" t="s">
        <v>987</v>
      </c>
      <c r="B212" t="s">
        <v>1281</v>
      </c>
      <c r="C212" t="s">
        <v>1282</v>
      </c>
      <c r="D212" t="s">
        <v>1278</v>
      </c>
      <c r="E212" t="s">
        <v>1068</v>
      </c>
      <c r="F212" t="s">
        <v>1542</v>
      </c>
      <c r="G212" t="s">
        <v>1084</v>
      </c>
      <c r="H212">
        <v>20</v>
      </c>
    </row>
    <row r="213" spans="1:8" x14ac:dyDescent="0.25">
      <c r="A213" t="s">
        <v>987</v>
      </c>
      <c r="B213" t="s">
        <v>1283</v>
      </c>
      <c r="C213" t="s">
        <v>1284</v>
      </c>
      <c r="D213" t="s">
        <v>1278</v>
      </c>
      <c r="E213" t="s">
        <v>1068</v>
      </c>
      <c r="F213" t="s">
        <v>1542</v>
      </c>
      <c r="G213" t="s">
        <v>1084</v>
      </c>
      <c r="H213">
        <v>12</v>
      </c>
    </row>
    <row r="214" spans="1:8" x14ac:dyDescent="0.25">
      <c r="A214" t="s">
        <v>987</v>
      </c>
      <c r="B214" t="s">
        <v>1285</v>
      </c>
      <c r="C214" t="s">
        <v>1286</v>
      </c>
      <c r="D214" t="s">
        <v>1278</v>
      </c>
      <c r="E214" t="s">
        <v>1068</v>
      </c>
      <c r="F214" t="s">
        <v>1542</v>
      </c>
      <c r="G214" t="s">
        <v>1084</v>
      </c>
      <c r="H214">
        <v>1</v>
      </c>
    </row>
    <row r="215" spans="1:8" x14ac:dyDescent="0.25">
      <c r="A215" t="s">
        <v>987</v>
      </c>
      <c r="B215" t="s">
        <v>1287</v>
      </c>
      <c r="C215" t="s">
        <v>1288</v>
      </c>
      <c r="D215" t="s">
        <v>1278</v>
      </c>
      <c r="E215" t="s">
        <v>1068</v>
      </c>
      <c r="F215" t="s">
        <v>1542</v>
      </c>
      <c r="G215" t="s">
        <v>1084</v>
      </c>
      <c r="H215">
        <v>62</v>
      </c>
    </row>
    <row r="216" spans="1:8" x14ac:dyDescent="0.25">
      <c r="A216" t="s">
        <v>987</v>
      </c>
      <c r="B216" t="s">
        <v>1289</v>
      </c>
      <c r="C216" t="s">
        <v>1290</v>
      </c>
      <c r="D216" t="s">
        <v>1278</v>
      </c>
      <c r="E216" t="s">
        <v>1068</v>
      </c>
      <c r="F216" t="s">
        <v>1542</v>
      </c>
      <c r="G216" t="s">
        <v>1084</v>
      </c>
      <c r="H216">
        <v>1</v>
      </c>
    </row>
    <row r="217" spans="1:8" x14ac:dyDescent="0.25">
      <c r="A217" t="s">
        <v>987</v>
      </c>
      <c r="B217" t="s">
        <v>1291</v>
      </c>
      <c r="C217" t="s">
        <v>1292</v>
      </c>
      <c r="D217" t="s">
        <v>1278</v>
      </c>
      <c r="E217" t="s">
        <v>1068</v>
      </c>
      <c r="F217" t="s">
        <v>1542</v>
      </c>
      <c r="G217" t="s">
        <v>1084</v>
      </c>
      <c r="H217">
        <v>1</v>
      </c>
    </row>
    <row r="218" spans="1:8" x14ac:dyDescent="0.25">
      <c r="A218" t="s">
        <v>987</v>
      </c>
      <c r="B218" t="s">
        <v>1293</v>
      </c>
      <c r="C218" t="s">
        <v>1294</v>
      </c>
      <c r="D218" t="s">
        <v>1278</v>
      </c>
      <c r="E218" t="s">
        <v>1068</v>
      </c>
      <c r="F218" t="s">
        <v>1542</v>
      </c>
      <c r="G218" t="s">
        <v>1084</v>
      </c>
      <c r="H218">
        <v>1</v>
      </c>
    </row>
    <row r="219" spans="1:8" x14ac:dyDescent="0.25">
      <c r="A219" t="s">
        <v>987</v>
      </c>
      <c r="B219" t="s">
        <v>1295</v>
      </c>
      <c r="C219" t="s">
        <v>1296</v>
      </c>
      <c r="D219" t="s">
        <v>1278</v>
      </c>
      <c r="E219" t="s">
        <v>1068</v>
      </c>
      <c r="F219" t="s">
        <v>1542</v>
      </c>
      <c r="G219" t="s">
        <v>1084</v>
      </c>
      <c r="H219">
        <v>1</v>
      </c>
    </row>
    <row r="220" spans="1:8" x14ac:dyDescent="0.25">
      <c r="A220" t="s">
        <v>987</v>
      </c>
      <c r="B220" t="s">
        <v>1297</v>
      </c>
      <c r="C220" t="s">
        <v>1298</v>
      </c>
      <c r="D220" t="s">
        <v>1278</v>
      </c>
      <c r="E220" t="s">
        <v>1068</v>
      </c>
      <c r="F220" t="s">
        <v>1542</v>
      </c>
      <c r="G220" t="s">
        <v>1084</v>
      </c>
      <c r="H220">
        <v>10</v>
      </c>
    </row>
    <row r="221" spans="1:8" x14ac:dyDescent="0.25">
      <c r="A221" t="s">
        <v>987</v>
      </c>
      <c r="B221" t="s">
        <v>1299</v>
      </c>
      <c r="C221" t="s">
        <v>1300</v>
      </c>
      <c r="D221" t="s">
        <v>1278</v>
      </c>
      <c r="E221" t="s">
        <v>1068</v>
      </c>
      <c r="F221" t="s">
        <v>1542</v>
      </c>
      <c r="G221" t="s">
        <v>1084</v>
      </c>
      <c r="H221">
        <v>8</v>
      </c>
    </row>
    <row r="222" spans="1:8" x14ac:dyDescent="0.25">
      <c r="A222" t="s">
        <v>987</v>
      </c>
      <c r="B222" t="s">
        <v>1301</v>
      </c>
      <c r="C222" t="s">
        <v>1302</v>
      </c>
      <c r="D222" t="s">
        <v>1278</v>
      </c>
      <c r="E222" t="s">
        <v>1068</v>
      </c>
      <c r="F222" t="s">
        <v>1542</v>
      </c>
      <c r="G222" t="s">
        <v>1084</v>
      </c>
      <c r="H222">
        <v>4</v>
      </c>
    </row>
    <row r="223" spans="1:8" x14ac:dyDescent="0.25">
      <c r="A223" t="s">
        <v>987</v>
      </c>
      <c r="B223" t="s">
        <v>1303</v>
      </c>
      <c r="C223" t="s">
        <v>1304</v>
      </c>
      <c r="D223" t="s">
        <v>1305</v>
      </c>
      <c r="E223" t="s">
        <v>1068</v>
      </c>
      <c r="F223" t="s">
        <v>1542</v>
      </c>
      <c r="G223" t="s">
        <v>1084</v>
      </c>
      <c r="H223">
        <v>20</v>
      </c>
    </row>
    <row r="224" spans="1:8" x14ac:dyDescent="0.25">
      <c r="A224" t="s">
        <v>987</v>
      </c>
      <c r="B224" t="s">
        <v>1306</v>
      </c>
      <c r="C224" t="s">
        <v>1307</v>
      </c>
      <c r="D224" t="s">
        <v>1305</v>
      </c>
      <c r="E224" t="s">
        <v>1068</v>
      </c>
      <c r="F224" t="s">
        <v>1542</v>
      </c>
      <c r="G224" t="s">
        <v>1084</v>
      </c>
      <c r="H224">
        <v>10</v>
      </c>
    </row>
    <row r="225" spans="1:8" x14ac:dyDescent="0.25">
      <c r="A225" t="s">
        <v>987</v>
      </c>
      <c r="B225" t="s">
        <v>1308</v>
      </c>
      <c r="C225" t="s">
        <v>1309</v>
      </c>
      <c r="D225" t="s">
        <v>1305</v>
      </c>
      <c r="E225" t="s">
        <v>1068</v>
      </c>
      <c r="F225" t="s">
        <v>1542</v>
      </c>
      <c r="G225" t="s">
        <v>1084</v>
      </c>
      <c r="H225">
        <v>5</v>
      </c>
    </row>
    <row r="226" spans="1:8" x14ac:dyDescent="0.25">
      <c r="A226" t="s">
        <v>987</v>
      </c>
      <c r="B226" t="s">
        <v>1310</v>
      </c>
      <c r="C226" t="s">
        <v>1311</v>
      </c>
      <c r="D226" t="s">
        <v>1305</v>
      </c>
      <c r="E226" t="s">
        <v>1068</v>
      </c>
      <c r="F226" t="s">
        <v>1542</v>
      </c>
      <c r="G226" t="s">
        <v>1084</v>
      </c>
      <c r="H226">
        <v>6</v>
      </c>
    </row>
    <row r="227" spans="1:8" x14ac:dyDescent="0.25">
      <c r="A227" t="s">
        <v>987</v>
      </c>
      <c r="B227" t="s">
        <v>1312</v>
      </c>
      <c r="C227" t="s">
        <v>1313</v>
      </c>
      <c r="D227" t="s">
        <v>1305</v>
      </c>
      <c r="E227" t="s">
        <v>1068</v>
      </c>
      <c r="F227" t="s">
        <v>1542</v>
      </c>
      <c r="G227" t="s">
        <v>1084</v>
      </c>
      <c r="H227">
        <v>25</v>
      </c>
    </row>
    <row r="228" spans="1:8" x14ac:dyDescent="0.25">
      <c r="A228" t="s">
        <v>987</v>
      </c>
      <c r="B228" t="s">
        <v>1314</v>
      </c>
      <c r="C228" t="s">
        <v>1315</v>
      </c>
      <c r="D228" t="s">
        <v>1305</v>
      </c>
      <c r="E228" t="s">
        <v>1068</v>
      </c>
      <c r="F228" t="s">
        <v>1542</v>
      </c>
      <c r="G228" t="s">
        <v>1084</v>
      </c>
      <c r="H228">
        <v>6</v>
      </c>
    </row>
    <row r="229" spans="1:8" x14ac:dyDescent="0.25">
      <c r="A229" t="s">
        <v>987</v>
      </c>
      <c r="B229" t="s">
        <v>1316</v>
      </c>
      <c r="C229" t="s">
        <v>1317</v>
      </c>
      <c r="D229" t="s">
        <v>1305</v>
      </c>
      <c r="E229" t="s">
        <v>1068</v>
      </c>
      <c r="F229" t="s">
        <v>1542</v>
      </c>
      <c r="G229" t="s">
        <v>1084</v>
      </c>
      <c r="H229">
        <v>1</v>
      </c>
    </row>
    <row r="230" spans="1:8" x14ac:dyDescent="0.25">
      <c r="A230" t="s">
        <v>987</v>
      </c>
      <c r="B230" t="s">
        <v>1318</v>
      </c>
      <c r="C230" t="s">
        <v>1319</v>
      </c>
      <c r="D230" t="s">
        <v>1305</v>
      </c>
      <c r="E230" t="s">
        <v>1068</v>
      </c>
      <c r="F230" t="s">
        <v>1542</v>
      </c>
      <c r="G230" t="s">
        <v>1084</v>
      </c>
      <c r="H230">
        <v>1</v>
      </c>
    </row>
    <row r="231" spans="1:8" x14ac:dyDescent="0.25">
      <c r="A231" t="s">
        <v>987</v>
      </c>
      <c r="B231" t="s">
        <v>1320</v>
      </c>
      <c r="C231" t="s">
        <v>1321</v>
      </c>
      <c r="D231" t="s">
        <v>1305</v>
      </c>
      <c r="E231" t="s">
        <v>1068</v>
      </c>
      <c r="F231" t="s">
        <v>1542</v>
      </c>
      <c r="G231" t="s">
        <v>1084</v>
      </c>
      <c r="H231">
        <v>1</v>
      </c>
    </row>
    <row r="232" spans="1:8" x14ac:dyDescent="0.25">
      <c r="A232" t="s">
        <v>987</v>
      </c>
      <c r="B232" t="s">
        <v>1322</v>
      </c>
      <c r="C232" t="s">
        <v>1323</v>
      </c>
      <c r="D232" t="s">
        <v>1305</v>
      </c>
      <c r="E232" t="s">
        <v>1068</v>
      </c>
      <c r="F232" t="s">
        <v>1542</v>
      </c>
      <c r="G232" t="s">
        <v>1084</v>
      </c>
      <c r="H232">
        <v>4</v>
      </c>
    </row>
    <row r="233" spans="1:8" x14ac:dyDescent="0.25">
      <c r="A233" t="s">
        <v>987</v>
      </c>
      <c r="B233" t="s">
        <v>1324</v>
      </c>
      <c r="C233" t="s">
        <v>1325</v>
      </c>
      <c r="D233" t="s">
        <v>1305</v>
      </c>
      <c r="E233" t="s">
        <v>1068</v>
      </c>
      <c r="F233" t="s">
        <v>1542</v>
      </c>
      <c r="G233" t="s">
        <v>1084</v>
      </c>
      <c r="H233">
        <v>4</v>
      </c>
    </row>
    <row r="234" spans="1:8" x14ac:dyDescent="0.25">
      <c r="A234" t="s">
        <v>987</v>
      </c>
      <c r="B234" t="s">
        <v>1326</v>
      </c>
      <c r="C234" t="s">
        <v>1327</v>
      </c>
      <c r="D234" t="s">
        <v>1305</v>
      </c>
      <c r="E234" t="s">
        <v>1068</v>
      </c>
      <c r="F234" t="s">
        <v>1542</v>
      </c>
      <c r="G234" t="s">
        <v>1084</v>
      </c>
      <c r="H234">
        <v>1</v>
      </c>
    </row>
    <row r="235" spans="1:8" x14ac:dyDescent="0.25">
      <c r="A235" t="s">
        <v>987</v>
      </c>
      <c r="B235" t="s">
        <v>1328</v>
      </c>
      <c r="C235" t="s">
        <v>1329</v>
      </c>
      <c r="D235" t="s">
        <v>1305</v>
      </c>
      <c r="E235" t="s">
        <v>1068</v>
      </c>
      <c r="F235" t="s">
        <v>1542</v>
      </c>
      <c r="G235" t="s">
        <v>1084</v>
      </c>
      <c r="H235">
        <v>4</v>
      </c>
    </row>
    <row r="236" spans="1:8" x14ac:dyDescent="0.25">
      <c r="A236" t="s">
        <v>987</v>
      </c>
      <c r="B236" t="s">
        <v>1330</v>
      </c>
      <c r="C236" t="s">
        <v>1331</v>
      </c>
      <c r="D236" t="s">
        <v>1305</v>
      </c>
      <c r="E236" t="s">
        <v>1068</v>
      </c>
      <c r="F236" t="s">
        <v>1542</v>
      </c>
      <c r="G236" t="s">
        <v>1084</v>
      </c>
      <c r="H236">
        <v>1</v>
      </c>
    </row>
    <row r="237" spans="1:8" x14ac:dyDescent="0.25">
      <c r="A237" t="s">
        <v>987</v>
      </c>
      <c r="B237" t="s">
        <v>1332</v>
      </c>
      <c r="C237" t="s">
        <v>1333</v>
      </c>
      <c r="D237" t="s">
        <v>1305</v>
      </c>
      <c r="E237" t="s">
        <v>1068</v>
      </c>
      <c r="F237" t="s">
        <v>1542</v>
      </c>
      <c r="G237" t="s">
        <v>1084</v>
      </c>
      <c r="H237">
        <v>1</v>
      </c>
    </row>
    <row r="238" spans="1:8" x14ac:dyDescent="0.25">
      <c r="A238" t="s">
        <v>987</v>
      </c>
      <c r="B238" t="s">
        <v>1334</v>
      </c>
      <c r="C238" t="s">
        <v>1335</v>
      </c>
      <c r="D238" t="s">
        <v>1305</v>
      </c>
      <c r="E238" t="s">
        <v>1068</v>
      </c>
      <c r="F238" t="s">
        <v>1542</v>
      </c>
      <c r="G238" t="s">
        <v>1084</v>
      </c>
      <c r="H238">
        <v>1</v>
      </c>
    </row>
    <row r="239" spans="1:8" x14ac:dyDescent="0.25">
      <c r="A239" t="s">
        <v>987</v>
      </c>
      <c r="B239" t="s">
        <v>1336</v>
      </c>
      <c r="C239" t="s">
        <v>1337</v>
      </c>
      <c r="D239" t="s">
        <v>1305</v>
      </c>
      <c r="E239" t="s">
        <v>1068</v>
      </c>
      <c r="F239" t="s">
        <v>1542</v>
      </c>
      <c r="G239" t="s">
        <v>1084</v>
      </c>
      <c r="H239">
        <v>5</v>
      </c>
    </row>
    <row r="240" spans="1:8" x14ac:dyDescent="0.25">
      <c r="A240" t="s">
        <v>987</v>
      </c>
      <c r="B240" t="s">
        <v>1338</v>
      </c>
      <c r="C240" t="s">
        <v>1339</v>
      </c>
      <c r="D240" t="s">
        <v>1305</v>
      </c>
      <c r="E240" t="s">
        <v>1068</v>
      </c>
      <c r="F240" t="s">
        <v>1542</v>
      </c>
      <c r="G240" t="s">
        <v>1084</v>
      </c>
      <c r="H240">
        <v>10</v>
      </c>
    </row>
    <row r="241" spans="1:8" x14ac:dyDescent="0.25">
      <c r="A241" t="s">
        <v>987</v>
      </c>
      <c r="B241" t="s">
        <v>1340</v>
      </c>
      <c r="C241" t="s">
        <v>1341</v>
      </c>
      <c r="D241" t="s">
        <v>1305</v>
      </c>
      <c r="E241" t="s">
        <v>1068</v>
      </c>
      <c r="F241" t="s">
        <v>1542</v>
      </c>
      <c r="G241" t="s">
        <v>1084</v>
      </c>
      <c r="H241">
        <v>1</v>
      </c>
    </row>
    <row r="242" spans="1:8" x14ac:dyDescent="0.25">
      <c r="A242" t="s">
        <v>987</v>
      </c>
      <c r="B242" t="s">
        <v>1342</v>
      </c>
      <c r="C242" t="s">
        <v>1343</v>
      </c>
      <c r="D242" t="s">
        <v>1305</v>
      </c>
      <c r="E242" t="s">
        <v>1068</v>
      </c>
      <c r="F242" t="s">
        <v>1542</v>
      </c>
      <c r="G242" t="s">
        <v>1084</v>
      </c>
      <c r="H242">
        <v>1</v>
      </c>
    </row>
    <row r="243" spans="1:8" x14ac:dyDescent="0.25">
      <c r="A243" t="s">
        <v>987</v>
      </c>
      <c r="B243" t="s">
        <v>1344</v>
      </c>
      <c r="C243" t="s">
        <v>1345</v>
      </c>
      <c r="D243" t="s">
        <v>1305</v>
      </c>
      <c r="E243" t="s">
        <v>1068</v>
      </c>
      <c r="F243" t="s">
        <v>1542</v>
      </c>
      <c r="G243" t="s">
        <v>1084</v>
      </c>
      <c r="H243">
        <v>1</v>
      </c>
    </row>
    <row r="244" spans="1:8" x14ac:dyDescent="0.25">
      <c r="A244" t="s">
        <v>987</v>
      </c>
      <c r="B244" t="s">
        <v>1346</v>
      </c>
      <c r="C244" t="s">
        <v>1347</v>
      </c>
      <c r="D244" t="s">
        <v>1305</v>
      </c>
      <c r="E244" t="s">
        <v>1068</v>
      </c>
      <c r="F244" t="s">
        <v>1542</v>
      </c>
      <c r="G244" t="s">
        <v>1084</v>
      </c>
      <c r="H244">
        <v>10</v>
      </c>
    </row>
    <row r="245" spans="1:8" x14ac:dyDescent="0.25">
      <c r="A245" t="s">
        <v>987</v>
      </c>
      <c r="B245" t="s">
        <v>1348</v>
      </c>
      <c r="C245" t="s">
        <v>1349</v>
      </c>
      <c r="D245" t="s">
        <v>1350</v>
      </c>
      <c r="E245" t="s">
        <v>1068</v>
      </c>
      <c r="F245" t="s">
        <v>1542</v>
      </c>
      <c r="G245" t="s">
        <v>1084</v>
      </c>
      <c r="H245">
        <v>34</v>
      </c>
    </row>
    <row r="246" spans="1:8" x14ac:dyDescent="0.25">
      <c r="A246" t="s">
        <v>987</v>
      </c>
      <c r="B246" t="s">
        <v>1351</v>
      </c>
      <c r="C246" t="s">
        <v>1352</v>
      </c>
      <c r="D246" t="s">
        <v>1350</v>
      </c>
      <c r="E246" t="s">
        <v>1068</v>
      </c>
      <c r="F246" t="s">
        <v>1542</v>
      </c>
      <c r="G246" t="s">
        <v>1084</v>
      </c>
      <c r="H246">
        <v>12</v>
      </c>
    </row>
    <row r="247" spans="1:8" x14ac:dyDescent="0.25">
      <c r="A247" t="s">
        <v>987</v>
      </c>
      <c r="B247" t="s">
        <v>1353</v>
      </c>
      <c r="C247" t="s">
        <v>1354</v>
      </c>
      <c r="D247" t="s">
        <v>1350</v>
      </c>
      <c r="E247" t="s">
        <v>1068</v>
      </c>
      <c r="F247" t="s">
        <v>1542</v>
      </c>
      <c r="G247" t="s">
        <v>1084</v>
      </c>
      <c r="H247">
        <v>32</v>
      </c>
    </row>
    <row r="248" spans="1:8" x14ac:dyDescent="0.25">
      <c r="A248" t="s">
        <v>987</v>
      </c>
      <c r="B248" t="s">
        <v>1355</v>
      </c>
      <c r="C248" t="s">
        <v>1356</v>
      </c>
      <c r="D248" t="s">
        <v>1350</v>
      </c>
      <c r="E248" t="s">
        <v>1068</v>
      </c>
      <c r="F248" t="s">
        <v>1542</v>
      </c>
      <c r="G248" t="s">
        <v>1084</v>
      </c>
      <c r="H248">
        <v>6</v>
      </c>
    </row>
    <row r="249" spans="1:8" x14ac:dyDescent="0.25">
      <c r="A249" t="s">
        <v>987</v>
      </c>
      <c r="B249" t="s">
        <v>1357</v>
      </c>
      <c r="C249" t="s">
        <v>1358</v>
      </c>
      <c r="D249" t="s">
        <v>1350</v>
      </c>
      <c r="E249" t="s">
        <v>1068</v>
      </c>
      <c r="F249" t="s">
        <v>1542</v>
      </c>
      <c r="G249" t="s">
        <v>1084</v>
      </c>
      <c r="H249">
        <v>5</v>
      </c>
    </row>
    <row r="250" spans="1:8" x14ac:dyDescent="0.25">
      <c r="A250" t="s">
        <v>987</v>
      </c>
      <c r="B250" t="s">
        <v>1359</v>
      </c>
      <c r="C250" t="s">
        <v>1360</v>
      </c>
      <c r="D250" t="s">
        <v>1350</v>
      </c>
      <c r="E250" t="s">
        <v>1068</v>
      </c>
      <c r="F250" t="s">
        <v>1542</v>
      </c>
      <c r="G250" t="s">
        <v>1084</v>
      </c>
      <c r="H250">
        <v>5</v>
      </c>
    </row>
    <row r="251" spans="1:8" x14ac:dyDescent="0.25">
      <c r="A251" t="s">
        <v>987</v>
      </c>
      <c r="B251" t="s">
        <v>1361</v>
      </c>
      <c r="C251" t="s">
        <v>1362</v>
      </c>
      <c r="D251" t="s">
        <v>1350</v>
      </c>
      <c r="E251" t="s">
        <v>1068</v>
      </c>
      <c r="F251" t="s">
        <v>1542</v>
      </c>
      <c r="G251" t="s">
        <v>1084</v>
      </c>
      <c r="H251">
        <v>2</v>
      </c>
    </row>
    <row r="252" spans="1:8" x14ac:dyDescent="0.25">
      <c r="A252" t="s">
        <v>987</v>
      </c>
      <c r="B252" t="s">
        <v>1363</v>
      </c>
      <c r="C252" t="s">
        <v>1364</v>
      </c>
      <c r="D252" t="s">
        <v>1350</v>
      </c>
      <c r="E252" t="s">
        <v>1068</v>
      </c>
      <c r="F252" t="s">
        <v>1542</v>
      </c>
      <c r="G252" t="s">
        <v>1177</v>
      </c>
      <c r="H252">
        <v>100</v>
      </c>
    </row>
    <row r="253" spans="1:8" x14ac:dyDescent="0.25">
      <c r="A253" t="s">
        <v>987</v>
      </c>
      <c r="B253" t="s">
        <v>1365</v>
      </c>
      <c r="C253" t="s">
        <v>1366</v>
      </c>
      <c r="D253" t="s">
        <v>1350</v>
      </c>
      <c r="E253" t="s">
        <v>1068</v>
      </c>
      <c r="F253" t="s">
        <v>1542</v>
      </c>
      <c r="G253" t="s">
        <v>1177</v>
      </c>
      <c r="H253">
        <v>100</v>
      </c>
    </row>
    <row r="254" spans="1:8" x14ac:dyDescent="0.25">
      <c r="A254" t="s">
        <v>987</v>
      </c>
      <c r="B254" t="s">
        <v>1367</v>
      </c>
      <c r="C254" t="s">
        <v>1368</v>
      </c>
      <c r="D254" t="s">
        <v>1350</v>
      </c>
      <c r="E254" t="s">
        <v>1068</v>
      </c>
      <c r="F254" t="s">
        <v>1542</v>
      </c>
      <c r="G254" t="s">
        <v>1177</v>
      </c>
      <c r="H254">
        <v>80</v>
      </c>
    </row>
    <row r="255" spans="1:8" x14ac:dyDescent="0.25">
      <c r="A255" t="s">
        <v>987</v>
      </c>
      <c r="B255" t="s">
        <v>1369</v>
      </c>
      <c r="C255" t="s">
        <v>1370</v>
      </c>
      <c r="D255" t="s">
        <v>1350</v>
      </c>
      <c r="E255" t="s">
        <v>1068</v>
      </c>
      <c r="F255" t="s">
        <v>1542</v>
      </c>
      <c r="G255" t="s">
        <v>1177</v>
      </c>
      <c r="H255">
        <v>90</v>
      </c>
    </row>
    <row r="256" spans="1:8" x14ac:dyDescent="0.25">
      <c r="A256" t="s">
        <v>987</v>
      </c>
      <c r="B256" t="s">
        <v>1371</v>
      </c>
      <c r="C256" t="s">
        <v>1372</v>
      </c>
      <c r="D256" t="s">
        <v>1350</v>
      </c>
      <c r="E256" t="s">
        <v>1068</v>
      </c>
      <c r="F256" t="s">
        <v>1542</v>
      </c>
      <c r="G256" t="s">
        <v>1177</v>
      </c>
      <c r="H256">
        <v>120</v>
      </c>
    </row>
    <row r="257" spans="1:8" x14ac:dyDescent="0.25">
      <c r="A257" t="s">
        <v>987</v>
      </c>
      <c r="B257" t="s">
        <v>1373</v>
      </c>
      <c r="C257" t="s">
        <v>1374</v>
      </c>
      <c r="D257" t="s">
        <v>1350</v>
      </c>
      <c r="E257" t="s">
        <v>1068</v>
      </c>
      <c r="F257" t="s">
        <v>1542</v>
      </c>
      <c r="G257" t="s">
        <v>1177</v>
      </c>
      <c r="H257">
        <v>400</v>
      </c>
    </row>
    <row r="258" spans="1:8" x14ac:dyDescent="0.25">
      <c r="A258" t="s">
        <v>987</v>
      </c>
      <c r="B258" t="s">
        <v>1375</v>
      </c>
      <c r="C258" t="s">
        <v>1376</v>
      </c>
      <c r="D258" t="s">
        <v>1350</v>
      </c>
      <c r="E258" t="s">
        <v>1068</v>
      </c>
      <c r="F258" t="s">
        <v>1542</v>
      </c>
      <c r="G258" t="s">
        <v>1177</v>
      </c>
      <c r="H258">
        <v>80</v>
      </c>
    </row>
    <row r="259" spans="1:8" x14ac:dyDescent="0.25">
      <c r="A259" t="s">
        <v>987</v>
      </c>
      <c r="B259" t="s">
        <v>1377</v>
      </c>
      <c r="C259" t="s">
        <v>1378</v>
      </c>
      <c r="D259" t="s">
        <v>1350</v>
      </c>
      <c r="E259" t="s">
        <v>1068</v>
      </c>
      <c r="F259" t="s">
        <v>1542</v>
      </c>
      <c r="G259" t="s">
        <v>1177</v>
      </c>
      <c r="H259">
        <v>25</v>
      </c>
    </row>
    <row r="260" spans="1:8" x14ac:dyDescent="0.25">
      <c r="A260" t="s">
        <v>987</v>
      </c>
      <c r="B260" t="s">
        <v>1379</v>
      </c>
      <c r="C260" t="s">
        <v>1380</v>
      </c>
      <c r="D260" t="s">
        <v>1350</v>
      </c>
      <c r="E260" t="s">
        <v>1068</v>
      </c>
      <c r="F260" t="s">
        <v>1542</v>
      </c>
      <c r="G260" t="s">
        <v>1177</v>
      </c>
      <c r="H260">
        <v>10</v>
      </c>
    </row>
    <row r="261" spans="1:8" x14ac:dyDescent="0.25">
      <c r="A261" t="s">
        <v>987</v>
      </c>
      <c r="B261" t="s">
        <v>1381</v>
      </c>
      <c r="C261" t="s">
        <v>1382</v>
      </c>
      <c r="D261" t="s">
        <v>1350</v>
      </c>
      <c r="E261" t="s">
        <v>1068</v>
      </c>
      <c r="F261" t="s">
        <v>1542</v>
      </c>
      <c r="G261" t="s">
        <v>1177</v>
      </c>
      <c r="H261">
        <v>50</v>
      </c>
    </row>
    <row r="262" spans="1:8" x14ac:dyDescent="0.25">
      <c r="A262" t="s">
        <v>987</v>
      </c>
      <c r="B262" t="s">
        <v>1383</v>
      </c>
      <c r="C262" t="s">
        <v>1384</v>
      </c>
      <c r="D262" t="s">
        <v>1350</v>
      </c>
      <c r="E262" t="s">
        <v>1068</v>
      </c>
      <c r="F262" t="s">
        <v>1542</v>
      </c>
      <c r="G262" t="s">
        <v>1177</v>
      </c>
      <c r="H262">
        <v>50</v>
      </c>
    </row>
    <row r="263" spans="1:8" x14ac:dyDescent="0.25">
      <c r="A263" t="s">
        <v>987</v>
      </c>
      <c r="B263" t="s">
        <v>1385</v>
      </c>
      <c r="C263" t="s">
        <v>1386</v>
      </c>
      <c r="D263" t="s">
        <v>1350</v>
      </c>
      <c r="E263" t="s">
        <v>1068</v>
      </c>
      <c r="F263" t="s">
        <v>1542</v>
      </c>
      <c r="G263" t="s">
        <v>1177</v>
      </c>
      <c r="H263">
        <v>150</v>
      </c>
    </row>
    <row r="264" spans="1:8" x14ac:dyDescent="0.25">
      <c r="A264" t="s">
        <v>987</v>
      </c>
      <c r="B264" t="s">
        <v>1387</v>
      </c>
      <c r="C264" t="s">
        <v>1388</v>
      </c>
      <c r="D264" t="s">
        <v>1350</v>
      </c>
      <c r="E264" t="s">
        <v>1068</v>
      </c>
      <c r="F264" t="s">
        <v>1542</v>
      </c>
      <c r="G264" t="s">
        <v>1177</v>
      </c>
      <c r="H264">
        <v>40</v>
      </c>
    </row>
    <row r="265" spans="1:8" x14ac:dyDescent="0.25">
      <c r="A265" t="s">
        <v>987</v>
      </c>
      <c r="B265" t="s">
        <v>1389</v>
      </c>
      <c r="C265" t="s">
        <v>1390</v>
      </c>
      <c r="D265" t="s">
        <v>1350</v>
      </c>
      <c r="E265" t="s">
        <v>1068</v>
      </c>
      <c r="F265" t="s">
        <v>1542</v>
      </c>
      <c r="G265" t="s">
        <v>1177</v>
      </c>
      <c r="H265">
        <v>150</v>
      </c>
    </row>
    <row r="266" spans="1:8" x14ac:dyDescent="0.25">
      <c r="A266" t="s">
        <v>987</v>
      </c>
      <c r="B266" t="s">
        <v>1391</v>
      </c>
      <c r="C266" t="s">
        <v>1392</v>
      </c>
      <c r="D266" t="s">
        <v>1350</v>
      </c>
      <c r="E266" t="s">
        <v>1068</v>
      </c>
      <c r="F266" t="s">
        <v>1542</v>
      </c>
      <c r="G266" t="s">
        <v>1177</v>
      </c>
      <c r="H266">
        <v>150</v>
      </c>
    </row>
    <row r="267" spans="1:8" x14ac:dyDescent="0.25">
      <c r="A267" t="s">
        <v>987</v>
      </c>
      <c r="B267" t="s">
        <v>1393</v>
      </c>
      <c r="C267" t="s">
        <v>1394</v>
      </c>
      <c r="D267" t="s">
        <v>1350</v>
      </c>
      <c r="E267" t="s">
        <v>1068</v>
      </c>
      <c r="F267" t="s">
        <v>1542</v>
      </c>
      <c r="G267" t="s">
        <v>1177</v>
      </c>
      <c r="H267">
        <v>60</v>
      </c>
    </row>
    <row r="268" spans="1:8" x14ac:dyDescent="0.25">
      <c r="A268" t="s">
        <v>987</v>
      </c>
      <c r="B268" t="s">
        <v>1395</v>
      </c>
      <c r="C268" t="s">
        <v>1396</v>
      </c>
      <c r="D268" t="s">
        <v>1350</v>
      </c>
      <c r="E268" t="s">
        <v>1068</v>
      </c>
      <c r="F268" t="s">
        <v>1542</v>
      </c>
      <c r="G268" t="s">
        <v>1177</v>
      </c>
      <c r="H268">
        <v>60</v>
      </c>
    </row>
    <row r="269" spans="1:8" x14ac:dyDescent="0.25">
      <c r="A269" t="s">
        <v>987</v>
      </c>
      <c r="B269" t="s">
        <v>1397</v>
      </c>
      <c r="C269" t="s">
        <v>1398</v>
      </c>
      <c r="D269" t="s">
        <v>1350</v>
      </c>
      <c r="E269" t="s">
        <v>1068</v>
      </c>
      <c r="F269" t="s">
        <v>1542</v>
      </c>
      <c r="G269" t="s">
        <v>1084</v>
      </c>
      <c r="H269">
        <v>35</v>
      </c>
    </row>
    <row r="270" spans="1:8" x14ac:dyDescent="0.25">
      <c r="A270" t="s">
        <v>987</v>
      </c>
      <c r="B270" t="s">
        <v>1399</v>
      </c>
      <c r="C270" t="s">
        <v>1400</v>
      </c>
      <c r="D270" t="s">
        <v>1350</v>
      </c>
      <c r="E270" t="s">
        <v>1068</v>
      </c>
      <c r="F270" t="s">
        <v>1542</v>
      </c>
      <c r="G270" t="s">
        <v>1084</v>
      </c>
      <c r="H270">
        <v>1</v>
      </c>
    </row>
    <row r="271" spans="1:8" x14ac:dyDescent="0.25">
      <c r="A271" t="s">
        <v>987</v>
      </c>
      <c r="B271" t="s">
        <v>1403</v>
      </c>
      <c r="C271" t="s">
        <v>1404</v>
      </c>
      <c r="D271" t="s">
        <v>1350</v>
      </c>
      <c r="E271" t="s">
        <v>1068</v>
      </c>
      <c r="F271" t="s">
        <v>1542</v>
      </c>
      <c r="G271" t="s">
        <v>1084</v>
      </c>
      <c r="H271">
        <v>5</v>
      </c>
    </row>
    <row r="272" spans="1:8" x14ac:dyDescent="0.25">
      <c r="A272" t="s">
        <v>987</v>
      </c>
      <c r="B272" t="s">
        <v>1405</v>
      </c>
      <c r="C272" t="s">
        <v>1406</v>
      </c>
      <c r="D272" t="s">
        <v>1350</v>
      </c>
      <c r="E272" t="s">
        <v>1068</v>
      </c>
      <c r="F272" t="s">
        <v>1542</v>
      </c>
      <c r="G272" t="s">
        <v>1084</v>
      </c>
      <c r="H272">
        <v>15</v>
      </c>
    </row>
    <row r="273" spans="1:8" x14ac:dyDescent="0.25">
      <c r="A273" t="s">
        <v>987</v>
      </c>
      <c r="B273" t="s">
        <v>1407</v>
      </c>
      <c r="C273" t="s">
        <v>1408</v>
      </c>
      <c r="D273" t="s">
        <v>1350</v>
      </c>
      <c r="E273" t="s">
        <v>1068</v>
      </c>
      <c r="F273" t="s">
        <v>1542</v>
      </c>
      <c r="G273" t="s">
        <v>1084</v>
      </c>
      <c r="H273">
        <v>1</v>
      </c>
    </row>
    <row r="274" spans="1:8" x14ac:dyDescent="0.25">
      <c r="A274" t="s">
        <v>987</v>
      </c>
      <c r="B274" t="s">
        <v>1409</v>
      </c>
      <c r="C274" t="s">
        <v>1410</v>
      </c>
      <c r="D274" t="s">
        <v>1350</v>
      </c>
      <c r="E274" t="s">
        <v>1068</v>
      </c>
      <c r="F274" t="s">
        <v>1542</v>
      </c>
      <c r="G274" t="s">
        <v>1084</v>
      </c>
      <c r="H274">
        <v>1</v>
      </c>
    </row>
    <row r="275" spans="1:8" x14ac:dyDescent="0.25">
      <c r="A275" t="s">
        <v>987</v>
      </c>
      <c r="B275" t="s">
        <v>1411</v>
      </c>
      <c r="C275" t="s">
        <v>1410</v>
      </c>
      <c r="D275" t="s">
        <v>1350</v>
      </c>
      <c r="E275" t="s">
        <v>1068</v>
      </c>
      <c r="F275" t="s">
        <v>1542</v>
      </c>
      <c r="G275" t="s">
        <v>1084</v>
      </c>
      <c r="H275">
        <v>1</v>
      </c>
    </row>
    <row r="276" spans="1:8" x14ac:dyDescent="0.25">
      <c r="A276" t="s">
        <v>987</v>
      </c>
      <c r="B276" t="s">
        <v>1412</v>
      </c>
      <c r="C276" t="s">
        <v>1413</v>
      </c>
      <c r="D276" t="s">
        <v>1350</v>
      </c>
      <c r="E276" t="s">
        <v>1068</v>
      </c>
      <c r="F276" t="s">
        <v>1542</v>
      </c>
      <c r="G276" t="s">
        <v>1084</v>
      </c>
      <c r="H276">
        <v>6</v>
      </c>
    </row>
    <row r="277" spans="1:8" x14ac:dyDescent="0.25">
      <c r="A277" t="s">
        <v>987</v>
      </c>
      <c r="B277" t="s">
        <v>1414</v>
      </c>
      <c r="C277" t="s">
        <v>1413</v>
      </c>
      <c r="D277" t="s">
        <v>1350</v>
      </c>
      <c r="E277" t="s">
        <v>1068</v>
      </c>
      <c r="F277" t="s">
        <v>1542</v>
      </c>
      <c r="G277" t="s">
        <v>1084</v>
      </c>
      <c r="H277">
        <v>5</v>
      </c>
    </row>
    <row r="278" spans="1:8" x14ac:dyDescent="0.25">
      <c r="A278" t="s">
        <v>987</v>
      </c>
      <c r="B278" t="s">
        <v>1415</v>
      </c>
      <c r="C278" t="s">
        <v>1416</v>
      </c>
      <c r="D278" t="s">
        <v>1350</v>
      </c>
      <c r="E278" t="s">
        <v>1068</v>
      </c>
      <c r="F278" t="s">
        <v>1542</v>
      </c>
      <c r="G278" t="s">
        <v>1177</v>
      </c>
      <c r="H278">
        <v>50</v>
      </c>
    </row>
    <row r="279" spans="1:8" x14ac:dyDescent="0.25">
      <c r="A279" t="s">
        <v>987</v>
      </c>
      <c r="B279" t="s">
        <v>1417</v>
      </c>
      <c r="C279" t="s">
        <v>1418</v>
      </c>
      <c r="D279" t="s">
        <v>1350</v>
      </c>
      <c r="E279" t="s">
        <v>1068</v>
      </c>
      <c r="F279" t="s">
        <v>1542</v>
      </c>
      <c r="G279" t="s">
        <v>1177</v>
      </c>
      <c r="H279">
        <v>80</v>
      </c>
    </row>
    <row r="280" spans="1:8" x14ac:dyDescent="0.25">
      <c r="A280" t="s">
        <v>987</v>
      </c>
      <c r="B280" t="s">
        <v>1419</v>
      </c>
      <c r="C280" t="s">
        <v>1420</v>
      </c>
      <c r="D280" t="s">
        <v>1350</v>
      </c>
      <c r="E280" t="s">
        <v>1068</v>
      </c>
      <c r="F280" t="s">
        <v>1542</v>
      </c>
      <c r="G280" t="s">
        <v>1177</v>
      </c>
      <c r="H280">
        <v>30</v>
      </c>
    </row>
    <row r="281" spans="1:8" x14ac:dyDescent="0.25">
      <c r="A281" t="s">
        <v>987</v>
      </c>
      <c r="B281" t="s">
        <v>1421</v>
      </c>
      <c r="C281" t="s">
        <v>1422</v>
      </c>
      <c r="D281" t="s">
        <v>1423</v>
      </c>
      <c r="E281" t="s">
        <v>1068</v>
      </c>
      <c r="F281" t="s">
        <v>1727</v>
      </c>
      <c r="G281" t="s">
        <v>1110</v>
      </c>
      <c r="H281">
        <v>559</v>
      </c>
    </row>
    <row r="282" spans="1:8" x14ac:dyDescent="0.25">
      <c r="A282" t="s">
        <v>987</v>
      </c>
      <c r="B282" t="s">
        <v>1424</v>
      </c>
      <c r="C282" t="s">
        <v>1425</v>
      </c>
      <c r="D282" t="s">
        <v>1423</v>
      </c>
      <c r="E282" t="s">
        <v>1068</v>
      </c>
      <c r="F282" t="s">
        <v>1729</v>
      </c>
      <c r="G282" t="s">
        <v>1110</v>
      </c>
      <c r="H282">
        <v>60.74</v>
      </c>
    </row>
    <row r="283" spans="1:8" x14ac:dyDescent="0.25">
      <c r="A283" t="s">
        <v>987</v>
      </c>
      <c r="B283" t="s">
        <v>1426</v>
      </c>
      <c r="C283" t="s">
        <v>1427</v>
      </c>
      <c r="D283" t="s">
        <v>1423</v>
      </c>
      <c r="E283" t="s">
        <v>1068</v>
      </c>
      <c r="F283" t="s">
        <v>1762</v>
      </c>
      <c r="G283" t="s">
        <v>1110</v>
      </c>
      <c r="H283">
        <v>182</v>
      </c>
    </row>
    <row r="284" spans="1:8" x14ac:dyDescent="0.25">
      <c r="A284" t="s">
        <v>987</v>
      </c>
      <c r="B284" t="s">
        <v>1428</v>
      </c>
      <c r="C284" t="s">
        <v>1429</v>
      </c>
      <c r="D284" t="s">
        <v>1423</v>
      </c>
      <c r="E284" t="s">
        <v>1068</v>
      </c>
      <c r="F284" t="s">
        <v>1762</v>
      </c>
      <c r="G284" t="s">
        <v>1177</v>
      </c>
      <c r="H284">
        <v>172.84</v>
      </c>
    </row>
    <row r="285" spans="1:8" x14ac:dyDescent="0.25">
      <c r="A285" t="s">
        <v>987</v>
      </c>
      <c r="B285" t="s">
        <v>1426</v>
      </c>
      <c r="C285" t="s">
        <v>1427</v>
      </c>
      <c r="D285" t="s">
        <v>1423</v>
      </c>
      <c r="E285" t="s">
        <v>1068</v>
      </c>
      <c r="F285" t="s">
        <v>1765</v>
      </c>
      <c r="G285" t="s">
        <v>1110</v>
      </c>
      <c r="H285">
        <v>182</v>
      </c>
    </row>
    <row r="286" spans="1:8" x14ac:dyDescent="0.25">
      <c r="A286" t="s">
        <v>987</v>
      </c>
      <c r="B286" t="s">
        <v>1428</v>
      </c>
      <c r="C286" t="s">
        <v>1429</v>
      </c>
      <c r="D286" t="s">
        <v>1423</v>
      </c>
      <c r="E286" t="s">
        <v>1068</v>
      </c>
      <c r="F286" t="s">
        <v>1765</v>
      </c>
      <c r="G286" t="s">
        <v>1177</v>
      </c>
      <c r="H286">
        <v>172.84</v>
      </c>
    </row>
    <row r="287" spans="1:8" x14ac:dyDescent="0.25">
      <c r="A287" t="s">
        <v>987</v>
      </c>
      <c r="B287" t="s">
        <v>1430</v>
      </c>
      <c r="C287" t="s">
        <v>1431</v>
      </c>
      <c r="D287" t="s">
        <v>1432</v>
      </c>
      <c r="E287" t="s">
        <v>1068</v>
      </c>
      <c r="F287" t="s">
        <v>1542</v>
      </c>
      <c r="G287" t="s">
        <v>1084</v>
      </c>
      <c r="H287">
        <v>1</v>
      </c>
    </row>
    <row r="288" spans="1:8" x14ac:dyDescent="0.25">
      <c r="A288" t="s">
        <v>987</v>
      </c>
      <c r="B288" t="s">
        <v>1433</v>
      </c>
      <c r="C288" t="s">
        <v>1434</v>
      </c>
      <c r="D288" t="s">
        <v>1435</v>
      </c>
      <c r="E288" t="s">
        <v>1068</v>
      </c>
      <c r="F288" t="s">
        <v>1542</v>
      </c>
      <c r="G288" t="s">
        <v>1110</v>
      </c>
      <c r="H288">
        <v>190</v>
      </c>
    </row>
    <row r="289" spans="1:8" x14ac:dyDescent="0.25">
      <c r="A289" t="s">
        <v>987</v>
      </c>
      <c r="B289" t="s">
        <v>1433</v>
      </c>
      <c r="C289" t="s">
        <v>1434</v>
      </c>
      <c r="D289" t="s">
        <v>1435</v>
      </c>
      <c r="E289" t="s">
        <v>1070</v>
      </c>
      <c r="F289" t="s">
        <v>1542</v>
      </c>
      <c r="G289" t="s">
        <v>1110</v>
      </c>
      <c r="H289">
        <v>233.97</v>
      </c>
    </row>
    <row r="290" spans="1:8" x14ac:dyDescent="0.25">
      <c r="A290" t="s">
        <v>987</v>
      </c>
      <c r="B290" t="s">
        <v>1436</v>
      </c>
      <c r="C290" t="s">
        <v>1437</v>
      </c>
      <c r="D290" t="s">
        <v>1438</v>
      </c>
      <c r="E290" t="s">
        <v>1068</v>
      </c>
      <c r="F290" t="s">
        <v>1727</v>
      </c>
      <c r="G290" t="s">
        <v>1110</v>
      </c>
      <c r="H290">
        <v>1701</v>
      </c>
    </row>
    <row r="291" spans="1:8" x14ac:dyDescent="0.25">
      <c r="A291" t="s">
        <v>987</v>
      </c>
      <c r="B291" t="s">
        <v>1439</v>
      </c>
      <c r="C291" t="s">
        <v>1440</v>
      </c>
      <c r="D291" t="s">
        <v>1438</v>
      </c>
      <c r="E291" t="s">
        <v>1068</v>
      </c>
      <c r="F291" t="s">
        <v>1727</v>
      </c>
      <c r="G291" t="s">
        <v>1110</v>
      </c>
      <c r="H291">
        <v>1701</v>
      </c>
    </row>
    <row r="292" spans="1:8" x14ac:dyDescent="0.25">
      <c r="A292" t="s">
        <v>987</v>
      </c>
      <c r="B292" t="s">
        <v>1441</v>
      </c>
      <c r="C292" t="s">
        <v>1437</v>
      </c>
      <c r="D292" t="s">
        <v>1438</v>
      </c>
      <c r="E292" t="s">
        <v>1068</v>
      </c>
      <c r="F292" t="s">
        <v>1727</v>
      </c>
      <c r="G292" t="s">
        <v>1110</v>
      </c>
      <c r="H292">
        <v>210</v>
      </c>
    </row>
    <row r="293" spans="1:8" x14ac:dyDescent="0.25">
      <c r="A293" t="s">
        <v>987</v>
      </c>
      <c r="B293" t="s">
        <v>1442</v>
      </c>
      <c r="C293" t="s">
        <v>1440</v>
      </c>
      <c r="D293" t="s">
        <v>1438</v>
      </c>
      <c r="E293" t="s">
        <v>1068</v>
      </c>
      <c r="F293" t="s">
        <v>1727</v>
      </c>
      <c r="G293" t="s">
        <v>1110</v>
      </c>
      <c r="H293">
        <v>210</v>
      </c>
    </row>
    <row r="294" spans="1:8" x14ac:dyDescent="0.25">
      <c r="A294" t="s">
        <v>987</v>
      </c>
      <c r="B294" t="s">
        <v>1436</v>
      </c>
      <c r="C294" t="s">
        <v>1437</v>
      </c>
      <c r="D294" t="s">
        <v>1438</v>
      </c>
      <c r="E294" t="s">
        <v>1068</v>
      </c>
      <c r="F294" t="s">
        <v>1729</v>
      </c>
      <c r="G294" t="s">
        <v>1110</v>
      </c>
      <c r="H294">
        <v>1649</v>
      </c>
    </row>
    <row r="295" spans="1:8" x14ac:dyDescent="0.25">
      <c r="A295" t="s">
        <v>987</v>
      </c>
      <c r="B295" t="s">
        <v>1439</v>
      </c>
      <c r="C295" t="s">
        <v>1440</v>
      </c>
      <c r="D295" t="s">
        <v>1438</v>
      </c>
      <c r="E295" t="s">
        <v>1068</v>
      </c>
      <c r="F295" t="s">
        <v>1729</v>
      </c>
      <c r="G295" t="s">
        <v>1110</v>
      </c>
      <c r="H295">
        <v>1649</v>
      </c>
    </row>
    <row r="296" spans="1:8" x14ac:dyDescent="0.25">
      <c r="A296" t="s">
        <v>987</v>
      </c>
      <c r="B296" t="s">
        <v>1441</v>
      </c>
      <c r="C296" t="s">
        <v>1437</v>
      </c>
      <c r="D296" t="s">
        <v>1438</v>
      </c>
      <c r="E296" t="s">
        <v>1068</v>
      </c>
      <c r="F296" t="s">
        <v>1729</v>
      </c>
      <c r="G296" t="s">
        <v>1110</v>
      </c>
      <c r="H296">
        <v>804</v>
      </c>
    </row>
    <row r="297" spans="1:8" x14ac:dyDescent="0.25">
      <c r="A297" t="s">
        <v>987</v>
      </c>
      <c r="B297" t="s">
        <v>1442</v>
      </c>
      <c r="C297" t="s">
        <v>1440</v>
      </c>
      <c r="D297" t="s">
        <v>1438</v>
      </c>
      <c r="E297" t="s">
        <v>1068</v>
      </c>
      <c r="F297" t="s">
        <v>1729</v>
      </c>
      <c r="G297" t="s">
        <v>1110</v>
      </c>
      <c r="H297">
        <v>804</v>
      </c>
    </row>
    <row r="298" spans="1:8" x14ac:dyDescent="0.25">
      <c r="A298" t="s">
        <v>987</v>
      </c>
      <c r="B298" t="s">
        <v>1436</v>
      </c>
      <c r="C298" t="s">
        <v>1437</v>
      </c>
      <c r="D298" t="s">
        <v>1438</v>
      </c>
      <c r="E298" t="s">
        <v>1068</v>
      </c>
      <c r="F298" t="s">
        <v>1762</v>
      </c>
      <c r="G298" t="s">
        <v>1110</v>
      </c>
      <c r="H298">
        <v>415.08</v>
      </c>
    </row>
    <row r="299" spans="1:8" x14ac:dyDescent="0.25">
      <c r="A299" t="s">
        <v>987</v>
      </c>
      <c r="B299" t="s">
        <v>1439</v>
      </c>
      <c r="C299" t="s">
        <v>1440</v>
      </c>
      <c r="D299" t="s">
        <v>1438</v>
      </c>
      <c r="E299" t="s">
        <v>1068</v>
      </c>
      <c r="F299" t="s">
        <v>1762</v>
      </c>
      <c r="G299" t="s">
        <v>1110</v>
      </c>
      <c r="H299">
        <v>415.08</v>
      </c>
    </row>
    <row r="300" spans="1:8" x14ac:dyDescent="0.25">
      <c r="A300" t="s">
        <v>987</v>
      </c>
      <c r="B300" t="s">
        <v>1441</v>
      </c>
      <c r="C300" t="s">
        <v>1437</v>
      </c>
      <c r="D300" t="s">
        <v>1438</v>
      </c>
      <c r="E300" t="s">
        <v>1068</v>
      </c>
      <c r="F300" t="s">
        <v>1762</v>
      </c>
      <c r="G300" t="s">
        <v>1110</v>
      </c>
      <c r="H300">
        <v>182</v>
      </c>
    </row>
    <row r="301" spans="1:8" x14ac:dyDescent="0.25">
      <c r="A301" t="s">
        <v>987</v>
      </c>
      <c r="B301" t="s">
        <v>1442</v>
      </c>
      <c r="C301" t="s">
        <v>1440</v>
      </c>
      <c r="D301" t="s">
        <v>1438</v>
      </c>
      <c r="E301" t="s">
        <v>1068</v>
      </c>
      <c r="F301" t="s">
        <v>1762</v>
      </c>
      <c r="G301" t="s">
        <v>1110</v>
      </c>
      <c r="H301">
        <v>182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1160-5089-4547-BB33-E609CF33F48B}">
  <sheetPr>
    <tabColor theme="5" tint="-0.249977111117893"/>
  </sheetPr>
  <dimension ref="A1:I302"/>
  <sheetViews>
    <sheetView topLeftCell="A61" workbookViewId="0">
      <selection activeCell="E21" sqref="E21"/>
    </sheetView>
  </sheetViews>
  <sheetFormatPr baseColWidth="10" defaultRowHeight="15" x14ac:dyDescent="0.25"/>
  <cols>
    <col min="1" max="1" width="19.42578125" style="1" bestFit="1" customWidth="1"/>
    <col min="2" max="2" width="43.140625" style="1" bestFit="1" customWidth="1"/>
    <col min="3" max="3" width="81.140625" style="1" bestFit="1" customWidth="1"/>
    <col min="4" max="4" width="7.28515625" style="1" bestFit="1" customWidth="1"/>
    <col min="5" max="5" width="15.42578125" style="1" bestFit="1" customWidth="1"/>
    <col min="6" max="6" width="13.140625" style="1" bestFit="1" customWidth="1"/>
    <col min="7" max="7" width="10.28515625" style="1" bestFit="1" customWidth="1"/>
    <col min="8" max="8" width="7" style="1" bestFit="1" customWidth="1"/>
    <col min="9" max="9" width="12.7109375" style="1" bestFit="1" customWidth="1"/>
    <col min="10" max="16384" width="11.42578125" style="1"/>
  </cols>
  <sheetData>
    <row r="1" spans="1:9" x14ac:dyDescent="0.25">
      <c r="A1" s="1" t="s">
        <v>979</v>
      </c>
      <c r="B1" s="1" t="s">
        <v>1072</v>
      </c>
      <c r="C1" s="1" t="s">
        <v>1073</v>
      </c>
      <c r="D1" s="1" t="s">
        <v>1074</v>
      </c>
      <c r="E1" s="1" t="s">
        <v>1066</v>
      </c>
      <c r="F1" s="1" t="s">
        <v>1538</v>
      </c>
      <c r="G1" s="1" t="s">
        <v>1075</v>
      </c>
      <c r="H1" s="1" t="s">
        <v>1539</v>
      </c>
      <c r="I1" s="1" t="s">
        <v>1540</v>
      </c>
    </row>
    <row r="2" spans="1:9" x14ac:dyDescent="0.25">
      <c r="A2" s="1" t="s">
        <v>1725</v>
      </c>
      <c r="B2" s="1" t="s">
        <v>1081</v>
      </c>
      <c r="C2" s="1" t="s">
        <v>1082</v>
      </c>
      <c r="D2" s="1" t="s">
        <v>1083</v>
      </c>
      <c r="E2" s="1" t="s">
        <v>1726</v>
      </c>
      <c r="F2" s="1" t="s">
        <v>1542</v>
      </c>
      <c r="G2" s="1" t="s">
        <v>1084</v>
      </c>
      <c r="H2" s="1">
        <v>1</v>
      </c>
      <c r="I2" s="78">
        <v>46084</v>
      </c>
    </row>
    <row r="3" spans="1:9" x14ac:dyDescent="0.25">
      <c r="A3" s="1" t="s">
        <v>1725</v>
      </c>
      <c r="B3" s="1" t="s">
        <v>1088</v>
      </c>
      <c r="C3" s="1" t="s">
        <v>1089</v>
      </c>
      <c r="D3" s="1" t="s">
        <v>1083</v>
      </c>
      <c r="E3" s="1" t="s">
        <v>1726</v>
      </c>
      <c r="F3" s="1" t="s">
        <v>1542</v>
      </c>
      <c r="G3" s="1" t="s">
        <v>1084</v>
      </c>
      <c r="H3" s="1">
        <v>1</v>
      </c>
      <c r="I3" s="78">
        <v>46084</v>
      </c>
    </row>
    <row r="4" spans="1:9" x14ac:dyDescent="0.25">
      <c r="A4" s="1" t="s">
        <v>1725</v>
      </c>
      <c r="B4" s="1" t="s">
        <v>1090</v>
      </c>
      <c r="C4" s="1" t="s">
        <v>1091</v>
      </c>
      <c r="D4" s="1" t="s">
        <v>1083</v>
      </c>
      <c r="E4" s="1" t="s">
        <v>1726</v>
      </c>
      <c r="F4" s="1" t="s">
        <v>1542</v>
      </c>
      <c r="G4" s="1" t="s">
        <v>1084</v>
      </c>
      <c r="H4" s="1">
        <v>1</v>
      </c>
      <c r="I4" s="78">
        <v>46084</v>
      </c>
    </row>
    <row r="5" spans="1:9" x14ac:dyDescent="0.25">
      <c r="A5" s="1" t="s">
        <v>1725</v>
      </c>
      <c r="B5" s="1" t="s">
        <v>1092</v>
      </c>
      <c r="C5" s="1" t="s">
        <v>1093</v>
      </c>
      <c r="D5" s="1" t="s">
        <v>1083</v>
      </c>
      <c r="E5" s="1" t="s">
        <v>1726</v>
      </c>
      <c r="F5" s="1" t="s">
        <v>1542</v>
      </c>
      <c r="G5" s="1" t="s">
        <v>1084</v>
      </c>
      <c r="H5" s="1">
        <v>1</v>
      </c>
      <c r="I5" s="78">
        <v>46084</v>
      </c>
    </row>
    <row r="6" spans="1:9" x14ac:dyDescent="0.25">
      <c r="A6" s="1" t="s">
        <v>1725</v>
      </c>
      <c r="B6" s="1" t="s">
        <v>1094</v>
      </c>
      <c r="C6" s="1" t="s">
        <v>1095</v>
      </c>
      <c r="D6" s="1" t="s">
        <v>1083</v>
      </c>
      <c r="E6" s="1" t="s">
        <v>1726</v>
      </c>
      <c r="F6" s="1" t="s">
        <v>1542</v>
      </c>
      <c r="G6" s="1" t="s">
        <v>1084</v>
      </c>
      <c r="H6" s="1">
        <v>1</v>
      </c>
      <c r="I6" s="78">
        <v>46084</v>
      </c>
    </row>
    <row r="7" spans="1:9" x14ac:dyDescent="0.25">
      <c r="A7" s="1" t="s">
        <v>1725</v>
      </c>
      <c r="B7" s="1" t="s">
        <v>1096</v>
      </c>
      <c r="C7" s="1" t="s">
        <v>1097</v>
      </c>
      <c r="D7" s="1" t="s">
        <v>1083</v>
      </c>
      <c r="E7" s="1" t="s">
        <v>1726</v>
      </c>
      <c r="F7" s="1" t="s">
        <v>1542</v>
      </c>
      <c r="G7" s="1" t="s">
        <v>1084</v>
      </c>
      <c r="H7" s="1">
        <v>1</v>
      </c>
      <c r="I7" s="78">
        <v>46084</v>
      </c>
    </row>
    <row r="8" spans="1:9" x14ac:dyDescent="0.25">
      <c r="A8" s="1" t="s">
        <v>1725</v>
      </c>
      <c r="B8" s="1" t="s">
        <v>1098</v>
      </c>
      <c r="C8" s="1" t="s">
        <v>1099</v>
      </c>
      <c r="D8" s="1" t="s">
        <v>1083</v>
      </c>
      <c r="E8" s="1" t="s">
        <v>1726</v>
      </c>
      <c r="F8" s="1" t="s">
        <v>1542</v>
      </c>
      <c r="G8" s="1" t="s">
        <v>1084</v>
      </c>
      <c r="H8" s="1">
        <v>1</v>
      </c>
      <c r="I8" s="78">
        <v>46084</v>
      </c>
    </row>
    <row r="9" spans="1:9" x14ac:dyDescent="0.25">
      <c r="A9" s="1" t="s">
        <v>1725</v>
      </c>
      <c r="B9" s="1" t="s">
        <v>1100</v>
      </c>
      <c r="C9" s="1" t="s">
        <v>1101</v>
      </c>
      <c r="D9" s="1" t="s">
        <v>1083</v>
      </c>
      <c r="E9" s="1" t="s">
        <v>1726</v>
      </c>
      <c r="F9" s="1" t="s">
        <v>1727</v>
      </c>
      <c r="G9" s="1" t="s">
        <v>1084</v>
      </c>
      <c r="H9" s="1">
        <v>1</v>
      </c>
      <c r="I9" s="78">
        <v>46084</v>
      </c>
    </row>
    <row r="10" spans="1:9" x14ac:dyDescent="0.25">
      <c r="A10" s="1" t="s">
        <v>1725</v>
      </c>
      <c r="B10" s="1" t="s">
        <v>1102</v>
      </c>
      <c r="C10" s="1" t="s">
        <v>1103</v>
      </c>
      <c r="D10" s="1" t="s">
        <v>1083</v>
      </c>
      <c r="E10" s="1" t="s">
        <v>1728</v>
      </c>
      <c r="F10" s="1" t="s">
        <v>1729</v>
      </c>
      <c r="G10" s="1" t="s">
        <v>1084</v>
      </c>
      <c r="H10" s="1">
        <v>1</v>
      </c>
      <c r="I10" s="78">
        <v>46084</v>
      </c>
    </row>
    <row r="11" spans="1:9" x14ac:dyDescent="0.25">
      <c r="A11" s="1" t="s">
        <v>1725</v>
      </c>
      <c r="B11" s="1" t="s">
        <v>1104</v>
      </c>
      <c r="C11" s="1" t="s">
        <v>1105</v>
      </c>
      <c r="D11" s="1" t="s">
        <v>1083</v>
      </c>
      <c r="E11" s="1" t="s">
        <v>1726</v>
      </c>
      <c r="F11" s="1" t="s">
        <v>1730</v>
      </c>
      <c r="G11" s="1" t="s">
        <v>1084</v>
      </c>
      <c r="H11" s="1">
        <v>1</v>
      </c>
      <c r="I11" s="78">
        <v>46084</v>
      </c>
    </row>
    <row r="12" spans="1:9" x14ac:dyDescent="0.25">
      <c r="A12" s="1" t="s">
        <v>1725</v>
      </c>
      <c r="B12" s="1" t="s">
        <v>1106</v>
      </c>
      <c r="C12" s="1" t="s">
        <v>1107</v>
      </c>
      <c r="D12" s="1" t="s">
        <v>1083</v>
      </c>
      <c r="E12" s="1" t="s">
        <v>1726</v>
      </c>
      <c r="F12" s="1" t="s">
        <v>1542</v>
      </c>
      <c r="G12" s="1" t="s">
        <v>1084</v>
      </c>
      <c r="H12" s="1">
        <v>1</v>
      </c>
      <c r="I12" s="78">
        <v>46084</v>
      </c>
    </row>
    <row r="13" spans="1:9" x14ac:dyDescent="0.25">
      <c r="A13" s="1" t="s">
        <v>1725</v>
      </c>
      <c r="B13" s="1" t="s">
        <v>1108</v>
      </c>
      <c r="C13" s="1" t="s">
        <v>1109</v>
      </c>
      <c r="D13" s="1" t="s">
        <v>1083</v>
      </c>
      <c r="E13" s="1" t="s">
        <v>1726</v>
      </c>
      <c r="F13" s="1" t="s">
        <v>1727</v>
      </c>
      <c r="G13" s="1" t="s">
        <v>1110</v>
      </c>
      <c r="H13" s="1">
        <v>460</v>
      </c>
      <c r="I13" s="78">
        <v>46084</v>
      </c>
    </row>
    <row r="14" spans="1:9" x14ac:dyDescent="0.25">
      <c r="A14" s="1" t="s">
        <v>1725</v>
      </c>
      <c r="B14" s="1" t="s">
        <v>1111</v>
      </c>
      <c r="C14" s="1" t="s">
        <v>1112</v>
      </c>
      <c r="D14" s="1" t="s">
        <v>1083</v>
      </c>
      <c r="E14" s="1" t="s">
        <v>1726</v>
      </c>
      <c r="F14" s="1" t="s">
        <v>1731</v>
      </c>
      <c r="G14" s="1" t="s">
        <v>1113</v>
      </c>
      <c r="H14" s="1">
        <v>3.07</v>
      </c>
      <c r="I14" s="78">
        <v>46084</v>
      </c>
    </row>
    <row r="15" spans="1:9" x14ac:dyDescent="0.25">
      <c r="A15" s="1" t="s">
        <v>1725</v>
      </c>
      <c r="B15" s="1" t="s">
        <v>1114</v>
      </c>
      <c r="C15" s="1" t="s">
        <v>1115</v>
      </c>
      <c r="D15" s="1" t="s">
        <v>1083</v>
      </c>
      <c r="E15" s="1" t="s">
        <v>1726</v>
      </c>
      <c r="F15" s="1" t="s">
        <v>1731</v>
      </c>
      <c r="G15" s="1" t="s">
        <v>1113</v>
      </c>
      <c r="H15" s="1">
        <v>4.3600000000000003</v>
      </c>
      <c r="I15" s="78">
        <v>46084</v>
      </c>
    </row>
    <row r="16" spans="1:9" x14ac:dyDescent="0.25">
      <c r="A16" s="1" t="s">
        <v>1725</v>
      </c>
      <c r="B16" s="1" t="s">
        <v>1116</v>
      </c>
      <c r="C16" s="1" t="s">
        <v>1117</v>
      </c>
      <c r="D16" s="1" t="s">
        <v>1083</v>
      </c>
      <c r="E16" s="1" t="s">
        <v>1726</v>
      </c>
      <c r="F16" s="1" t="s">
        <v>1731</v>
      </c>
      <c r="G16" s="1" t="s">
        <v>1110</v>
      </c>
      <c r="H16" s="1">
        <v>15.84</v>
      </c>
      <c r="I16" s="78">
        <v>46084</v>
      </c>
    </row>
    <row r="17" spans="1:9" x14ac:dyDescent="0.25">
      <c r="A17" s="1" t="s">
        <v>1725</v>
      </c>
      <c r="B17" s="1" t="s">
        <v>1118</v>
      </c>
      <c r="C17" s="1" t="s">
        <v>1119</v>
      </c>
      <c r="D17" s="1" t="s">
        <v>1083</v>
      </c>
      <c r="E17" s="1" t="s">
        <v>1726</v>
      </c>
      <c r="F17" s="1" t="s">
        <v>1731</v>
      </c>
      <c r="G17" s="1" t="s">
        <v>1120</v>
      </c>
      <c r="H17" s="1">
        <v>436</v>
      </c>
      <c r="I17" s="78">
        <v>46084</v>
      </c>
    </row>
    <row r="18" spans="1:9" x14ac:dyDescent="0.25">
      <c r="A18" s="1" t="s">
        <v>1725</v>
      </c>
      <c r="B18" s="1" t="s">
        <v>1121</v>
      </c>
      <c r="C18" s="1" t="s">
        <v>1732</v>
      </c>
      <c r="D18" s="1" t="s">
        <v>1083</v>
      </c>
      <c r="E18" s="1" t="s">
        <v>1726</v>
      </c>
      <c r="F18" s="1" t="s">
        <v>1731</v>
      </c>
      <c r="G18" s="1" t="s">
        <v>1113</v>
      </c>
      <c r="H18" s="1">
        <v>1.65</v>
      </c>
      <c r="I18" s="78">
        <v>46084</v>
      </c>
    </row>
    <row r="19" spans="1:9" x14ac:dyDescent="0.25">
      <c r="A19" s="1" t="s">
        <v>1725</v>
      </c>
      <c r="B19" s="1" t="s">
        <v>1122</v>
      </c>
      <c r="C19" s="1" t="s">
        <v>1733</v>
      </c>
      <c r="D19" s="1" t="s">
        <v>1083</v>
      </c>
      <c r="E19" s="1" t="s">
        <v>1726</v>
      </c>
      <c r="F19" s="1" t="s">
        <v>1731</v>
      </c>
      <c r="G19" s="1" t="s">
        <v>1110</v>
      </c>
      <c r="H19" s="1">
        <v>26.4</v>
      </c>
      <c r="I19" s="78">
        <v>46084</v>
      </c>
    </row>
    <row r="20" spans="1:9" x14ac:dyDescent="0.25">
      <c r="A20" s="1" t="s">
        <v>1725</v>
      </c>
      <c r="B20" s="1" t="s">
        <v>1123</v>
      </c>
      <c r="C20" s="1" t="s">
        <v>1734</v>
      </c>
      <c r="D20" s="1" t="s">
        <v>1083</v>
      </c>
      <c r="E20" s="1" t="s">
        <v>1726</v>
      </c>
      <c r="F20" s="1" t="s">
        <v>1731</v>
      </c>
      <c r="G20" s="1" t="s">
        <v>1120</v>
      </c>
      <c r="H20" s="1">
        <v>198</v>
      </c>
      <c r="I20" s="78">
        <v>46084</v>
      </c>
    </row>
    <row r="21" spans="1:9" x14ac:dyDescent="0.25">
      <c r="A21" s="1" t="s">
        <v>1725</v>
      </c>
      <c r="B21" s="1" t="s">
        <v>1124</v>
      </c>
      <c r="C21" s="1" t="s">
        <v>1735</v>
      </c>
      <c r="D21" s="1" t="s">
        <v>1083</v>
      </c>
      <c r="E21" s="1" t="s">
        <v>1726</v>
      </c>
      <c r="F21" s="1" t="s">
        <v>1731</v>
      </c>
      <c r="G21" s="1" t="s">
        <v>1113</v>
      </c>
      <c r="H21" s="1">
        <v>3.72</v>
      </c>
      <c r="I21" s="78">
        <v>46084</v>
      </c>
    </row>
    <row r="22" spans="1:9" x14ac:dyDescent="0.25">
      <c r="A22" s="1" t="s">
        <v>1725</v>
      </c>
      <c r="B22" s="1" t="s">
        <v>1125</v>
      </c>
      <c r="C22" s="1" t="s">
        <v>1736</v>
      </c>
      <c r="D22" s="1" t="s">
        <v>1083</v>
      </c>
      <c r="E22" s="1" t="s">
        <v>1726</v>
      </c>
      <c r="F22" s="1" t="s">
        <v>1731</v>
      </c>
      <c r="G22" s="1" t="s">
        <v>1110</v>
      </c>
      <c r="H22" s="1">
        <v>37.33</v>
      </c>
      <c r="I22" s="78">
        <v>46084</v>
      </c>
    </row>
    <row r="23" spans="1:9" x14ac:dyDescent="0.25">
      <c r="A23" s="1" t="s">
        <v>1725</v>
      </c>
      <c r="B23" s="1" t="s">
        <v>1126</v>
      </c>
      <c r="C23" s="1" t="s">
        <v>1737</v>
      </c>
      <c r="D23" s="1" t="s">
        <v>1083</v>
      </c>
      <c r="E23" s="1" t="s">
        <v>1726</v>
      </c>
      <c r="F23" s="1" t="s">
        <v>1731</v>
      </c>
      <c r="G23" s="1" t="s">
        <v>1120</v>
      </c>
      <c r="H23" s="1">
        <v>484</v>
      </c>
      <c r="I23" s="78">
        <v>46084</v>
      </c>
    </row>
    <row r="24" spans="1:9" x14ac:dyDescent="0.25">
      <c r="A24" s="1" t="s">
        <v>1725</v>
      </c>
      <c r="B24" s="1" t="s">
        <v>1127</v>
      </c>
      <c r="C24" s="1" t="s">
        <v>1738</v>
      </c>
      <c r="D24" s="1" t="s">
        <v>1083</v>
      </c>
      <c r="E24" s="1" t="s">
        <v>1726</v>
      </c>
      <c r="F24" s="1" t="s">
        <v>1731</v>
      </c>
      <c r="G24" s="1" t="s">
        <v>1113</v>
      </c>
      <c r="H24" s="1">
        <v>33.200000000000003</v>
      </c>
      <c r="I24" s="78">
        <v>46084</v>
      </c>
    </row>
    <row r="25" spans="1:9" x14ac:dyDescent="0.25">
      <c r="A25" s="1" t="s">
        <v>1725</v>
      </c>
      <c r="B25" s="1" t="s">
        <v>1129</v>
      </c>
      <c r="C25" s="1" t="s">
        <v>1739</v>
      </c>
      <c r="D25" s="1" t="s">
        <v>1083</v>
      </c>
      <c r="E25" s="1" t="s">
        <v>1726</v>
      </c>
      <c r="F25" s="1" t="s">
        <v>1731</v>
      </c>
      <c r="G25" s="1" t="s">
        <v>1110</v>
      </c>
      <c r="H25" s="1">
        <v>66.8</v>
      </c>
      <c r="I25" s="78">
        <v>46084</v>
      </c>
    </row>
    <row r="26" spans="1:9" x14ac:dyDescent="0.25">
      <c r="A26" s="1" t="s">
        <v>1725</v>
      </c>
      <c r="B26" s="1" t="s">
        <v>1130</v>
      </c>
      <c r="C26" s="1" t="s">
        <v>1740</v>
      </c>
      <c r="D26" s="1" t="s">
        <v>1083</v>
      </c>
      <c r="E26" s="1" t="s">
        <v>1726</v>
      </c>
      <c r="F26" s="1" t="s">
        <v>1731</v>
      </c>
      <c r="G26" s="1" t="s">
        <v>1120</v>
      </c>
      <c r="H26" s="1">
        <v>2324</v>
      </c>
      <c r="I26" s="78">
        <v>46084</v>
      </c>
    </row>
    <row r="27" spans="1:9" x14ac:dyDescent="0.25">
      <c r="A27" s="1" t="s">
        <v>1725</v>
      </c>
      <c r="B27" s="1" t="s">
        <v>1131</v>
      </c>
      <c r="C27" s="1" t="s">
        <v>1132</v>
      </c>
      <c r="D27" s="1" t="s">
        <v>1083</v>
      </c>
      <c r="E27" s="1" t="s">
        <v>1726</v>
      </c>
      <c r="F27" s="1" t="s">
        <v>1731</v>
      </c>
      <c r="G27" s="1" t="s">
        <v>1110</v>
      </c>
      <c r="H27" s="1">
        <v>78.98</v>
      </c>
      <c r="I27" s="78">
        <v>46084</v>
      </c>
    </row>
    <row r="28" spans="1:9" x14ac:dyDescent="0.25">
      <c r="A28" s="1" t="s">
        <v>1725</v>
      </c>
      <c r="B28" s="1" t="s">
        <v>1133</v>
      </c>
      <c r="C28" s="1" t="s">
        <v>1741</v>
      </c>
      <c r="D28" s="1" t="s">
        <v>1083</v>
      </c>
      <c r="E28" s="1" t="s">
        <v>1728</v>
      </c>
      <c r="F28" s="1" t="s">
        <v>1731</v>
      </c>
      <c r="G28" s="1" t="s">
        <v>1113</v>
      </c>
      <c r="H28" s="1">
        <v>30.3</v>
      </c>
      <c r="I28" s="78">
        <v>46084</v>
      </c>
    </row>
    <row r="29" spans="1:9" x14ac:dyDescent="0.25">
      <c r="A29" s="1" t="s">
        <v>1725</v>
      </c>
      <c r="B29" s="1" t="s">
        <v>1134</v>
      </c>
      <c r="C29" s="1" t="s">
        <v>1742</v>
      </c>
      <c r="D29" s="1" t="s">
        <v>1083</v>
      </c>
      <c r="E29" s="1" t="s">
        <v>1728</v>
      </c>
      <c r="F29" s="1" t="s">
        <v>1731</v>
      </c>
      <c r="G29" s="1" t="s">
        <v>1110</v>
      </c>
      <c r="H29" s="1">
        <v>10.8</v>
      </c>
      <c r="I29" s="78">
        <v>46084</v>
      </c>
    </row>
    <row r="30" spans="1:9" x14ac:dyDescent="0.25">
      <c r="A30" s="1" t="s">
        <v>1725</v>
      </c>
      <c r="B30" s="1" t="s">
        <v>1135</v>
      </c>
      <c r="C30" s="1" t="s">
        <v>1743</v>
      </c>
      <c r="D30" s="1" t="s">
        <v>1083</v>
      </c>
      <c r="E30" s="1" t="s">
        <v>1728</v>
      </c>
      <c r="F30" s="1" t="s">
        <v>1731</v>
      </c>
      <c r="G30" s="1" t="s">
        <v>1120</v>
      </c>
      <c r="H30" s="1">
        <v>1818</v>
      </c>
      <c r="I30" s="78">
        <v>46084</v>
      </c>
    </row>
    <row r="31" spans="1:9" x14ac:dyDescent="0.25">
      <c r="A31" s="1" t="s">
        <v>1725</v>
      </c>
      <c r="B31" s="1" t="s">
        <v>1136</v>
      </c>
      <c r="C31" s="1" t="s">
        <v>1744</v>
      </c>
      <c r="D31" s="1" t="s">
        <v>1083</v>
      </c>
      <c r="E31" s="1" t="s">
        <v>1726</v>
      </c>
      <c r="F31" s="1" t="s">
        <v>1727</v>
      </c>
      <c r="G31" s="1" t="s">
        <v>1113</v>
      </c>
      <c r="H31" s="1">
        <v>2.48</v>
      </c>
      <c r="I31" s="78">
        <v>46084</v>
      </c>
    </row>
    <row r="32" spans="1:9" x14ac:dyDescent="0.25">
      <c r="A32" s="1" t="s">
        <v>1725</v>
      </c>
      <c r="B32" s="1" t="s">
        <v>1138</v>
      </c>
      <c r="C32" s="1" t="s">
        <v>1745</v>
      </c>
      <c r="D32" s="1" t="s">
        <v>1083</v>
      </c>
      <c r="E32" s="1" t="s">
        <v>1726</v>
      </c>
      <c r="F32" s="1" t="s">
        <v>1727</v>
      </c>
      <c r="G32" s="1" t="s">
        <v>1110</v>
      </c>
      <c r="H32" s="1">
        <v>39.6</v>
      </c>
      <c r="I32" s="78">
        <v>46084</v>
      </c>
    </row>
    <row r="33" spans="1:9" x14ac:dyDescent="0.25">
      <c r="A33" s="1" t="s">
        <v>1725</v>
      </c>
      <c r="B33" s="1" t="s">
        <v>1139</v>
      </c>
      <c r="C33" s="1" t="s">
        <v>1746</v>
      </c>
      <c r="D33" s="1" t="s">
        <v>1083</v>
      </c>
      <c r="E33" s="1" t="s">
        <v>1726</v>
      </c>
      <c r="F33" s="1" t="s">
        <v>1727</v>
      </c>
      <c r="G33" s="1" t="s">
        <v>1120</v>
      </c>
      <c r="H33" s="1">
        <v>297.60000000000002</v>
      </c>
      <c r="I33" s="78">
        <v>46084</v>
      </c>
    </row>
    <row r="34" spans="1:9" x14ac:dyDescent="0.25">
      <c r="A34" s="1" t="s">
        <v>1725</v>
      </c>
      <c r="B34" s="1" t="s">
        <v>1140</v>
      </c>
      <c r="C34" s="1" t="s">
        <v>1747</v>
      </c>
      <c r="D34" s="1" t="s">
        <v>1083</v>
      </c>
      <c r="E34" s="1" t="s">
        <v>1726</v>
      </c>
      <c r="F34" s="1" t="s">
        <v>1727</v>
      </c>
      <c r="G34" s="1" t="s">
        <v>1113</v>
      </c>
      <c r="H34" s="1">
        <v>3.72</v>
      </c>
      <c r="I34" s="78">
        <v>46084</v>
      </c>
    </row>
    <row r="35" spans="1:9" x14ac:dyDescent="0.25">
      <c r="A35" s="1" t="s">
        <v>1725</v>
      </c>
      <c r="B35" s="1" t="s">
        <v>1141</v>
      </c>
      <c r="C35" s="1" t="s">
        <v>1748</v>
      </c>
      <c r="D35" s="1" t="s">
        <v>1083</v>
      </c>
      <c r="E35" s="1" t="s">
        <v>1726</v>
      </c>
      <c r="F35" s="1" t="s">
        <v>1727</v>
      </c>
      <c r="G35" s="1" t="s">
        <v>1110</v>
      </c>
      <c r="H35" s="1">
        <v>46.46</v>
      </c>
      <c r="I35" s="78">
        <v>46084</v>
      </c>
    </row>
    <row r="36" spans="1:9" x14ac:dyDescent="0.25">
      <c r="A36" s="1" t="s">
        <v>1725</v>
      </c>
      <c r="B36" s="1" t="s">
        <v>1142</v>
      </c>
      <c r="C36" s="1" t="s">
        <v>1749</v>
      </c>
      <c r="D36" s="1" t="s">
        <v>1083</v>
      </c>
      <c r="E36" s="1" t="s">
        <v>1726</v>
      </c>
      <c r="F36" s="1" t="s">
        <v>1727</v>
      </c>
      <c r="G36" s="1" t="s">
        <v>1120</v>
      </c>
      <c r="H36" s="1">
        <v>483.6</v>
      </c>
      <c r="I36" s="78">
        <v>46084</v>
      </c>
    </row>
    <row r="37" spans="1:9" x14ac:dyDescent="0.25">
      <c r="A37" s="1" t="s">
        <v>1725</v>
      </c>
      <c r="B37" s="1" t="s">
        <v>1143</v>
      </c>
      <c r="C37" s="1" t="s">
        <v>1750</v>
      </c>
      <c r="D37" s="1" t="s">
        <v>1083</v>
      </c>
      <c r="E37" s="1" t="s">
        <v>1726</v>
      </c>
      <c r="F37" s="1" t="s">
        <v>1727</v>
      </c>
      <c r="G37" s="1" t="s">
        <v>1113</v>
      </c>
      <c r="H37" s="1">
        <v>5.31</v>
      </c>
      <c r="I37" s="78">
        <v>46084</v>
      </c>
    </row>
    <row r="38" spans="1:9" x14ac:dyDescent="0.25">
      <c r="A38" s="1" t="s">
        <v>1725</v>
      </c>
      <c r="B38" s="1" t="s">
        <v>1145</v>
      </c>
      <c r="C38" s="1" t="s">
        <v>1751</v>
      </c>
      <c r="D38" s="1" t="s">
        <v>1083</v>
      </c>
      <c r="E38" s="1" t="s">
        <v>1726</v>
      </c>
      <c r="F38" s="1" t="s">
        <v>1727</v>
      </c>
      <c r="G38" s="1" t="s">
        <v>1110</v>
      </c>
      <c r="H38" s="1">
        <v>79.63</v>
      </c>
      <c r="I38" s="78">
        <v>46084</v>
      </c>
    </row>
    <row r="39" spans="1:9" x14ac:dyDescent="0.25">
      <c r="A39" s="1" t="s">
        <v>1725</v>
      </c>
      <c r="B39" s="1" t="s">
        <v>1146</v>
      </c>
      <c r="C39" s="1" t="s">
        <v>1752</v>
      </c>
      <c r="D39" s="1" t="s">
        <v>1083</v>
      </c>
      <c r="E39" s="1" t="s">
        <v>1726</v>
      </c>
      <c r="F39" s="1" t="s">
        <v>1727</v>
      </c>
      <c r="G39" s="1" t="s">
        <v>1120</v>
      </c>
      <c r="H39" s="1">
        <v>1113.5999999999999</v>
      </c>
      <c r="I39" s="78">
        <v>46084</v>
      </c>
    </row>
    <row r="40" spans="1:9" x14ac:dyDescent="0.25">
      <c r="A40" s="1" t="s">
        <v>1725</v>
      </c>
      <c r="B40" s="1" t="s">
        <v>1147</v>
      </c>
      <c r="C40" s="1" t="s">
        <v>1753</v>
      </c>
      <c r="D40" s="1" t="s">
        <v>1083</v>
      </c>
      <c r="E40" s="1" t="s">
        <v>1726</v>
      </c>
      <c r="F40" s="1" t="s">
        <v>1727</v>
      </c>
      <c r="G40" s="1" t="s">
        <v>1113</v>
      </c>
      <c r="H40" s="1">
        <v>4.74</v>
      </c>
      <c r="I40" s="78">
        <v>46084</v>
      </c>
    </row>
    <row r="41" spans="1:9" x14ac:dyDescent="0.25">
      <c r="A41" s="1" t="s">
        <v>1725</v>
      </c>
      <c r="B41" s="1" t="s">
        <v>1148</v>
      </c>
      <c r="C41" s="1" t="s">
        <v>1754</v>
      </c>
      <c r="D41" s="1" t="s">
        <v>1083</v>
      </c>
      <c r="E41" s="1" t="s">
        <v>1726</v>
      </c>
      <c r="F41" s="1" t="s">
        <v>1727</v>
      </c>
      <c r="G41" s="1" t="s">
        <v>1110</v>
      </c>
      <c r="H41" s="1">
        <v>71.099999999999994</v>
      </c>
      <c r="I41" s="78">
        <v>46084</v>
      </c>
    </row>
    <row r="42" spans="1:9" x14ac:dyDescent="0.25">
      <c r="A42" s="1" t="s">
        <v>1725</v>
      </c>
      <c r="B42" s="1" t="s">
        <v>1149</v>
      </c>
      <c r="C42" s="1" t="s">
        <v>1755</v>
      </c>
      <c r="D42" s="1" t="s">
        <v>1083</v>
      </c>
      <c r="E42" s="1" t="s">
        <v>1726</v>
      </c>
      <c r="F42" s="1" t="s">
        <v>1727</v>
      </c>
      <c r="G42" s="1" t="s">
        <v>1120</v>
      </c>
      <c r="H42" s="1">
        <v>331.8</v>
      </c>
      <c r="I42" s="78">
        <v>46084</v>
      </c>
    </row>
    <row r="43" spans="1:9" x14ac:dyDescent="0.25">
      <c r="A43" s="1" t="s">
        <v>1725</v>
      </c>
      <c r="B43" s="1" t="s">
        <v>1150</v>
      </c>
      <c r="C43" s="1" t="s">
        <v>1756</v>
      </c>
      <c r="D43" s="1" t="s">
        <v>1083</v>
      </c>
      <c r="E43" s="1" t="s">
        <v>1726</v>
      </c>
      <c r="F43" s="1" t="s">
        <v>1727</v>
      </c>
      <c r="G43" s="1" t="s">
        <v>1113</v>
      </c>
      <c r="H43" s="1">
        <v>9.2799999999999994</v>
      </c>
      <c r="I43" s="78">
        <v>46084</v>
      </c>
    </row>
    <row r="44" spans="1:9" x14ac:dyDescent="0.25">
      <c r="A44" s="1" t="s">
        <v>1725</v>
      </c>
      <c r="B44" s="1" t="s">
        <v>1151</v>
      </c>
      <c r="C44" s="1" t="s">
        <v>1757</v>
      </c>
      <c r="D44" s="1" t="s">
        <v>1083</v>
      </c>
      <c r="E44" s="1" t="s">
        <v>1726</v>
      </c>
      <c r="F44" s="1" t="s">
        <v>1727</v>
      </c>
      <c r="G44" s="1" t="s">
        <v>1110</v>
      </c>
      <c r="H44" s="1">
        <v>51.33</v>
      </c>
      <c r="I44" s="78">
        <v>46084</v>
      </c>
    </row>
    <row r="45" spans="1:9" x14ac:dyDescent="0.25">
      <c r="A45" s="1" t="s">
        <v>1725</v>
      </c>
      <c r="B45" s="1" t="s">
        <v>1153</v>
      </c>
      <c r="C45" s="1" t="s">
        <v>1758</v>
      </c>
      <c r="D45" s="1" t="s">
        <v>1083</v>
      </c>
      <c r="E45" s="1" t="s">
        <v>1726</v>
      </c>
      <c r="F45" s="1" t="s">
        <v>1727</v>
      </c>
      <c r="G45" s="1" t="s">
        <v>1120</v>
      </c>
      <c r="H45" s="1">
        <v>1113.5999999999999</v>
      </c>
      <c r="I45" s="78">
        <v>46084</v>
      </c>
    </row>
    <row r="46" spans="1:9" x14ac:dyDescent="0.25">
      <c r="A46" s="1" t="s">
        <v>1725</v>
      </c>
      <c r="B46" s="1" t="s">
        <v>1154</v>
      </c>
      <c r="C46" s="1" t="s">
        <v>1758</v>
      </c>
      <c r="D46" s="1" t="s">
        <v>1083</v>
      </c>
      <c r="E46" s="1" t="s">
        <v>1726</v>
      </c>
      <c r="F46" s="1" t="s">
        <v>1727</v>
      </c>
      <c r="G46" s="1" t="s">
        <v>1120</v>
      </c>
      <c r="H46" s="1">
        <v>1113.5999999999999</v>
      </c>
      <c r="I46" s="78">
        <v>46084</v>
      </c>
    </row>
    <row r="47" spans="1:9" x14ac:dyDescent="0.25">
      <c r="A47" s="1" t="s">
        <v>1725</v>
      </c>
      <c r="B47" s="1" t="s">
        <v>1155</v>
      </c>
      <c r="C47" s="1" t="s">
        <v>1156</v>
      </c>
      <c r="D47" s="1" t="s">
        <v>1083</v>
      </c>
      <c r="E47" s="1" t="s">
        <v>1726</v>
      </c>
      <c r="F47" s="1" t="s">
        <v>1727</v>
      </c>
      <c r="G47" s="1" t="s">
        <v>1110</v>
      </c>
      <c r="H47" s="1">
        <v>1</v>
      </c>
      <c r="I47" s="78">
        <v>46084</v>
      </c>
    </row>
    <row r="48" spans="1:9" x14ac:dyDescent="0.25">
      <c r="A48" s="1" t="s">
        <v>1725</v>
      </c>
      <c r="B48" s="1" t="s">
        <v>1157</v>
      </c>
      <c r="C48" s="1" t="s">
        <v>1158</v>
      </c>
      <c r="D48" s="1" t="s">
        <v>1083</v>
      </c>
      <c r="E48" s="1" t="s">
        <v>1726</v>
      </c>
      <c r="F48" s="1" t="s">
        <v>1727</v>
      </c>
      <c r="G48" s="1" t="s">
        <v>1110</v>
      </c>
      <c r="H48" s="1">
        <v>1</v>
      </c>
      <c r="I48" s="78">
        <v>46084</v>
      </c>
    </row>
    <row r="49" spans="1:9" x14ac:dyDescent="0.25">
      <c r="A49" s="1" t="s">
        <v>1725</v>
      </c>
      <c r="B49" s="1" t="s">
        <v>1159</v>
      </c>
      <c r="C49" s="1" t="s">
        <v>1160</v>
      </c>
      <c r="D49" s="1" t="s">
        <v>1083</v>
      </c>
      <c r="E49" s="1" t="s">
        <v>1726</v>
      </c>
      <c r="F49" s="1" t="s">
        <v>1727</v>
      </c>
      <c r="G49" s="1" t="s">
        <v>1110</v>
      </c>
      <c r="H49" s="1">
        <v>1</v>
      </c>
      <c r="I49" s="78">
        <v>46084</v>
      </c>
    </row>
    <row r="50" spans="1:9" x14ac:dyDescent="0.25">
      <c r="A50" s="1" t="s">
        <v>1725</v>
      </c>
      <c r="B50" s="1" t="s">
        <v>1161</v>
      </c>
      <c r="C50" s="1" t="s">
        <v>1162</v>
      </c>
      <c r="D50" s="1" t="s">
        <v>1083</v>
      </c>
      <c r="E50" s="1" t="s">
        <v>1726</v>
      </c>
      <c r="F50" s="1" t="s">
        <v>1727</v>
      </c>
      <c r="G50" s="1" t="s">
        <v>1084</v>
      </c>
      <c r="H50" s="1">
        <v>1</v>
      </c>
      <c r="I50" s="78">
        <v>46084</v>
      </c>
    </row>
    <row r="51" spans="1:9" x14ac:dyDescent="0.25">
      <c r="A51" s="1" t="s">
        <v>1725</v>
      </c>
      <c r="B51" s="1" t="s">
        <v>1163</v>
      </c>
      <c r="C51" s="1" t="s">
        <v>1164</v>
      </c>
      <c r="D51" s="1" t="s">
        <v>1083</v>
      </c>
      <c r="E51" s="1" t="s">
        <v>1726</v>
      </c>
      <c r="F51" s="1" t="s">
        <v>1727</v>
      </c>
      <c r="G51" s="1" t="s">
        <v>1084</v>
      </c>
      <c r="H51" s="1">
        <v>1</v>
      </c>
      <c r="I51" s="78">
        <v>46084</v>
      </c>
    </row>
    <row r="52" spans="1:9" x14ac:dyDescent="0.25">
      <c r="A52" s="1" t="s">
        <v>1725</v>
      </c>
      <c r="B52" s="1" t="s">
        <v>1165</v>
      </c>
      <c r="C52" s="1" t="s">
        <v>1759</v>
      </c>
      <c r="D52" s="1" t="s">
        <v>1083</v>
      </c>
      <c r="E52" s="1" t="s">
        <v>1726</v>
      </c>
      <c r="F52" s="1" t="s">
        <v>1727</v>
      </c>
      <c r="G52" s="1" t="s">
        <v>1113</v>
      </c>
      <c r="H52" s="1">
        <v>1</v>
      </c>
      <c r="I52" s="78">
        <v>46084</v>
      </c>
    </row>
    <row r="53" spans="1:9" x14ac:dyDescent="0.25">
      <c r="A53" s="1" t="s">
        <v>1725</v>
      </c>
      <c r="B53" s="1" t="s">
        <v>1166</v>
      </c>
      <c r="C53" s="1" t="s">
        <v>1760</v>
      </c>
      <c r="D53" s="1" t="s">
        <v>1083</v>
      </c>
      <c r="E53" s="1" t="s">
        <v>1726</v>
      </c>
      <c r="F53" s="1" t="s">
        <v>1727</v>
      </c>
      <c r="G53" s="1" t="s">
        <v>1110</v>
      </c>
      <c r="H53" s="1">
        <v>1</v>
      </c>
      <c r="I53" s="78">
        <v>46084</v>
      </c>
    </row>
    <row r="54" spans="1:9" x14ac:dyDescent="0.25">
      <c r="A54" s="1" t="s">
        <v>1725</v>
      </c>
      <c r="B54" s="1" t="s">
        <v>1167</v>
      </c>
      <c r="C54" s="1" t="s">
        <v>1761</v>
      </c>
      <c r="D54" s="1" t="s">
        <v>1083</v>
      </c>
      <c r="E54" s="1" t="s">
        <v>1726</v>
      </c>
      <c r="F54" s="1" t="s">
        <v>1762</v>
      </c>
      <c r="G54" s="1" t="s">
        <v>1113</v>
      </c>
      <c r="H54" s="1">
        <v>21.9</v>
      </c>
      <c r="I54" s="78">
        <v>46084</v>
      </c>
    </row>
    <row r="55" spans="1:9" x14ac:dyDescent="0.25">
      <c r="A55" s="1" t="s">
        <v>1725</v>
      </c>
      <c r="B55" s="1" t="s">
        <v>1168</v>
      </c>
      <c r="C55" s="1" t="s">
        <v>1763</v>
      </c>
      <c r="D55" s="1" t="s">
        <v>1083</v>
      </c>
      <c r="E55" s="1" t="s">
        <v>1726</v>
      </c>
      <c r="F55" s="1" t="s">
        <v>1762</v>
      </c>
      <c r="G55" s="1" t="s">
        <v>1110</v>
      </c>
      <c r="H55" s="1">
        <v>101.18</v>
      </c>
      <c r="I55" s="78">
        <v>46084</v>
      </c>
    </row>
    <row r="56" spans="1:9" x14ac:dyDescent="0.25">
      <c r="A56" s="1" t="s">
        <v>1725</v>
      </c>
      <c r="B56" s="1" t="s">
        <v>1169</v>
      </c>
      <c r="C56" s="1" t="s">
        <v>1764</v>
      </c>
      <c r="D56" s="1" t="s">
        <v>1083</v>
      </c>
      <c r="E56" s="1" t="s">
        <v>1726</v>
      </c>
      <c r="F56" s="1" t="s">
        <v>1762</v>
      </c>
      <c r="G56" s="1" t="s">
        <v>1120</v>
      </c>
      <c r="H56" s="1">
        <v>2628</v>
      </c>
      <c r="I56" s="78">
        <v>46084</v>
      </c>
    </row>
    <row r="57" spans="1:9" x14ac:dyDescent="0.25">
      <c r="A57" s="1" t="s">
        <v>1725</v>
      </c>
      <c r="B57" s="1" t="s">
        <v>1170</v>
      </c>
      <c r="C57" s="1" t="s">
        <v>1171</v>
      </c>
      <c r="D57" s="1" t="s">
        <v>1083</v>
      </c>
      <c r="E57" s="1" t="s">
        <v>1726</v>
      </c>
      <c r="F57" s="1" t="s">
        <v>1762</v>
      </c>
      <c r="G57" s="1" t="s">
        <v>1084</v>
      </c>
      <c r="H57" s="1">
        <v>1</v>
      </c>
      <c r="I57" s="78">
        <v>46084</v>
      </c>
    </row>
    <row r="58" spans="1:9" x14ac:dyDescent="0.25">
      <c r="A58" s="1" t="s">
        <v>1725</v>
      </c>
      <c r="B58" s="1" t="s">
        <v>1172</v>
      </c>
      <c r="C58" s="1" t="s">
        <v>1173</v>
      </c>
      <c r="D58" s="1" t="s">
        <v>1174</v>
      </c>
      <c r="E58" s="1" t="s">
        <v>1726</v>
      </c>
      <c r="F58" s="1" t="s">
        <v>1729</v>
      </c>
      <c r="G58" s="1" t="s">
        <v>1110</v>
      </c>
      <c r="H58" s="1">
        <v>107.66</v>
      </c>
      <c r="I58" s="78">
        <v>46084</v>
      </c>
    </row>
    <row r="59" spans="1:9" x14ac:dyDescent="0.25">
      <c r="A59" s="1" t="s">
        <v>1725</v>
      </c>
      <c r="B59" s="1" t="s">
        <v>1175</v>
      </c>
      <c r="C59" s="1" t="s">
        <v>1176</v>
      </c>
      <c r="D59" s="1" t="s">
        <v>1174</v>
      </c>
      <c r="E59" s="1" t="s">
        <v>1726</v>
      </c>
      <c r="F59" s="1" t="s">
        <v>1729</v>
      </c>
      <c r="G59" s="1" t="s">
        <v>1177</v>
      </c>
      <c r="H59" s="1">
        <v>182.88</v>
      </c>
      <c r="I59" s="78">
        <v>46084</v>
      </c>
    </row>
    <row r="60" spans="1:9" x14ac:dyDescent="0.25">
      <c r="A60" s="1" t="s">
        <v>1725</v>
      </c>
      <c r="B60" s="1" t="s">
        <v>1172</v>
      </c>
      <c r="C60" s="1" t="s">
        <v>1173</v>
      </c>
      <c r="D60" s="1" t="s">
        <v>1174</v>
      </c>
      <c r="E60" s="1" t="s">
        <v>1726</v>
      </c>
      <c r="F60" s="1" t="s">
        <v>1730</v>
      </c>
      <c r="G60" s="1" t="s">
        <v>1110</v>
      </c>
      <c r="H60" s="1">
        <v>99.69</v>
      </c>
      <c r="I60" s="78">
        <v>46084</v>
      </c>
    </row>
    <row r="61" spans="1:9" x14ac:dyDescent="0.25">
      <c r="A61" s="1" t="s">
        <v>1725</v>
      </c>
      <c r="B61" s="1" t="s">
        <v>1175</v>
      </c>
      <c r="C61" s="1" t="s">
        <v>1176</v>
      </c>
      <c r="D61" s="1" t="s">
        <v>1174</v>
      </c>
      <c r="E61" s="1" t="s">
        <v>1726</v>
      </c>
      <c r="F61" s="1" t="s">
        <v>1730</v>
      </c>
      <c r="G61" s="1" t="s">
        <v>1177</v>
      </c>
      <c r="H61" s="1">
        <v>159.12</v>
      </c>
      <c r="I61" s="78">
        <v>46084</v>
      </c>
    </row>
    <row r="62" spans="1:9" x14ac:dyDescent="0.25">
      <c r="A62" s="1" t="s">
        <v>1725</v>
      </c>
      <c r="B62" s="1" t="s">
        <v>1172</v>
      </c>
      <c r="C62" s="1" t="s">
        <v>1173</v>
      </c>
      <c r="D62" s="1" t="s">
        <v>1174</v>
      </c>
      <c r="E62" s="1" t="s">
        <v>1726</v>
      </c>
      <c r="F62" s="1" t="s">
        <v>1762</v>
      </c>
      <c r="G62" s="1" t="s">
        <v>1110</v>
      </c>
      <c r="H62" s="1">
        <v>24.95</v>
      </c>
      <c r="I62" s="78">
        <v>46084</v>
      </c>
    </row>
    <row r="63" spans="1:9" x14ac:dyDescent="0.25">
      <c r="A63" s="1" t="s">
        <v>1725</v>
      </c>
      <c r="B63" s="1" t="s">
        <v>1175</v>
      </c>
      <c r="C63" s="1" t="s">
        <v>1176</v>
      </c>
      <c r="D63" s="1" t="s">
        <v>1174</v>
      </c>
      <c r="E63" s="1" t="s">
        <v>1726</v>
      </c>
      <c r="F63" s="1" t="s">
        <v>1762</v>
      </c>
      <c r="G63" s="1" t="s">
        <v>1177</v>
      </c>
      <c r="H63" s="1">
        <v>56.14</v>
      </c>
      <c r="I63" s="78">
        <v>46084</v>
      </c>
    </row>
    <row r="64" spans="1:9" x14ac:dyDescent="0.25">
      <c r="A64" s="1" t="s">
        <v>1725</v>
      </c>
      <c r="B64" s="1" t="s">
        <v>1178</v>
      </c>
      <c r="C64" s="1" t="s">
        <v>1179</v>
      </c>
      <c r="D64" s="1" t="s">
        <v>1174</v>
      </c>
      <c r="E64" s="1" t="s">
        <v>1726</v>
      </c>
      <c r="F64" s="1" t="s">
        <v>1762</v>
      </c>
      <c r="G64" s="1" t="s">
        <v>1110</v>
      </c>
      <c r="H64" s="1">
        <v>320</v>
      </c>
      <c r="I64" s="78">
        <v>46084</v>
      </c>
    </row>
    <row r="65" spans="1:9" x14ac:dyDescent="0.25">
      <c r="A65" s="1" t="s">
        <v>1725</v>
      </c>
      <c r="B65" s="1" t="s">
        <v>1180</v>
      </c>
      <c r="C65" s="1" t="s">
        <v>1181</v>
      </c>
      <c r="D65" s="1" t="s">
        <v>1174</v>
      </c>
      <c r="E65" s="1" t="s">
        <v>1726</v>
      </c>
      <c r="F65" s="1" t="s">
        <v>1762</v>
      </c>
      <c r="G65" s="1" t="s">
        <v>1110</v>
      </c>
      <c r="H65" s="1">
        <v>320</v>
      </c>
      <c r="I65" s="78">
        <v>46084</v>
      </c>
    </row>
    <row r="66" spans="1:9" x14ac:dyDescent="0.25">
      <c r="A66" s="1" t="s">
        <v>1725</v>
      </c>
      <c r="B66" s="1" t="s">
        <v>1182</v>
      </c>
      <c r="C66" s="1" t="s">
        <v>1176</v>
      </c>
      <c r="D66" s="1" t="s">
        <v>1174</v>
      </c>
      <c r="E66" s="1" t="s">
        <v>1726</v>
      </c>
      <c r="F66" s="1" t="s">
        <v>1762</v>
      </c>
      <c r="G66" s="1" t="s">
        <v>1177</v>
      </c>
      <c r="H66" s="1">
        <v>120</v>
      </c>
      <c r="I66" s="78">
        <v>46084</v>
      </c>
    </row>
    <row r="67" spans="1:9" x14ac:dyDescent="0.25">
      <c r="A67" s="1" t="s">
        <v>1725</v>
      </c>
      <c r="B67" s="1" t="s">
        <v>1183</v>
      </c>
      <c r="C67" s="1" t="s">
        <v>1179</v>
      </c>
      <c r="D67" s="1" t="s">
        <v>1174</v>
      </c>
      <c r="E67" s="1" t="s">
        <v>1726</v>
      </c>
      <c r="F67" s="1" t="s">
        <v>1762</v>
      </c>
      <c r="G67" s="1" t="s">
        <v>1110</v>
      </c>
      <c r="H67" s="1">
        <v>56.75</v>
      </c>
      <c r="I67" s="78">
        <v>46084</v>
      </c>
    </row>
    <row r="68" spans="1:9" x14ac:dyDescent="0.25">
      <c r="A68" s="1" t="s">
        <v>1725</v>
      </c>
      <c r="B68" s="1" t="s">
        <v>1184</v>
      </c>
      <c r="C68" s="1" t="s">
        <v>1185</v>
      </c>
      <c r="D68" s="1" t="s">
        <v>1174</v>
      </c>
      <c r="E68" s="1" t="s">
        <v>1726</v>
      </c>
      <c r="F68" s="1" t="s">
        <v>1762</v>
      </c>
      <c r="G68" s="1" t="s">
        <v>1110</v>
      </c>
      <c r="H68" s="1">
        <v>56.75</v>
      </c>
      <c r="I68" s="78">
        <v>46084</v>
      </c>
    </row>
    <row r="69" spans="1:9" x14ac:dyDescent="0.25">
      <c r="A69" s="1" t="s">
        <v>1725</v>
      </c>
      <c r="B69" s="1" t="s">
        <v>1186</v>
      </c>
      <c r="C69" s="1" t="s">
        <v>1176</v>
      </c>
      <c r="D69" s="1" t="s">
        <v>1174</v>
      </c>
      <c r="E69" s="1" t="s">
        <v>1726</v>
      </c>
      <c r="F69" s="1" t="s">
        <v>1762</v>
      </c>
      <c r="G69" s="1" t="s">
        <v>1177</v>
      </c>
      <c r="H69" s="1">
        <v>36</v>
      </c>
      <c r="I69" s="78">
        <v>46084</v>
      </c>
    </row>
    <row r="70" spans="1:9" x14ac:dyDescent="0.25">
      <c r="A70" s="1" t="s">
        <v>1725</v>
      </c>
      <c r="B70" s="1" t="s">
        <v>1172</v>
      </c>
      <c r="C70" s="1" t="s">
        <v>1173</v>
      </c>
      <c r="D70" s="1" t="s">
        <v>1174</v>
      </c>
      <c r="E70" s="1" t="s">
        <v>1726</v>
      </c>
      <c r="F70" s="1" t="s">
        <v>1765</v>
      </c>
      <c r="G70" s="1" t="s">
        <v>1110</v>
      </c>
      <c r="H70" s="1">
        <v>55.52</v>
      </c>
      <c r="I70" s="78">
        <v>46084</v>
      </c>
    </row>
    <row r="71" spans="1:9" x14ac:dyDescent="0.25">
      <c r="A71" s="1" t="s">
        <v>1725</v>
      </c>
      <c r="B71" s="1" t="s">
        <v>1175</v>
      </c>
      <c r="C71" s="1" t="s">
        <v>1176</v>
      </c>
      <c r="D71" s="1" t="s">
        <v>1174</v>
      </c>
      <c r="E71" s="1" t="s">
        <v>1726</v>
      </c>
      <c r="F71" s="1" t="s">
        <v>1765</v>
      </c>
      <c r="G71" s="1" t="s">
        <v>1177</v>
      </c>
      <c r="H71" s="1">
        <v>89.96</v>
      </c>
      <c r="I71" s="78">
        <v>46084</v>
      </c>
    </row>
    <row r="72" spans="1:9" x14ac:dyDescent="0.25">
      <c r="A72" s="1" t="s">
        <v>1725</v>
      </c>
      <c r="B72" s="1" t="s">
        <v>1183</v>
      </c>
      <c r="C72" s="1" t="s">
        <v>1179</v>
      </c>
      <c r="D72" s="1" t="s">
        <v>1174</v>
      </c>
      <c r="E72" s="1" t="s">
        <v>1726</v>
      </c>
      <c r="F72" s="1" t="s">
        <v>1766</v>
      </c>
      <c r="G72" s="1" t="s">
        <v>1110</v>
      </c>
      <c r="H72" s="1">
        <v>83</v>
      </c>
      <c r="I72" s="78">
        <v>46084</v>
      </c>
    </row>
    <row r="73" spans="1:9" x14ac:dyDescent="0.25">
      <c r="A73" s="1" t="s">
        <v>1725</v>
      </c>
      <c r="B73" s="1" t="s">
        <v>1184</v>
      </c>
      <c r="C73" s="1" t="s">
        <v>1466</v>
      </c>
      <c r="D73" s="1" t="s">
        <v>1174</v>
      </c>
      <c r="E73" s="1" t="s">
        <v>1726</v>
      </c>
      <c r="F73" s="1" t="s">
        <v>1766</v>
      </c>
      <c r="G73" s="1" t="s">
        <v>1110</v>
      </c>
      <c r="H73" s="1">
        <v>83</v>
      </c>
      <c r="I73" s="78">
        <v>46084</v>
      </c>
    </row>
    <row r="74" spans="1:9" x14ac:dyDescent="0.25">
      <c r="A74" s="1" t="s">
        <v>1725</v>
      </c>
      <c r="B74" s="1" t="s">
        <v>1186</v>
      </c>
      <c r="C74" s="1" t="s">
        <v>1176</v>
      </c>
      <c r="D74" s="1" t="s">
        <v>1174</v>
      </c>
      <c r="E74" s="1" t="s">
        <v>1726</v>
      </c>
      <c r="F74" s="1" t="s">
        <v>1766</v>
      </c>
      <c r="G74" s="1" t="s">
        <v>1177</v>
      </c>
      <c r="H74" s="1">
        <v>11.87</v>
      </c>
      <c r="I74" s="78">
        <v>46084</v>
      </c>
    </row>
    <row r="75" spans="1:9" x14ac:dyDescent="0.25">
      <c r="A75" s="1" t="s">
        <v>1725</v>
      </c>
      <c r="B75" s="1" t="s">
        <v>1172</v>
      </c>
      <c r="C75" s="1" t="s">
        <v>1767</v>
      </c>
      <c r="D75" s="1" t="s">
        <v>1174</v>
      </c>
      <c r="E75" s="1" t="s">
        <v>1728</v>
      </c>
      <c r="F75" s="1" t="s">
        <v>1729</v>
      </c>
      <c r="G75" s="1" t="s">
        <v>1110</v>
      </c>
      <c r="H75" s="1">
        <v>61.54</v>
      </c>
      <c r="I75" s="78">
        <v>46084</v>
      </c>
    </row>
    <row r="76" spans="1:9" x14ac:dyDescent="0.25">
      <c r="A76" s="1" t="s">
        <v>1725</v>
      </c>
      <c r="B76" s="1" t="s">
        <v>1175</v>
      </c>
      <c r="C76" s="1" t="s">
        <v>1176</v>
      </c>
      <c r="D76" s="1" t="s">
        <v>1174</v>
      </c>
      <c r="E76" s="1" t="s">
        <v>1728</v>
      </c>
      <c r="F76" s="1" t="s">
        <v>1729</v>
      </c>
      <c r="G76" s="1" t="s">
        <v>1177</v>
      </c>
      <c r="H76" s="1">
        <v>77.72</v>
      </c>
      <c r="I76" s="78">
        <v>46084</v>
      </c>
    </row>
    <row r="77" spans="1:9" x14ac:dyDescent="0.25">
      <c r="A77" s="1" t="s">
        <v>1725</v>
      </c>
      <c r="B77" s="1" t="s">
        <v>1183</v>
      </c>
      <c r="C77" s="1" t="s">
        <v>1179</v>
      </c>
      <c r="D77" s="1" t="s">
        <v>1174</v>
      </c>
      <c r="E77" s="1" t="s">
        <v>1728</v>
      </c>
      <c r="F77" s="1" t="s">
        <v>1766</v>
      </c>
      <c r="G77" s="1" t="s">
        <v>1110</v>
      </c>
      <c r="H77" s="1">
        <v>231</v>
      </c>
      <c r="I77" s="78">
        <v>46084</v>
      </c>
    </row>
    <row r="78" spans="1:9" x14ac:dyDescent="0.25">
      <c r="A78" s="1" t="s">
        <v>1725</v>
      </c>
      <c r="B78" s="1" t="s">
        <v>1184</v>
      </c>
      <c r="C78" s="1" t="s">
        <v>1768</v>
      </c>
      <c r="D78" s="1" t="s">
        <v>1174</v>
      </c>
      <c r="E78" s="1" t="s">
        <v>1728</v>
      </c>
      <c r="F78" s="1" t="s">
        <v>1766</v>
      </c>
      <c r="G78" s="1" t="s">
        <v>1110</v>
      </c>
      <c r="H78" s="1">
        <v>231</v>
      </c>
      <c r="I78" s="78">
        <v>46084</v>
      </c>
    </row>
    <row r="79" spans="1:9" x14ac:dyDescent="0.25">
      <c r="A79" s="1" t="s">
        <v>1725</v>
      </c>
      <c r="B79" s="1" t="s">
        <v>1186</v>
      </c>
      <c r="C79" s="1" t="s">
        <v>1176</v>
      </c>
      <c r="D79" s="1" t="s">
        <v>1174</v>
      </c>
      <c r="E79" s="1" t="s">
        <v>1728</v>
      </c>
      <c r="F79" s="1" t="s">
        <v>1766</v>
      </c>
      <c r="G79" s="1" t="s">
        <v>1177</v>
      </c>
      <c r="H79" s="1">
        <v>101.1</v>
      </c>
      <c r="I79" s="78">
        <v>46084</v>
      </c>
    </row>
    <row r="80" spans="1:9" x14ac:dyDescent="0.25">
      <c r="A80" s="1" t="s">
        <v>1725</v>
      </c>
      <c r="B80" s="1" t="s">
        <v>1187</v>
      </c>
      <c r="C80" s="1" t="s">
        <v>1188</v>
      </c>
      <c r="D80" s="1" t="s">
        <v>1189</v>
      </c>
      <c r="E80" s="1" t="s">
        <v>1726</v>
      </c>
      <c r="F80" s="1" t="s">
        <v>1727</v>
      </c>
      <c r="G80" s="1" t="s">
        <v>1110</v>
      </c>
      <c r="H80" s="1">
        <v>314.58999999999997</v>
      </c>
      <c r="I80" s="78">
        <v>46084</v>
      </c>
    </row>
    <row r="81" spans="1:9" x14ac:dyDescent="0.25">
      <c r="A81" s="1" t="s">
        <v>1725</v>
      </c>
      <c r="B81" s="1" t="s">
        <v>1190</v>
      </c>
      <c r="C81" s="1" t="s">
        <v>1191</v>
      </c>
      <c r="D81" s="1" t="s">
        <v>1189</v>
      </c>
      <c r="E81" s="1" t="s">
        <v>1726</v>
      </c>
      <c r="F81" s="1" t="s">
        <v>1727</v>
      </c>
      <c r="G81" s="1" t="s">
        <v>1110</v>
      </c>
      <c r="H81" s="1">
        <v>559</v>
      </c>
      <c r="I81" s="78">
        <v>46084</v>
      </c>
    </row>
    <row r="82" spans="1:9" x14ac:dyDescent="0.25">
      <c r="A82" s="1" t="s">
        <v>1725</v>
      </c>
      <c r="B82" s="1" t="s">
        <v>1192</v>
      </c>
      <c r="C82" s="1" t="s">
        <v>1193</v>
      </c>
      <c r="D82" s="1" t="s">
        <v>1189</v>
      </c>
      <c r="E82" s="1" t="s">
        <v>1726</v>
      </c>
      <c r="F82" s="1" t="s">
        <v>1727</v>
      </c>
      <c r="G82" s="1" t="s">
        <v>1177</v>
      </c>
      <c r="H82" s="1">
        <v>418.68</v>
      </c>
      <c r="I82" s="78">
        <v>46084</v>
      </c>
    </row>
    <row r="83" spans="1:9" x14ac:dyDescent="0.25">
      <c r="A83" s="1" t="s">
        <v>1725</v>
      </c>
      <c r="B83" s="1" t="s">
        <v>1187</v>
      </c>
      <c r="C83" s="1" t="s">
        <v>1188</v>
      </c>
      <c r="D83" s="1" t="s">
        <v>1189</v>
      </c>
      <c r="E83" s="1" t="s">
        <v>1726</v>
      </c>
      <c r="F83" s="1" t="s">
        <v>1729</v>
      </c>
      <c r="G83" s="1" t="s">
        <v>1110</v>
      </c>
      <c r="H83" s="1">
        <v>351.33</v>
      </c>
      <c r="I83" s="78">
        <v>46084</v>
      </c>
    </row>
    <row r="84" spans="1:9" x14ac:dyDescent="0.25">
      <c r="A84" s="1" t="s">
        <v>1725</v>
      </c>
      <c r="B84" s="1" t="s">
        <v>1190</v>
      </c>
      <c r="C84" s="1" t="s">
        <v>1191</v>
      </c>
      <c r="D84" s="1" t="s">
        <v>1189</v>
      </c>
      <c r="E84" s="1" t="s">
        <v>1726</v>
      </c>
      <c r="F84" s="1" t="s">
        <v>1729</v>
      </c>
      <c r="G84" s="1" t="s">
        <v>1110</v>
      </c>
      <c r="H84" s="1">
        <v>594</v>
      </c>
      <c r="I84" s="78">
        <v>46084</v>
      </c>
    </row>
    <row r="85" spans="1:9" x14ac:dyDescent="0.25">
      <c r="A85" s="1" t="s">
        <v>1725</v>
      </c>
      <c r="B85" s="1" t="s">
        <v>1192</v>
      </c>
      <c r="C85" s="1" t="s">
        <v>1193</v>
      </c>
      <c r="D85" s="1" t="s">
        <v>1189</v>
      </c>
      <c r="E85" s="1" t="s">
        <v>1726</v>
      </c>
      <c r="F85" s="1" t="s">
        <v>1729</v>
      </c>
      <c r="G85" s="1" t="s">
        <v>1177</v>
      </c>
      <c r="H85" s="1">
        <v>494.58</v>
      </c>
      <c r="I85" s="78">
        <v>46084</v>
      </c>
    </row>
    <row r="86" spans="1:9" x14ac:dyDescent="0.25">
      <c r="A86" s="1" t="s">
        <v>1725</v>
      </c>
      <c r="B86" s="1" t="s">
        <v>1187</v>
      </c>
      <c r="C86" s="1" t="s">
        <v>1188</v>
      </c>
      <c r="D86" s="1" t="s">
        <v>1189</v>
      </c>
      <c r="E86" s="1" t="s">
        <v>1726</v>
      </c>
      <c r="F86" s="1" t="s">
        <v>1730</v>
      </c>
      <c r="G86" s="1" t="s">
        <v>1110</v>
      </c>
      <c r="H86" s="1">
        <v>278.2</v>
      </c>
      <c r="I86" s="78">
        <v>46084</v>
      </c>
    </row>
    <row r="87" spans="1:9" x14ac:dyDescent="0.25">
      <c r="A87" s="1" t="s">
        <v>1725</v>
      </c>
      <c r="B87" s="1" t="s">
        <v>1190</v>
      </c>
      <c r="C87" s="1" t="s">
        <v>1191</v>
      </c>
      <c r="D87" s="1" t="s">
        <v>1189</v>
      </c>
      <c r="E87" s="1" t="s">
        <v>1726</v>
      </c>
      <c r="F87" s="1" t="s">
        <v>1730</v>
      </c>
      <c r="G87" s="1" t="s">
        <v>1110</v>
      </c>
      <c r="H87" s="1">
        <v>557</v>
      </c>
      <c r="I87" s="78">
        <v>46084</v>
      </c>
    </row>
    <row r="88" spans="1:9" x14ac:dyDescent="0.25">
      <c r="A88" s="1" t="s">
        <v>1725</v>
      </c>
      <c r="B88" s="1" t="s">
        <v>1192</v>
      </c>
      <c r="C88" s="1" t="s">
        <v>1193</v>
      </c>
      <c r="D88" s="1" t="s">
        <v>1189</v>
      </c>
      <c r="E88" s="1" t="s">
        <v>1726</v>
      </c>
      <c r="F88" s="1" t="s">
        <v>1730</v>
      </c>
      <c r="G88" s="1" t="s">
        <v>1177</v>
      </c>
      <c r="H88" s="1">
        <v>499.38</v>
      </c>
      <c r="I88" s="78">
        <v>46084</v>
      </c>
    </row>
    <row r="89" spans="1:9" x14ac:dyDescent="0.25">
      <c r="A89" s="1" t="s">
        <v>1725</v>
      </c>
      <c r="B89" s="1" t="s">
        <v>1187</v>
      </c>
      <c r="C89" s="1" t="s">
        <v>1188</v>
      </c>
      <c r="D89" s="1" t="s">
        <v>1189</v>
      </c>
      <c r="E89" s="1" t="s">
        <v>1726</v>
      </c>
      <c r="F89" s="1" t="s">
        <v>1762</v>
      </c>
      <c r="G89" s="1" t="s">
        <v>1110</v>
      </c>
      <c r="H89" s="1">
        <v>162.06</v>
      </c>
      <c r="I89" s="78">
        <v>46084</v>
      </c>
    </row>
    <row r="90" spans="1:9" x14ac:dyDescent="0.25">
      <c r="A90" s="1" t="s">
        <v>1725</v>
      </c>
      <c r="B90" s="1" t="s">
        <v>1190</v>
      </c>
      <c r="C90" s="1" t="s">
        <v>1191</v>
      </c>
      <c r="D90" s="1" t="s">
        <v>1189</v>
      </c>
      <c r="E90" s="1" t="s">
        <v>1726</v>
      </c>
      <c r="F90" s="1" t="s">
        <v>1762</v>
      </c>
      <c r="G90" s="1" t="s">
        <v>1110</v>
      </c>
      <c r="H90" s="1">
        <v>557</v>
      </c>
      <c r="I90" s="78">
        <v>46084</v>
      </c>
    </row>
    <row r="91" spans="1:9" x14ac:dyDescent="0.25">
      <c r="A91" s="1" t="s">
        <v>1725</v>
      </c>
      <c r="B91" s="1" t="s">
        <v>1192</v>
      </c>
      <c r="C91" s="1" t="s">
        <v>1193</v>
      </c>
      <c r="D91" s="1" t="s">
        <v>1189</v>
      </c>
      <c r="E91" s="1" t="s">
        <v>1726</v>
      </c>
      <c r="F91" s="1" t="s">
        <v>1762</v>
      </c>
      <c r="G91" s="1" t="s">
        <v>1177</v>
      </c>
      <c r="H91" s="1">
        <v>300.82</v>
      </c>
      <c r="I91" s="78">
        <v>46084</v>
      </c>
    </row>
    <row r="92" spans="1:9" x14ac:dyDescent="0.25">
      <c r="A92" s="1" t="s">
        <v>1725</v>
      </c>
      <c r="B92" s="1" t="s">
        <v>1187</v>
      </c>
      <c r="C92" s="1" t="s">
        <v>1188</v>
      </c>
      <c r="D92" s="1" t="s">
        <v>1189</v>
      </c>
      <c r="E92" s="1" t="s">
        <v>1726</v>
      </c>
      <c r="F92" s="1" t="s">
        <v>1765</v>
      </c>
      <c r="G92" s="1" t="s">
        <v>1110</v>
      </c>
      <c r="H92" s="1">
        <v>99.33</v>
      </c>
      <c r="I92" s="78">
        <v>46084</v>
      </c>
    </row>
    <row r="93" spans="1:9" x14ac:dyDescent="0.25">
      <c r="A93" s="1" t="s">
        <v>1725</v>
      </c>
      <c r="B93" s="1" t="s">
        <v>1190</v>
      </c>
      <c r="C93" s="1" t="s">
        <v>1191</v>
      </c>
      <c r="D93" s="1" t="s">
        <v>1189</v>
      </c>
      <c r="E93" s="1" t="s">
        <v>1726</v>
      </c>
      <c r="F93" s="1" t="s">
        <v>1765</v>
      </c>
      <c r="G93" s="1" t="s">
        <v>1110</v>
      </c>
      <c r="H93" s="1">
        <v>182</v>
      </c>
      <c r="I93" s="78">
        <v>46084</v>
      </c>
    </row>
    <row r="94" spans="1:9" x14ac:dyDescent="0.25">
      <c r="A94" s="1" t="s">
        <v>1725</v>
      </c>
      <c r="B94" s="1" t="s">
        <v>1192</v>
      </c>
      <c r="C94" s="1" t="s">
        <v>1193</v>
      </c>
      <c r="D94" s="1" t="s">
        <v>1189</v>
      </c>
      <c r="E94" s="1" t="s">
        <v>1726</v>
      </c>
      <c r="F94" s="1" t="s">
        <v>1765</v>
      </c>
      <c r="G94" s="1" t="s">
        <v>1177</v>
      </c>
      <c r="H94" s="1">
        <v>172.84</v>
      </c>
      <c r="I94" s="78">
        <v>46084</v>
      </c>
    </row>
    <row r="95" spans="1:9" x14ac:dyDescent="0.25">
      <c r="A95" s="1" t="s">
        <v>1725</v>
      </c>
      <c r="B95" s="1" t="s">
        <v>1187</v>
      </c>
      <c r="C95" s="1" t="s">
        <v>1188</v>
      </c>
      <c r="D95" s="1" t="s">
        <v>1189</v>
      </c>
      <c r="E95" s="1" t="s">
        <v>1728</v>
      </c>
      <c r="F95" s="1" t="s">
        <v>1727</v>
      </c>
      <c r="G95" s="1" t="s">
        <v>1110</v>
      </c>
      <c r="H95" s="1">
        <v>87.52</v>
      </c>
      <c r="I95" s="78">
        <v>46084</v>
      </c>
    </row>
    <row r="96" spans="1:9" x14ac:dyDescent="0.25">
      <c r="A96" s="1" t="s">
        <v>1725</v>
      </c>
      <c r="B96" s="1" t="s">
        <v>1187</v>
      </c>
      <c r="C96" s="1" t="s">
        <v>1188</v>
      </c>
      <c r="D96" s="1" t="s">
        <v>1189</v>
      </c>
      <c r="E96" s="1" t="s">
        <v>1728</v>
      </c>
      <c r="F96" s="1" t="s">
        <v>1727</v>
      </c>
      <c r="G96" s="1" t="s">
        <v>1110</v>
      </c>
      <c r="H96" s="1">
        <v>56.71</v>
      </c>
      <c r="I96" s="78">
        <v>46084</v>
      </c>
    </row>
    <row r="97" spans="1:9" x14ac:dyDescent="0.25">
      <c r="A97" s="1" t="s">
        <v>1725</v>
      </c>
      <c r="B97" s="1" t="s">
        <v>1194</v>
      </c>
      <c r="C97" s="1" t="s">
        <v>1195</v>
      </c>
      <c r="D97" s="1" t="s">
        <v>1189</v>
      </c>
      <c r="E97" s="1" t="s">
        <v>1728</v>
      </c>
      <c r="F97" s="1" t="s">
        <v>1727</v>
      </c>
      <c r="G97" s="1" t="s">
        <v>1177</v>
      </c>
      <c r="H97" s="1">
        <v>5.19</v>
      </c>
      <c r="I97" s="78">
        <v>46084</v>
      </c>
    </row>
    <row r="98" spans="1:9" x14ac:dyDescent="0.25">
      <c r="A98" s="1" t="s">
        <v>1725</v>
      </c>
      <c r="B98" s="1" t="s">
        <v>1190</v>
      </c>
      <c r="C98" s="1" t="s">
        <v>1191</v>
      </c>
      <c r="D98" s="1" t="s">
        <v>1189</v>
      </c>
      <c r="E98" s="1" t="s">
        <v>1728</v>
      </c>
      <c r="F98" s="1" t="s">
        <v>1727</v>
      </c>
      <c r="G98" s="1" t="s">
        <v>1110</v>
      </c>
      <c r="H98" s="1">
        <v>210</v>
      </c>
      <c r="I98" s="78">
        <v>46084</v>
      </c>
    </row>
    <row r="99" spans="1:9" x14ac:dyDescent="0.25">
      <c r="A99" s="1" t="s">
        <v>1725</v>
      </c>
      <c r="B99" s="1" t="s">
        <v>1192</v>
      </c>
      <c r="C99" s="1" t="s">
        <v>1193</v>
      </c>
      <c r="D99" s="1" t="s">
        <v>1189</v>
      </c>
      <c r="E99" s="1" t="s">
        <v>1728</v>
      </c>
      <c r="F99" s="1" t="s">
        <v>1727</v>
      </c>
      <c r="G99" s="1" t="s">
        <v>1177</v>
      </c>
      <c r="H99" s="1">
        <v>119.94</v>
      </c>
      <c r="I99" s="78">
        <v>46084</v>
      </c>
    </row>
    <row r="100" spans="1:9" x14ac:dyDescent="0.25">
      <c r="A100" s="1" t="s">
        <v>1725</v>
      </c>
      <c r="B100" s="1" t="s">
        <v>1187</v>
      </c>
      <c r="C100" s="1" t="s">
        <v>1188</v>
      </c>
      <c r="D100" s="1" t="s">
        <v>1189</v>
      </c>
      <c r="E100" s="1" t="s">
        <v>1728</v>
      </c>
      <c r="F100" s="1" t="s">
        <v>1729</v>
      </c>
      <c r="G100" s="1" t="s">
        <v>1110</v>
      </c>
      <c r="H100" s="1">
        <v>60.7</v>
      </c>
      <c r="I100" s="78">
        <v>46084</v>
      </c>
    </row>
    <row r="101" spans="1:9" x14ac:dyDescent="0.25">
      <c r="A101" s="1" t="s">
        <v>1725</v>
      </c>
      <c r="B101" s="1" t="s">
        <v>1190</v>
      </c>
      <c r="C101" s="1" t="s">
        <v>1191</v>
      </c>
      <c r="D101" s="1" t="s">
        <v>1189</v>
      </c>
      <c r="E101" s="1" t="s">
        <v>1728</v>
      </c>
      <c r="F101" s="1" t="s">
        <v>1729</v>
      </c>
      <c r="G101" s="1" t="s">
        <v>1110</v>
      </c>
      <c r="H101" s="1">
        <v>210</v>
      </c>
      <c r="I101" s="78">
        <v>46084</v>
      </c>
    </row>
    <row r="102" spans="1:9" x14ac:dyDescent="0.25">
      <c r="A102" s="1" t="s">
        <v>1725</v>
      </c>
      <c r="B102" s="1" t="s">
        <v>1192</v>
      </c>
      <c r="C102" s="1" t="s">
        <v>1193</v>
      </c>
      <c r="D102" s="1" t="s">
        <v>1189</v>
      </c>
      <c r="E102" s="1" t="s">
        <v>1728</v>
      </c>
      <c r="F102" s="1" t="s">
        <v>1729</v>
      </c>
      <c r="G102" s="1" t="s">
        <v>1177</v>
      </c>
      <c r="H102" s="1">
        <v>192.38</v>
      </c>
      <c r="I102" s="78">
        <v>46084</v>
      </c>
    </row>
    <row r="103" spans="1:9" x14ac:dyDescent="0.25">
      <c r="A103" s="1" t="s">
        <v>1725</v>
      </c>
      <c r="B103" s="1" t="s">
        <v>1196</v>
      </c>
      <c r="C103" s="1" t="s">
        <v>1769</v>
      </c>
      <c r="D103" s="1" t="s">
        <v>1198</v>
      </c>
      <c r="E103" s="1" t="s">
        <v>1726</v>
      </c>
      <c r="F103" s="1" t="s">
        <v>1727</v>
      </c>
      <c r="G103" s="1" t="s">
        <v>1110</v>
      </c>
      <c r="H103" s="1">
        <v>46.38</v>
      </c>
      <c r="I103" s="78">
        <v>46084</v>
      </c>
    </row>
    <row r="104" spans="1:9" x14ac:dyDescent="0.25">
      <c r="A104" s="1" t="s">
        <v>1725</v>
      </c>
      <c r="B104" s="1" t="s">
        <v>1196</v>
      </c>
      <c r="C104" s="1" t="s">
        <v>1770</v>
      </c>
      <c r="D104" s="1" t="s">
        <v>1198</v>
      </c>
      <c r="E104" s="1" t="s">
        <v>1726</v>
      </c>
      <c r="F104" s="1" t="s">
        <v>1727</v>
      </c>
      <c r="G104" s="1" t="s">
        <v>1110</v>
      </c>
      <c r="H104" s="1">
        <v>5.32</v>
      </c>
      <c r="I104" s="78">
        <v>46084</v>
      </c>
    </row>
    <row r="105" spans="1:9" x14ac:dyDescent="0.25">
      <c r="A105" s="1" t="s">
        <v>1725</v>
      </c>
      <c r="B105" s="1" t="s">
        <v>1196</v>
      </c>
      <c r="C105" s="1" t="s">
        <v>1771</v>
      </c>
      <c r="D105" s="1" t="s">
        <v>1198</v>
      </c>
      <c r="E105" s="1" t="s">
        <v>1726</v>
      </c>
      <c r="F105" s="1" t="s">
        <v>1727</v>
      </c>
      <c r="G105" s="1" t="s">
        <v>1110</v>
      </c>
      <c r="H105" s="1">
        <v>12</v>
      </c>
      <c r="I105" s="78">
        <v>46084</v>
      </c>
    </row>
    <row r="106" spans="1:9" x14ac:dyDescent="0.25">
      <c r="A106" s="1" t="s">
        <v>1725</v>
      </c>
      <c r="B106" s="1" t="s">
        <v>1196</v>
      </c>
      <c r="C106" s="1" t="s">
        <v>1772</v>
      </c>
      <c r="D106" s="1" t="s">
        <v>1198</v>
      </c>
      <c r="E106" s="1" t="s">
        <v>1726</v>
      </c>
      <c r="F106" s="1" t="s">
        <v>1727</v>
      </c>
      <c r="G106" s="1" t="s">
        <v>1110</v>
      </c>
      <c r="H106" s="1">
        <v>3.36</v>
      </c>
      <c r="I106" s="78">
        <v>46084</v>
      </c>
    </row>
    <row r="107" spans="1:9" x14ac:dyDescent="0.25">
      <c r="A107" s="1" t="s">
        <v>1725</v>
      </c>
      <c r="B107" s="1" t="s">
        <v>1196</v>
      </c>
      <c r="C107" s="1" t="s">
        <v>1773</v>
      </c>
      <c r="D107" s="1" t="s">
        <v>1198</v>
      </c>
      <c r="E107" s="1" t="s">
        <v>1726</v>
      </c>
      <c r="F107" s="1" t="s">
        <v>1727</v>
      </c>
      <c r="G107" s="1" t="s">
        <v>1110</v>
      </c>
      <c r="H107" s="1">
        <v>1.92</v>
      </c>
      <c r="I107" s="78">
        <v>46084</v>
      </c>
    </row>
    <row r="108" spans="1:9" x14ac:dyDescent="0.25">
      <c r="A108" s="1" t="s">
        <v>1725</v>
      </c>
      <c r="B108" s="1" t="s">
        <v>1196</v>
      </c>
      <c r="C108" s="1" t="s">
        <v>1774</v>
      </c>
      <c r="D108" s="1" t="s">
        <v>1198</v>
      </c>
      <c r="E108" s="1" t="s">
        <v>1726</v>
      </c>
      <c r="F108" s="1" t="s">
        <v>1727</v>
      </c>
      <c r="G108" s="1" t="s">
        <v>1110</v>
      </c>
      <c r="H108" s="1">
        <v>1.2</v>
      </c>
      <c r="I108" s="78">
        <v>46084</v>
      </c>
    </row>
    <row r="109" spans="1:9" x14ac:dyDescent="0.25">
      <c r="A109" s="1" t="s">
        <v>1725</v>
      </c>
      <c r="B109" s="1" t="s">
        <v>1196</v>
      </c>
      <c r="C109" s="1" t="s">
        <v>1775</v>
      </c>
      <c r="D109" s="1" t="s">
        <v>1198</v>
      </c>
      <c r="E109" s="1" t="s">
        <v>1726</v>
      </c>
      <c r="F109" s="1" t="s">
        <v>1727</v>
      </c>
      <c r="G109" s="1" t="s">
        <v>1110</v>
      </c>
      <c r="H109" s="1">
        <v>1.44</v>
      </c>
      <c r="I109" s="78">
        <v>46084</v>
      </c>
    </row>
    <row r="110" spans="1:9" x14ac:dyDescent="0.25">
      <c r="A110" s="1" t="s">
        <v>1725</v>
      </c>
      <c r="B110" s="1" t="s">
        <v>1196</v>
      </c>
      <c r="C110" s="1" t="s">
        <v>1776</v>
      </c>
      <c r="D110" s="1" t="s">
        <v>1198</v>
      </c>
      <c r="E110" s="1" t="s">
        <v>1726</v>
      </c>
      <c r="F110" s="1" t="s">
        <v>1727</v>
      </c>
      <c r="G110" s="1" t="s">
        <v>1110</v>
      </c>
      <c r="H110" s="1">
        <v>5.39</v>
      </c>
      <c r="I110" s="78">
        <v>46084</v>
      </c>
    </row>
    <row r="111" spans="1:9" x14ac:dyDescent="0.25">
      <c r="A111" s="1" t="s">
        <v>1725</v>
      </c>
      <c r="B111" s="1" t="s">
        <v>1196</v>
      </c>
      <c r="C111" s="1" t="s">
        <v>1777</v>
      </c>
      <c r="D111" s="1" t="s">
        <v>1198</v>
      </c>
      <c r="E111" s="1" t="s">
        <v>1726</v>
      </c>
      <c r="F111" s="1" t="s">
        <v>1727</v>
      </c>
      <c r="G111" s="1" t="s">
        <v>1110</v>
      </c>
      <c r="H111" s="1">
        <v>9.9</v>
      </c>
      <c r="I111" s="78">
        <v>46084</v>
      </c>
    </row>
    <row r="112" spans="1:9" x14ac:dyDescent="0.25">
      <c r="A112" s="1" t="s">
        <v>1725</v>
      </c>
      <c r="B112" s="1" t="s">
        <v>1196</v>
      </c>
      <c r="C112" s="1" t="s">
        <v>1778</v>
      </c>
      <c r="D112" s="1" t="s">
        <v>1198</v>
      </c>
      <c r="E112" s="1" t="s">
        <v>1726</v>
      </c>
      <c r="F112" s="1" t="s">
        <v>1727</v>
      </c>
      <c r="G112" s="1" t="s">
        <v>1110</v>
      </c>
      <c r="H112" s="1">
        <v>5.28</v>
      </c>
      <c r="I112" s="78">
        <v>46084</v>
      </c>
    </row>
    <row r="113" spans="1:9" x14ac:dyDescent="0.25">
      <c r="A113" s="1" t="s">
        <v>1725</v>
      </c>
      <c r="B113" s="1" t="s">
        <v>1196</v>
      </c>
      <c r="C113" s="1" t="s">
        <v>1779</v>
      </c>
      <c r="D113" s="1" t="s">
        <v>1198</v>
      </c>
      <c r="E113" s="1" t="s">
        <v>1726</v>
      </c>
      <c r="F113" s="1" t="s">
        <v>1727</v>
      </c>
      <c r="G113" s="1" t="s">
        <v>1110</v>
      </c>
      <c r="H113" s="1">
        <v>31.68</v>
      </c>
      <c r="I113" s="78">
        <v>46084</v>
      </c>
    </row>
    <row r="114" spans="1:9" x14ac:dyDescent="0.25">
      <c r="A114" s="1" t="s">
        <v>1725</v>
      </c>
      <c r="B114" s="1" t="s">
        <v>1196</v>
      </c>
      <c r="C114" s="1" t="s">
        <v>1780</v>
      </c>
      <c r="D114" s="1" t="s">
        <v>1198</v>
      </c>
      <c r="E114" s="1" t="s">
        <v>1726</v>
      </c>
      <c r="F114" s="1" t="s">
        <v>1727</v>
      </c>
      <c r="G114" s="1" t="s">
        <v>1110</v>
      </c>
      <c r="H114" s="1">
        <v>19.36</v>
      </c>
      <c r="I114" s="78">
        <v>46084</v>
      </c>
    </row>
    <row r="115" spans="1:9" x14ac:dyDescent="0.25">
      <c r="A115" s="1" t="s">
        <v>1725</v>
      </c>
      <c r="B115" s="1" t="s">
        <v>1196</v>
      </c>
      <c r="C115" s="1" t="s">
        <v>1781</v>
      </c>
      <c r="D115" s="1" t="s">
        <v>1198</v>
      </c>
      <c r="E115" s="1" t="s">
        <v>1726</v>
      </c>
      <c r="F115" s="1" t="s">
        <v>1729</v>
      </c>
      <c r="G115" s="1" t="s">
        <v>1110</v>
      </c>
      <c r="H115" s="1">
        <v>1.44</v>
      </c>
      <c r="I115" s="78">
        <v>46084</v>
      </c>
    </row>
    <row r="116" spans="1:9" x14ac:dyDescent="0.25">
      <c r="A116" s="1" t="s">
        <v>1725</v>
      </c>
      <c r="B116" s="1" t="s">
        <v>1196</v>
      </c>
      <c r="C116" s="1" t="s">
        <v>1782</v>
      </c>
      <c r="D116" s="1" t="s">
        <v>1198</v>
      </c>
      <c r="E116" s="1" t="s">
        <v>1726</v>
      </c>
      <c r="F116" s="1" t="s">
        <v>1729</v>
      </c>
      <c r="G116" s="1" t="s">
        <v>1110</v>
      </c>
      <c r="H116" s="1">
        <v>8.94</v>
      </c>
      <c r="I116" s="78">
        <v>46084</v>
      </c>
    </row>
    <row r="117" spans="1:9" x14ac:dyDescent="0.25">
      <c r="A117" s="1" t="s">
        <v>1725</v>
      </c>
      <c r="B117" s="1" t="s">
        <v>1196</v>
      </c>
      <c r="C117" s="1" t="s">
        <v>1783</v>
      </c>
      <c r="D117" s="1" t="s">
        <v>1198</v>
      </c>
      <c r="E117" s="1" t="s">
        <v>1726</v>
      </c>
      <c r="F117" s="1" t="s">
        <v>1729</v>
      </c>
      <c r="G117" s="1" t="s">
        <v>1110</v>
      </c>
      <c r="H117" s="1">
        <v>7.92</v>
      </c>
      <c r="I117" s="78">
        <v>46084</v>
      </c>
    </row>
    <row r="118" spans="1:9" x14ac:dyDescent="0.25">
      <c r="A118" s="1" t="s">
        <v>1725</v>
      </c>
      <c r="B118" s="1" t="s">
        <v>1196</v>
      </c>
      <c r="C118" s="1" t="s">
        <v>1773</v>
      </c>
      <c r="D118" s="1" t="s">
        <v>1198</v>
      </c>
      <c r="E118" s="1" t="s">
        <v>1726</v>
      </c>
      <c r="F118" s="1" t="s">
        <v>1729</v>
      </c>
      <c r="G118" s="1" t="s">
        <v>1110</v>
      </c>
      <c r="H118" s="1">
        <v>17.28</v>
      </c>
      <c r="I118" s="78">
        <v>46084</v>
      </c>
    </row>
    <row r="119" spans="1:9" x14ac:dyDescent="0.25">
      <c r="A119" s="1" t="s">
        <v>1725</v>
      </c>
      <c r="B119" s="1" t="s">
        <v>1196</v>
      </c>
      <c r="C119" s="1" t="s">
        <v>1774</v>
      </c>
      <c r="D119" s="1" t="s">
        <v>1198</v>
      </c>
      <c r="E119" s="1" t="s">
        <v>1726</v>
      </c>
      <c r="F119" s="1" t="s">
        <v>1729</v>
      </c>
      <c r="G119" s="1" t="s">
        <v>1110</v>
      </c>
      <c r="H119" s="1">
        <v>1.2</v>
      </c>
      <c r="I119" s="78">
        <v>46084</v>
      </c>
    </row>
    <row r="120" spans="1:9" x14ac:dyDescent="0.25">
      <c r="A120" s="1" t="s">
        <v>1725</v>
      </c>
      <c r="B120" s="1" t="s">
        <v>1196</v>
      </c>
      <c r="C120" s="1" t="s">
        <v>1775</v>
      </c>
      <c r="D120" s="1" t="s">
        <v>1198</v>
      </c>
      <c r="E120" s="1" t="s">
        <v>1726</v>
      </c>
      <c r="F120" s="1" t="s">
        <v>1729</v>
      </c>
      <c r="G120" s="1" t="s">
        <v>1110</v>
      </c>
      <c r="H120" s="1">
        <v>2.52</v>
      </c>
      <c r="I120" s="78">
        <v>46084</v>
      </c>
    </row>
    <row r="121" spans="1:9" x14ac:dyDescent="0.25">
      <c r="A121" s="1" t="s">
        <v>1725</v>
      </c>
      <c r="B121" s="1" t="s">
        <v>1199</v>
      </c>
      <c r="C121" s="1" t="s">
        <v>1200</v>
      </c>
      <c r="D121" s="1" t="s">
        <v>1198</v>
      </c>
      <c r="E121" s="1" t="s">
        <v>1726</v>
      </c>
      <c r="F121" s="1" t="s">
        <v>1729</v>
      </c>
      <c r="G121" s="1" t="s">
        <v>1110</v>
      </c>
      <c r="H121" s="1">
        <v>32.4</v>
      </c>
      <c r="I121" s="78">
        <v>46084</v>
      </c>
    </row>
    <row r="122" spans="1:9" x14ac:dyDescent="0.25">
      <c r="A122" s="1" t="s">
        <v>1725</v>
      </c>
      <c r="B122" s="1" t="s">
        <v>1196</v>
      </c>
      <c r="C122" s="1" t="s">
        <v>1784</v>
      </c>
      <c r="D122" s="1" t="s">
        <v>1198</v>
      </c>
      <c r="E122" s="1" t="s">
        <v>1726</v>
      </c>
      <c r="F122" s="1" t="s">
        <v>1729</v>
      </c>
      <c r="G122" s="1" t="s">
        <v>1110</v>
      </c>
      <c r="H122" s="1">
        <v>33</v>
      </c>
      <c r="I122" s="78">
        <v>46084</v>
      </c>
    </row>
    <row r="123" spans="1:9" x14ac:dyDescent="0.25">
      <c r="A123" s="1" t="s">
        <v>1725</v>
      </c>
      <c r="B123" s="1" t="s">
        <v>1196</v>
      </c>
      <c r="C123" s="1" t="s">
        <v>1779</v>
      </c>
      <c r="D123" s="1" t="s">
        <v>1198</v>
      </c>
      <c r="E123" s="1" t="s">
        <v>1726</v>
      </c>
      <c r="F123" s="1" t="s">
        <v>1729</v>
      </c>
      <c r="G123" s="1" t="s">
        <v>1110</v>
      </c>
      <c r="H123" s="1">
        <v>39.6</v>
      </c>
      <c r="I123" s="78">
        <v>46084</v>
      </c>
    </row>
    <row r="124" spans="1:9" x14ac:dyDescent="0.25">
      <c r="A124" s="1" t="s">
        <v>1725</v>
      </c>
      <c r="B124" s="1" t="s">
        <v>1196</v>
      </c>
      <c r="C124" s="1" t="s">
        <v>1780</v>
      </c>
      <c r="D124" s="1" t="s">
        <v>1198</v>
      </c>
      <c r="E124" s="1" t="s">
        <v>1726</v>
      </c>
      <c r="F124" s="1" t="s">
        <v>1729</v>
      </c>
      <c r="G124" s="1" t="s">
        <v>1110</v>
      </c>
      <c r="H124" s="1">
        <v>28.16</v>
      </c>
      <c r="I124" s="78">
        <v>46084</v>
      </c>
    </row>
    <row r="125" spans="1:9" x14ac:dyDescent="0.25">
      <c r="A125" s="1" t="s">
        <v>1725</v>
      </c>
      <c r="B125" s="1" t="s">
        <v>1196</v>
      </c>
      <c r="C125" s="1" t="s">
        <v>1785</v>
      </c>
      <c r="D125" s="1" t="s">
        <v>1198</v>
      </c>
      <c r="E125" s="1" t="s">
        <v>1726</v>
      </c>
      <c r="F125" s="1" t="s">
        <v>1730</v>
      </c>
      <c r="G125" s="1" t="s">
        <v>1110</v>
      </c>
      <c r="H125" s="1">
        <v>1.8</v>
      </c>
      <c r="I125" s="78">
        <v>46084</v>
      </c>
    </row>
    <row r="126" spans="1:9" x14ac:dyDescent="0.25">
      <c r="A126" s="1" t="s">
        <v>1725</v>
      </c>
      <c r="B126" s="1" t="s">
        <v>1196</v>
      </c>
      <c r="C126" s="1" t="s">
        <v>1773</v>
      </c>
      <c r="D126" s="1" t="s">
        <v>1198</v>
      </c>
      <c r="E126" s="1" t="s">
        <v>1726</v>
      </c>
      <c r="F126" s="1" t="s">
        <v>1730</v>
      </c>
      <c r="G126" s="1" t="s">
        <v>1110</v>
      </c>
      <c r="H126" s="1">
        <v>17.28</v>
      </c>
      <c r="I126" s="78">
        <v>46084</v>
      </c>
    </row>
    <row r="127" spans="1:9" x14ac:dyDescent="0.25">
      <c r="A127" s="1" t="s">
        <v>1725</v>
      </c>
      <c r="B127" s="1" t="s">
        <v>1196</v>
      </c>
      <c r="C127" s="1" t="s">
        <v>1774</v>
      </c>
      <c r="D127" s="1" t="s">
        <v>1198</v>
      </c>
      <c r="E127" s="1" t="s">
        <v>1726</v>
      </c>
      <c r="F127" s="1" t="s">
        <v>1730</v>
      </c>
      <c r="G127" s="1" t="s">
        <v>1110</v>
      </c>
      <c r="H127" s="1">
        <v>3.6</v>
      </c>
      <c r="I127" s="78">
        <v>46084</v>
      </c>
    </row>
    <row r="128" spans="1:9" x14ac:dyDescent="0.25">
      <c r="A128" s="1" t="s">
        <v>1725</v>
      </c>
      <c r="B128" s="1" t="s">
        <v>1196</v>
      </c>
      <c r="C128" s="1" t="s">
        <v>1775</v>
      </c>
      <c r="D128" s="1" t="s">
        <v>1198</v>
      </c>
      <c r="E128" s="1" t="s">
        <v>1726</v>
      </c>
      <c r="F128" s="1" t="s">
        <v>1730</v>
      </c>
      <c r="G128" s="1" t="s">
        <v>1110</v>
      </c>
      <c r="H128" s="1">
        <v>2.52</v>
      </c>
      <c r="I128" s="78">
        <v>46084</v>
      </c>
    </row>
    <row r="129" spans="1:9" x14ac:dyDescent="0.25">
      <c r="A129" s="1" t="s">
        <v>1725</v>
      </c>
      <c r="B129" s="1" t="s">
        <v>1199</v>
      </c>
      <c r="C129" s="1" t="s">
        <v>1200</v>
      </c>
      <c r="D129" s="1" t="s">
        <v>1198</v>
      </c>
      <c r="E129" s="1" t="s">
        <v>1726</v>
      </c>
      <c r="F129" s="1" t="s">
        <v>1730</v>
      </c>
      <c r="G129" s="1" t="s">
        <v>1110</v>
      </c>
      <c r="H129" s="1">
        <v>32.4</v>
      </c>
      <c r="I129" s="78">
        <v>46084</v>
      </c>
    </row>
    <row r="130" spans="1:9" x14ac:dyDescent="0.25">
      <c r="A130" s="1" t="s">
        <v>1725</v>
      </c>
      <c r="B130" s="1" t="s">
        <v>1196</v>
      </c>
      <c r="C130" s="1" t="s">
        <v>1784</v>
      </c>
      <c r="D130" s="1" t="s">
        <v>1198</v>
      </c>
      <c r="E130" s="1" t="s">
        <v>1726</v>
      </c>
      <c r="F130" s="1" t="s">
        <v>1730</v>
      </c>
      <c r="G130" s="1" t="s">
        <v>1110</v>
      </c>
      <c r="H130" s="1">
        <v>27.5</v>
      </c>
      <c r="I130" s="78">
        <v>46084</v>
      </c>
    </row>
    <row r="131" spans="1:9" x14ac:dyDescent="0.25">
      <c r="A131" s="1" t="s">
        <v>1725</v>
      </c>
      <c r="B131" s="1" t="s">
        <v>1196</v>
      </c>
      <c r="C131" s="1" t="s">
        <v>1777</v>
      </c>
      <c r="D131" s="1" t="s">
        <v>1198</v>
      </c>
      <c r="E131" s="1" t="s">
        <v>1726</v>
      </c>
      <c r="F131" s="1" t="s">
        <v>1730</v>
      </c>
      <c r="G131" s="1" t="s">
        <v>1110</v>
      </c>
      <c r="H131" s="1">
        <v>39.6</v>
      </c>
      <c r="I131" s="78">
        <v>46084</v>
      </c>
    </row>
    <row r="132" spans="1:9" x14ac:dyDescent="0.25">
      <c r="A132" s="1" t="s">
        <v>1725</v>
      </c>
      <c r="B132" s="1" t="s">
        <v>1196</v>
      </c>
      <c r="C132" s="1" t="s">
        <v>1778</v>
      </c>
      <c r="D132" s="1" t="s">
        <v>1198</v>
      </c>
      <c r="E132" s="1" t="s">
        <v>1726</v>
      </c>
      <c r="F132" s="1" t="s">
        <v>1730</v>
      </c>
      <c r="G132" s="1" t="s">
        <v>1110</v>
      </c>
      <c r="H132" s="1">
        <v>10.56</v>
      </c>
      <c r="I132" s="78">
        <v>46084</v>
      </c>
    </row>
    <row r="133" spans="1:9" x14ac:dyDescent="0.25">
      <c r="A133" s="1" t="s">
        <v>1725</v>
      </c>
      <c r="B133" s="1" t="s">
        <v>1196</v>
      </c>
      <c r="C133" s="1" t="s">
        <v>1779</v>
      </c>
      <c r="D133" s="1" t="s">
        <v>1198</v>
      </c>
      <c r="E133" s="1" t="s">
        <v>1726</v>
      </c>
      <c r="F133" s="1" t="s">
        <v>1730</v>
      </c>
      <c r="G133" s="1" t="s">
        <v>1110</v>
      </c>
      <c r="H133" s="1">
        <v>35.64</v>
      </c>
      <c r="I133" s="78">
        <v>46084</v>
      </c>
    </row>
    <row r="134" spans="1:9" x14ac:dyDescent="0.25">
      <c r="A134" s="1" t="s">
        <v>1725</v>
      </c>
      <c r="B134" s="1" t="s">
        <v>1196</v>
      </c>
      <c r="C134" s="1" t="s">
        <v>1780</v>
      </c>
      <c r="D134" s="1" t="s">
        <v>1198</v>
      </c>
      <c r="E134" s="1" t="s">
        <v>1726</v>
      </c>
      <c r="F134" s="1" t="s">
        <v>1730</v>
      </c>
      <c r="G134" s="1" t="s">
        <v>1110</v>
      </c>
      <c r="H134" s="1">
        <v>12.32</v>
      </c>
      <c r="I134" s="78">
        <v>46084</v>
      </c>
    </row>
    <row r="135" spans="1:9" x14ac:dyDescent="0.25">
      <c r="A135" s="1" t="s">
        <v>1725</v>
      </c>
      <c r="B135" s="1" t="s">
        <v>1196</v>
      </c>
      <c r="C135" s="1" t="s">
        <v>1786</v>
      </c>
      <c r="D135" s="1" t="s">
        <v>1198</v>
      </c>
      <c r="E135" s="1" t="s">
        <v>1726</v>
      </c>
      <c r="F135" s="1" t="s">
        <v>1762</v>
      </c>
      <c r="G135" s="1" t="s">
        <v>1110</v>
      </c>
      <c r="H135" s="1">
        <v>14.4</v>
      </c>
      <c r="I135" s="78">
        <v>46084</v>
      </c>
    </row>
    <row r="136" spans="1:9" x14ac:dyDescent="0.25">
      <c r="A136" s="1" t="s">
        <v>1725</v>
      </c>
      <c r="B136" s="1" t="s">
        <v>1196</v>
      </c>
      <c r="C136" s="1" t="s">
        <v>1787</v>
      </c>
      <c r="D136" s="1" t="s">
        <v>1198</v>
      </c>
      <c r="E136" s="1" t="s">
        <v>1726</v>
      </c>
      <c r="F136" s="1" t="s">
        <v>1762</v>
      </c>
      <c r="G136" s="1" t="s">
        <v>1110</v>
      </c>
      <c r="H136" s="1">
        <v>13.2</v>
      </c>
      <c r="I136" s="78">
        <v>46084</v>
      </c>
    </row>
    <row r="137" spans="1:9" x14ac:dyDescent="0.25">
      <c r="A137" s="1" t="s">
        <v>1725</v>
      </c>
      <c r="B137" s="1" t="s">
        <v>1196</v>
      </c>
      <c r="C137" s="1" t="s">
        <v>1785</v>
      </c>
      <c r="D137" s="1" t="s">
        <v>1198</v>
      </c>
      <c r="E137" s="1" t="s">
        <v>1726</v>
      </c>
      <c r="F137" s="1" t="s">
        <v>1762</v>
      </c>
      <c r="G137" s="1" t="s">
        <v>1110</v>
      </c>
      <c r="H137" s="1">
        <v>9</v>
      </c>
      <c r="I137" s="78">
        <v>46084</v>
      </c>
    </row>
    <row r="138" spans="1:9" x14ac:dyDescent="0.25">
      <c r="A138" s="1" t="s">
        <v>1725</v>
      </c>
      <c r="B138" s="1" t="s">
        <v>1196</v>
      </c>
      <c r="C138" s="1" t="s">
        <v>1774</v>
      </c>
      <c r="D138" s="1" t="s">
        <v>1198</v>
      </c>
      <c r="E138" s="1" t="s">
        <v>1726</v>
      </c>
      <c r="F138" s="1" t="s">
        <v>1762</v>
      </c>
      <c r="G138" s="1" t="s">
        <v>1110</v>
      </c>
      <c r="H138" s="1">
        <v>1.2</v>
      </c>
      <c r="I138" s="78">
        <v>46084</v>
      </c>
    </row>
    <row r="139" spans="1:9" x14ac:dyDescent="0.25">
      <c r="A139" s="1" t="s">
        <v>1725</v>
      </c>
      <c r="B139" s="1" t="s">
        <v>1196</v>
      </c>
      <c r="C139" s="1" t="s">
        <v>1775</v>
      </c>
      <c r="D139" s="1" t="s">
        <v>1198</v>
      </c>
      <c r="E139" s="1" t="s">
        <v>1726</v>
      </c>
      <c r="F139" s="1" t="s">
        <v>1762</v>
      </c>
      <c r="G139" s="1" t="s">
        <v>1110</v>
      </c>
      <c r="H139" s="1">
        <v>2.16</v>
      </c>
      <c r="I139" s="78">
        <v>46084</v>
      </c>
    </row>
    <row r="140" spans="1:9" x14ac:dyDescent="0.25">
      <c r="A140" s="1" t="s">
        <v>1725</v>
      </c>
      <c r="B140" s="1" t="s">
        <v>1199</v>
      </c>
      <c r="C140" s="1" t="s">
        <v>1200</v>
      </c>
      <c r="D140" s="1" t="s">
        <v>1198</v>
      </c>
      <c r="E140" s="1" t="s">
        <v>1726</v>
      </c>
      <c r="F140" s="1" t="s">
        <v>1762</v>
      </c>
      <c r="G140" s="1" t="s">
        <v>1110</v>
      </c>
      <c r="H140" s="1">
        <v>45.22</v>
      </c>
      <c r="I140" s="78">
        <v>46084</v>
      </c>
    </row>
    <row r="141" spans="1:9" x14ac:dyDescent="0.25">
      <c r="A141" s="1" t="s">
        <v>1725</v>
      </c>
      <c r="B141" s="1" t="s">
        <v>1196</v>
      </c>
      <c r="C141" s="1" t="s">
        <v>1777</v>
      </c>
      <c r="D141" s="1" t="s">
        <v>1198</v>
      </c>
      <c r="E141" s="1" t="s">
        <v>1726</v>
      </c>
      <c r="F141" s="1" t="s">
        <v>1762</v>
      </c>
      <c r="G141" s="1" t="s">
        <v>1110</v>
      </c>
      <c r="H141" s="1">
        <v>13.2</v>
      </c>
      <c r="I141" s="78">
        <v>46084</v>
      </c>
    </row>
    <row r="142" spans="1:9" x14ac:dyDescent="0.25">
      <c r="A142" s="1" t="s">
        <v>1725</v>
      </c>
      <c r="B142" s="1" t="s">
        <v>1196</v>
      </c>
      <c r="C142" s="1" t="s">
        <v>1786</v>
      </c>
      <c r="D142" s="1" t="s">
        <v>1198</v>
      </c>
      <c r="E142" s="1" t="s">
        <v>1726</v>
      </c>
      <c r="F142" s="1" t="s">
        <v>1765</v>
      </c>
      <c r="G142" s="1" t="s">
        <v>1110</v>
      </c>
      <c r="H142" s="1">
        <v>9.6</v>
      </c>
      <c r="I142" s="78">
        <v>46084</v>
      </c>
    </row>
    <row r="143" spans="1:9" x14ac:dyDescent="0.25">
      <c r="A143" s="1" t="s">
        <v>1725</v>
      </c>
      <c r="B143" s="1" t="s">
        <v>1196</v>
      </c>
      <c r="C143" s="1" t="s">
        <v>1787</v>
      </c>
      <c r="D143" s="1" t="s">
        <v>1198</v>
      </c>
      <c r="E143" s="1" t="s">
        <v>1726</v>
      </c>
      <c r="F143" s="1" t="s">
        <v>1765</v>
      </c>
      <c r="G143" s="1" t="s">
        <v>1110</v>
      </c>
      <c r="H143" s="1">
        <v>7.2</v>
      </c>
      <c r="I143" s="78">
        <v>46084</v>
      </c>
    </row>
    <row r="144" spans="1:9" x14ac:dyDescent="0.25">
      <c r="A144" s="1" t="s">
        <v>1725</v>
      </c>
      <c r="B144" s="1" t="s">
        <v>1196</v>
      </c>
      <c r="C144" s="1" t="s">
        <v>1785</v>
      </c>
      <c r="D144" s="1" t="s">
        <v>1198</v>
      </c>
      <c r="E144" s="1" t="s">
        <v>1726</v>
      </c>
      <c r="F144" s="1" t="s">
        <v>1765</v>
      </c>
      <c r="G144" s="1" t="s">
        <v>1110</v>
      </c>
      <c r="H144" s="1">
        <v>5.4</v>
      </c>
      <c r="I144" s="78">
        <v>46084</v>
      </c>
    </row>
    <row r="145" spans="1:9" x14ac:dyDescent="0.25">
      <c r="A145" s="1" t="s">
        <v>1725</v>
      </c>
      <c r="B145" s="1" t="s">
        <v>1196</v>
      </c>
      <c r="C145" s="1" t="s">
        <v>1774</v>
      </c>
      <c r="D145" s="1" t="s">
        <v>1198</v>
      </c>
      <c r="E145" s="1" t="s">
        <v>1726</v>
      </c>
      <c r="F145" s="1" t="s">
        <v>1765</v>
      </c>
      <c r="G145" s="1" t="s">
        <v>1110</v>
      </c>
      <c r="H145" s="1">
        <v>1.08</v>
      </c>
      <c r="I145" s="78">
        <v>46084</v>
      </c>
    </row>
    <row r="146" spans="1:9" x14ac:dyDescent="0.25">
      <c r="A146" s="1" t="s">
        <v>1725</v>
      </c>
      <c r="B146" s="1" t="s">
        <v>1196</v>
      </c>
      <c r="C146" s="1" t="s">
        <v>1775</v>
      </c>
      <c r="D146" s="1" t="s">
        <v>1198</v>
      </c>
      <c r="E146" s="1" t="s">
        <v>1726</v>
      </c>
      <c r="F146" s="1" t="s">
        <v>1765</v>
      </c>
      <c r="G146" s="1" t="s">
        <v>1110</v>
      </c>
      <c r="H146" s="1">
        <v>0.72</v>
      </c>
      <c r="I146" s="78">
        <v>46084</v>
      </c>
    </row>
    <row r="147" spans="1:9" x14ac:dyDescent="0.25">
      <c r="A147" s="1" t="s">
        <v>1725</v>
      </c>
      <c r="B147" s="1" t="s">
        <v>1199</v>
      </c>
      <c r="C147" s="1" t="s">
        <v>1200</v>
      </c>
      <c r="D147" s="1" t="s">
        <v>1198</v>
      </c>
      <c r="E147" s="1" t="s">
        <v>1726</v>
      </c>
      <c r="F147" s="1" t="s">
        <v>1765</v>
      </c>
      <c r="G147" s="1" t="s">
        <v>1110</v>
      </c>
      <c r="H147" s="1">
        <v>26.88</v>
      </c>
      <c r="I147" s="78">
        <v>46084</v>
      </c>
    </row>
    <row r="148" spans="1:9" x14ac:dyDescent="0.25">
      <c r="A148" s="1" t="s">
        <v>1725</v>
      </c>
      <c r="B148" s="1" t="s">
        <v>1196</v>
      </c>
      <c r="C148" s="1" t="s">
        <v>1777</v>
      </c>
      <c r="D148" s="1" t="s">
        <v>1198</v>
      </c>
      <c r="E148" s="1" t="s">
        <v>1726</v>
      </c>
      <c r="F148" s="1" t="s">
        <v>1765</v>
      </c>
      <c r="G148" s="1" t="s">
        <v>1110</v>
      </c>
      <c r="H148" s="1">
        <v>13.2</v>
      </c>
      <c r="I148" s="78">
        <v>46084</v>
      </c>
    </row>
    <row r="149" spans="1:9" x14ac:dyDescent="0.25">
      <c r="A149" s="1" t="s">
        <v>1725</v>
      </c>
      <c r="B149" s="1" t="s">
        <v>1196</v>
      </c>
      <c r="C149" s="1" t="s">
        <v>1781</v>
      </c>
      <c r="D149" s="1" t="s">
        <v>1198</v>
      </c>
      <c r="E149" s="1" t="s">
        <v>1728</v>
      </c>
      <c r="F149" s="1" t="s">
        <v>1727</v>
      </c>
      <c r="G149" s="1" t="s">
        <v>1110</v>
      </c>
      <c r="H149" s="1">
        <v>1.44</v>
      </c>
      <c r="I149" s="78">
        <v>46084</v>
      </c>
    </row>
    <row r="150" spans="1:9" x14ac:dyDescent="0.25">
      <c r="A150" s="1" t="s">
        <v>1725</v>
      </c>
      <c r="B150" s="1" t="s">
        <v>1196</v>
      </c>
      <c r="C150" s="1" t="s">
        <v>1788</v>
      </c>
      <c r="D150" s="1" t="s">
        <v>1198</v>
      </c>
      <c r="E150" s="1" t="s">
        <v>1728</v>
      </c>
      <c r="F150" s="1" t="s">
        <v>1727</v>
      </c>
      <c r="G150" s="1" t="s">
        <v>1110</v>
      </c>
      <c r="H150" s="1">
        <v>0.96</v>
      </c>
      <c r="I150" s="78">
        <v>46084</v>
      </c>
    </row>
    <row r="151" spans="1:9" x14ac:dyDescent="0.25">
      <c r="A151" s="1" t="s">
        <v>1725</v>
      </c>
      <c r="B151" s="1" t="s">
        <v>1196</v>
      </c>
      <c r="C151" s="1" t="s">
        <v>1775</v>
      </c>
      <c r="D151" s="1" t="s">
        <v>1198</v>
      </c>
      <c r="E151" s="1" t="s">
        <v>1728</v>
      </c>
      <c r="F151" s="1" t="s">
        <v>1727</v>
      </c>
      <c r="G151" s="1" t="s">
        <v>1110</v>
      </c>
      <c r="H151" s="1">
        <v>0.36</v>
      </c>
      <c r="I151" s="78">
        <v>46084</v>
      </c>
    </row>
    <row r="152" spans="1:9" x14ac:dyDescent="0.25">
      <c r="A152" s="1" t="s">
        <v>1725</v>
      </c>
      <c r="B152" s="1" t="s">
        <v>1196</v>
      </c>
      <c r="C152" s="1" t="s">
        <v>1777</v>
      </c>
      <c r="D152" s="1" t="s">
        <v>1198</v>
      </c>
      <c r="E152" s="1" t="s">
        <v>1728</v>
      </c>
      <c r="F152" s="1" t="s">
        <v>1727</v>
      </c>
      <c r="G152" s="1" t="s">
        <v>1110</v>
      </c>
      <c r="H152" s="1">
        <v>6.6</v>
      </c>
      <c r="I152" s="78">
        <v>46084</v>
      </c>
    </row>
    <row r="153" spans="1:9" x14ac:dyDescent="0.25">
      <c r="A153" s="1" t="s">
        <v>1725</v>
      </c>
      <c r="B153" s="1" t="s">
        <v>1196</v>
      </c>
      <c r="C153" s="1" t="s">
        <v>1779</v>
      </c>
      <c r="D153" s="1" t="s">
        <v>1198</v>
      </c>
      <c r="E153" s="1" t="s">
        <v>1728</v>
      </c>
      <c r="F153" s="1" t="s">
        <v>1727</v>
      </c>
      <c r="G153" s="1" t="s">
        <v>1110</v>
      </c>
      <c r="H153" s="1">
        <v>11.88</v>
      </c>
      <c r="I153" s="78">
        <v>46084</v>
      </c>
    </row>
    <row r="154" spans="1:9" x14ac:dyDescent="0.25">
      <c r="A154" s="1" t="s">
        <v>1725</v>
      </c>
      <c r="B154" s="1" t="s">
        <v>1196</v>
      </c>
      <c r="C154" s="1" t="s">
        <v>1780</v>
      </c>
      <c r="D154" s="1" t="s">
        <v>1198</v>
      </c>
      <c r="E154" s="1" t="s">
        <v>1728</v>
      </c>
      <c r="F154" s="1" t="s">
        <v>1727</v>
      </c>
      <c r="G154" s="1" t="s">
        <v>1110</v>
      </c>
      <c r="H154" s="1">
        <v>5.28</v>
      </c>
      <c r="I154" s="78">
        <v>46084</v>
      </c>
    </row>
    <row r="155" spans="1:9" x14ac:dyDescent="0.25">
      <c r="A155" s="1" t="s">
        <v>1725</v>
      </c>
      <c r="B155" s="1" t="s">
        <v>1196</v>
      </c>
      <c r="C155" s="1" t="s">
        <v>1789</v>
      </c>
      <c r="D155" s="1" t="s">
        <v>1198</v>
      </c>
      <c r="E155" s="1" t="s">
        <v>1728</v>
      </c>
      <c r="F155" s="1" t="s">
        <v>1729</v>
      </c>
      <c r="G155" s="1" t="s">
        <v>1110</v>
      </c>
      <c r="H155" s="1">
        <v>19.2</v>
      </c>
      <c r="I155" s="78">
        <v>46084</v>
      </c>
    </row>
    <row r="156" spans="1:9" x14ac:dyDescent="0.25">
      <c r="A156" s="1" t="s">
        <v>1725</v>
      </c>
      <c r="B156" s="1" t="s">
        <v>1196</v>
      </c>
      <c r="C156" s="1" t="s">
        <v>1790</v>
      </c>
      <c r="D156" s="1" t="s">
        <v>1198</v>
      </c>
      <c r="E156" s="1" t="s">
        <v>1728</v>
      </c>
      <c r="F156" s="1" t="s">
        <v>1729</v>
      </c>
      <c r="G156" s="1" t="s">
        <v>1110</v>
      </c>
      <c r="H156" s="1">
        <v>8.89</v>
      </c>
      <c r="I156" s="78">
        <v>46084</v>
      </c>
    </row>
    <row r="157" spans="1:9" x14ac:dyDescent="0.25">
      <c r="A157" s="1" t="s">
        <v>1725</v>
      </c>
      <c r="B157" s="1" t="s">
        <v>1196</v>
      </c>
      <c r="C157" s="1" t="s">
        <v>1791</v>
      </c>
      <c r="D157" s="1" t="s">
        <v>1198</v>
      </c>
      <c r="E157" s="1" t="s">
        <v>1728</v>
      </c>
      <c r="F157" s="1" t="s">
        <v>1729</v>
      </c>
      <c r="G157" s="1" t="s">
        <v>1110</v>
      </c>
      <c r="H157" s="1">
        <v>24.95</v>
      </c>
      <c r="I157" s="78">
        <v>46084</v>
      </c>
    </row>
    <row r="158" spans="1:9" x14ac:dyDescent="0.25">
      <c r="A158" s="1" t="s">
        <v>1725</v>
      </c>
      <c r="B158" s="1" t="s">
        <v>1196</v>
      </c>
      <c r="C158" s="1" t="s">
        <v>1792</v>
      </c>
      <c r="D158" s="1" t="s">
        <v>1198</v>
      </c>
      <c r="E158" s="1" t="s">
        <v>1728</v>
      </c>
      <c r="F158" s="1" t="s">
        <v>1729</v>
      </c>
      <c r="G158" s="1" t="s">
        <v>1110</v>
      </c>
      <c r="H158" s="1">
        <v>12.47</v>
      </c>
      <c r="I158" s="78">
        <v>46084</v>
      </c>
    </row>
    <row r="159" spans="1:9" x14ac:dyDescent="0.25">
      <c r="A159" s="1" t="s">
        <v>1725</v>
      </c>
      <c r="B159" s="1" t="s">
        <v>1196</v>
      </c>
      <c r="C159" s="1" t="s">
        <v>1775</v>
      </c>
      <c r="D159" s="1" t="s">
        <v>1198</v>
      </c>
      <c r="E159" s="1" t="s">
        <v>1728</v>
      </c>
      <c r="F159" s="1" t="s">
        <v>1729</v>
      </c>
      <c r="G159" s="1" t="s">
        <v>1110</v>
      </c>
      <c r="H159" s="1">
        <v>0.36</v>
      </c>
      <c r="I159" s="78">
        <v>46084</v>
      </c>
    </row>
    <row r="160" spans="1:9" x14ac:dyDescent="0.25">
      <c r="A160" s="1" t="s">
        <v>1725</v>
      </c>
      <c r="B160" s="1" t="s">
        <v>1199</v>
      </c>
      <c r="C160" s="1" t="s">
        <v>1200</v>
      </c>
      <c r="D160" s="1" t="s">
        <v>1198</v>
      </c>
      <c r="E160" s="1" t="s">
        <v>1728</v>
      </c>
      <c r="F160" s="1" t="s">
        <v>1729</v>
      </c>
      <c r="G160" s="1" t="s">
        <v>1110</v>
      </c>
      <c r="H160" s="1">
        <v>28.18</v>
      </c>
      <c r="I160" s="78">
        <v>46084</v>
      </c>
    </row>
    <row r="161" spans="1:9" x14ac:dyDescent="0.25">
      <c r="A161" s="1" t="s">
        <v>1725</v>
      </c>
      <c r="B161" s="1" t="s">
        <v>1196</v>
      </c>
      <c r="C161" s="1" t="s">
        <v>1777</v>
      </c>
      <c r="D161" s="1" t="s">
        <v>1198</v>
      </c>
      <c r="E161" s="1" t="s">
        <v>1728</v>
      </c>
      <c r="F161" s="1" t="s">
        <v>1729</v>
      </c>
      <c r="G161" s="1" t="s">
        <v>1110</v>
      </c>
      <c r="H161" s="1">
        <v>3.3</v>
      </c>
      <c r="I161" s="78">
        <v>46084</v>
      </c>
    </row>
    <row r="162" spans="1:9" x14ac:dyDescent="0.25">
      <c r="A162" s="1" t="s">
        <v>1725</v>
      </c>
      <c r="B162" s="1" t="s">
        <v>1196</v>
      </c>
      <c r="C162" s="1" t="s">
        <v>1780</v>
      </c>
      <c r="D162" s="1" t="s">
        <v>1198</v>
      </c>
      <c r="E162" s="1" t="s">
        <v>1728</v>
      </c>
      <c r="F162" s="1" t="s">
        <v>1729</v>
      </c>
      <c r="G162" s="1" t="s">
        <v>1110</v>
      </c>
      <c r="H162" s="1">
        <v>5.28</v>
      </c>
      <c r="I162" s="78">
        <v>46084</v>
      </c>
    </row>
    <row r="163" spans="1:9" x14ac:dyDescent="0.25">
      <c r="A163" s="1" t="s">
        <v>1725</v>
      </c>
      <c r="B163" s="1" t="s">
        <v>1201</v>
      </c>
      <c r="C163" s="1" t="s">
        <v>1202</v>
      </c>
      <c r="D163" s="1" t="s">
        <v>1203</v>
      </c>
      <c r="E163" s="1" t="s">
        <v>1726</v>
      </c>
      <c r="F163" s="1" t="s">
        <v>1542</v>
      </c>
      <c r="G163" s="1" t="s">
        <v>1084</v>
      </c>
      <c r="H163" s="1">
        <v>1</v>
      </c>
      <c r="I163" s="78">
        <v>46084</v>
      </c>
    </row>
    <row r="164" spans="1:9" x14ac:dyDescent="0.25">
      <c r="A164" s="1" t="s">
        <v>1725</v>
      </c>
      <c r="B164" s="1" t="s">
        <v>1204</v>
      </c>
      <c r="C164" s="1" t="s">
        <v>1205</v>
      </c>
      <c r="D164" s="1" t="s">
        <v>1203</v>
      </c>
      <c r="E164" s="1" t="s">
        <v>1726</v>
      </c>
      <c r="F164" s="1" t="s">
        <v>1542</v>
      </c>
      <c r="G164" s="1" t="s">
        <v>1084</v>
      </c>
      <c r="H164" s="1">
        <v>1</v>
      </c>
      <c r="I164" s="78">
        <v>46084</v>
      </c>
    </row>
    <row r="165" spans="1:9" x14ac:dyDescent="0.25">
      <c r="A165" s="1" t="s">
        <v>1725</v>
      </c>
      <c r="B165" s="1" t="s">
        <v>1206</v>
      </c>
      <c r="C165" s="1" t="s">
        <v>1207</v>
      </c>
      <c r="D165" s="1" t="s">
        <v>1203</v>
      </c>
      <c r="E165" s="1" t="s">
        <v>1726</v>
      </c>
      <c r="F165" s="1" t="s">
        <v>1542</v>
      </c>
      <c r="G165" s="1" t="s">
        <v>1110</v>
      </c>
      <c r="H165" s="1">
        <v>43.16</v>
      </c>
      <c r="I165" s="78">
        <v>46084</v>
      </c>
    </row>
    <row r="166" spans="1:9" x14ac:dyDescent="0.25">
      <c r="A166" s="1" t="s">
        <v>1725</v>
      </c>
      <c r="B166" s="1" t="s">
        <v>1208</v>
      </c>
      <c r="C166" s="1" t="s">
        <v>1209</v>
      </c>
      <c r="D166" s="1" t="s">
        <v>1203</v>
      </c>
      <c r="E166" s="1" t="s">
        <v>1726</v>
      </c>
      <c r="F166" s="1" t="s">
        <v>1542</v>
      </c>
      <c r="G166" s="1" t="s">
        <v>1084</v>
      </c>
      <c r="H166" s="1">
        <v>1</v>
      </c>
      <c r="I166" s="78">
        <v>46084</v>
      </c>
    </row>
    <row r="167" spans="1:9" x14ac:dyDescent="0.25">
      <c r="A167" s="1" t="s">
        <v>1725</v>
      </c>
      <c r="B167" s="1" t="s">
        <v>1210</v>
      </c>
      <c r="C167" s="1" t="s">
        <v>1211</v>
      </c>
      <c r="D167" s="1" t="s">
        <v>1203</v>
      </c>
      <c r="E167" s="1" t="s">
        <v>1726</v>
      </c>
      <c r="F167" s="1" t="s">
        <v>1542</v>
      </c>
      <c r="G167" s="1" t="s">
        <v>1110</v>
      </c>
      <c r="H167" s="1">
        <v>6.74</v>
      </c>
      <c r="I167" s="78">
        <v>46084</v>
      </c>
    </row>
    <row r="168" spans="1:9" x14ac:dyDescent="0.25">
      <c r="A168" s="1" t="s">
        <v>1725</v>
      </c>
      <c r="B168" s="1" t="s">
        <v>1212</v>
      </c>
      <c r="C168" s="1" t="s">
        <v>1213</v>
      </c>
      <c r="D168" s="1" t="s">
        <v>1203</v>
      </c>
      <c r="E168" s="1" t="s">
        <v>1726</v>
      </c>
      <c r="F168" s="1" t="s">
        <v>1542</v>
      </c>
      <c r="G168" s="1" t="s">
        <v>1110</v>
      </c>
      <c r="H168" s="1">
        <v>11.24</v>
      </c>
      <c r="I168" s="78">
        <v>46084</v>
      </c>
    </row>
    <row r="169" spans="1:9" x14ac:dyDescent="0.25">
      <c r="A169" s="1" t="s">
        <v>1725</v>
      </c>
      <c r="B169" s="1" t="s">
        <v>1214</v>
      </c>
      <c r="C169" s="1" t="s">
        <v>1793</v>
      </c>
      <c r="D169" s="1" t="s">
        <v>1216</v>
      </c>
      <c r="E169" s="1" t="s">
        <v>1726</v>
      </c>
      <c r="F169" s="1" t="s">
        <v>1729</v>
      </c>
      <c r="G169" s="1" t="s">
        <v>1084</v>
      </c>
      <c r="H169" s="1">
        <v>1</v>
      </c>
      <c r="I169" s="78">
        <v>46084</v>
      </c>
    </row>
    <row r="170" spans="1:9" x14ac:dyDescent="0.25">
      <c r="A170" s="1" t="s">
        <v>1725</v>
      </c>
      <c r="B170" s="1" t="s">
        <v>1214</v>
      </c>
      <c r="C170" s="1" t="s">
        <v>1794</v>
      </c>
      <c r="D170" s="1" t="s">
        <v>1216</v>
      </c>
      <c r="E170" s="1" t="s">
        <v>1726</v>
      </c>
      <c r="F170" s="1" t="s">
        <v>1729</v>
      </c>
      <c r="G170" s="1" t="s">
        <v>1084</v>
      </c>
      <c r="H170" s="1">
        <v>1</v>
      </c>
      <c r="I170" s="78">
        <v>46084</v>
      </c>
    </row>
    <row r="171" spans="1:9" x14ac:dyDescent="0.25">
      <c r="A171" s="1" t="s">
        <v>1725</v>
      </c>
      <c r="B171" s="1" t="s">
        <v>1214</v>
      </c>
      <c r="C171" s="1" t="s">
        <v>1795</v>
      </c>
      <c r="D171" s="1" t="s">
        <v>1216</v>
      </c>
      <c r="E171" s="1" t="s">
        <v>1726</v>
      </c>
      <c r="F171" s="1" t="s">
        <v>1729</v>
      </c>
      <c r="G171" s="1" t="s">
        <v>1084</v>
      </c>
      <c r="H171" s="1">
        <v>1</v>
      </c>
      <c r="I171" s="78">
        <v>46084</v>
      </c>
    </row>
    <row r="172" spans="1:9" x14ac:dyDescent="0.25">
      <c r="A172" s="1" t="s">
        <v>1725</v>
      </c>
      <c r="B172" s="1" t="s">
        <v>1214</v>
      </c>
      <c r="C172" s="1" t="s">
        <v>1796</v>
      </c>
      <c r="D172" s="1" t="s">
        <v>1216</v>
      </c>
      <c r="E172" s="1" t="s">
        <v>1726</v>
      </c>
      <c r="F172" s="1" t="s">
        <v>1729</v>
      </c>
      <c r="G172" s="1" t="s">
        <v>1084</v>
      </c>
      <c r="H172" s="1">
        <v>1</v>
      </c>
      <c r="I172" s="78">
        <v>46084</v>
      </c>
    </row>
    <row r="173" spans="1:9" x14ac:dyDescent="0.25">
      <c r="A173" s="1" t="s">
        <v>1725</v>
      </c>
      <c r="B173" s="1" t="s">
        <v>1214</v>
      </c>
      <c r="C173" s="1" t="s">
        <v>1797</v>
      </c>
      <c r="D173" s="1" t="s">
        <v>1216</v>
      </c>
      <c r="E173" s="1" t="s">
        <v>1726</v>
      </c>
      <c r="F173" s="1" t="s">
        <v>1729</v>
      </c>
      <c r="G173" s="1" t="s">
        <v>1084</v>
      </c>
      <c r="H173" s="1">
        <v>1</v>
      </c>
      <c r="I173" s="78">
        <v>46084</v>
      </c>
    </row>
    <row r="174" spans="1:9" x14ac:dyDescent="0.25">
      <c r="A174" s="1" t="s">
        <v>1725</v>
      </c>
      <c r="B174" s="1" t="s">
        <v>1214</v>
      </c>
      <c r="C174" s="1" t="s">
        <v>1798</v>
      </c>
      <c r="D174" s="1" t="s">
        <v>1216</v>
      </c>
      <c r="E174" s="1" t="s">
        <v>1726</v>
      </c>
      <c r="F174" s="1" t="s">
        <v>1729</v>
      </c>
      <c r="G174" s="1" t="s">
        <v>1084</v>
      </c>
      <c r="H174" s="1">
        <v>1</v>
      </c>
      <c r="I174" s="78">
        <v>46084</v>
      </c>
    </row>
    <row r="175" spans="1:9" x14ac:dyDescent="0.25">
      <c r="A175" s="1" t="s">
        <v>1725</v>
      </c>
      <c r="B175" s="1" t="s">
        <v>1217</v>
      </c>
      <c r="C175" s="1" t="s">
        <v>1799</v>
      </c>
      <c r="D175" s="1" t="s">
        <v>1216</v>
      </c>
      <c r="E175" s="1" t="s">
        <v>1726</v>
      </c>
      <c r="F175" s="1" t="s">
        <v>1762</v>
      </c>
      <c r="G175" s="1" t="s">
        <v>1084</v>
      </c>
      <c r="H175" s="1">
        <v>7</v>
      </c>
      <c r="I175" s="78">
        <v>46084</v>
      </c>
    </row>
    <row r="176" spans="1:9" x14ac:dyDescent="0.25">
      <c r="A176" s="1" t="s">
        <v>1725</v>
      </c>
      <c r="B176" s="1" t="s">
        <v>1214</v>
      </c>
      <c r="C176" s="1" t="s">
        <v>1800</v>
      </c>
      <c r="D176" s="1" t="s">
        <v>1216</v>
      </c>
      <c r="E176" s="1" t="s">
        <v>1726</v>
      </c>
      <c r="F176" s="1" t="s">
        <v>1762</v>
      </c>
      <c r="G176" s="1" t="s">
        <v>1084</v>
      </c>
      <c r="H176" s="1">
        <v>2</v>
      </c>
      <c r="I176" s="78">
        <v>46084</v>
      </c>
    </row>
    <row r="177" spans="1:9" x14ac:dyDescent="0.25">
      <c r="A177" s="1" t="s">
        <v>1725</v>
      </c>
      <c r="B177" s="1" t="s">
        <v>1214</v>
      </c>
      <c r="C177" s="1" t="s">
        <v>1801</v>
      </c>
      <c r="D177" s="1" t="s">
        <v>1216</v>
      </c>
      <c r="E177" s="1" t="s">
        <v>1726</v>
      </c>
      <c r="F177" s="1" t="s">
        <v>1762</v>
      </c>
      <c r="G177" s="1" t="s">
        <v>1084</v>
      </c>
      <c r="H177" s="1">
        <v>1</v>
      </c>
      <c r="I177" s="78">
        <v>46084</v>
      </c>
    </row>
    <row r="178" spans="1:9" x14ac:dyDescent="0.25">
      <c r="A178" s="1" t="s">
        <v>1725</v>
      </c>
      <c r="B178" s="1" t="s">
        <v>1219</v>
      </c>
      <c r="C178" s="1" t="s">
        <v>1220</v>
      </c>
      <c r="D178" s="1" t="s">
        <v>1216</v>
      </c>
      <c r="E178" s="1" t="s">
        <v>1726</v>
      </c>
      <c r="F178" s="1" t="s">
        <v>1762</v>
      </c>
      <c r="G178" s="1" t="s">
        <v>1177</v>
      </c>
      <c r="H178" s="1">
        <v>3.36</v>
      </c>
      <c r="I178" s="78">
        <v>46084</v>
      </c>
    </row>
    <row r="179" spans="1:9" x14ac:dyDescent="0.25">
      <c r="A179" s="1" t="s">
        <v>1725</v>
      </c>
      <c r="B179" s="1" t="s">
        <v>1221</v>
      </c>
      <c r="C179" s="1" t="s">
        <v>1222</v>
      </c>
      <c r="D179" s="1" t="s">
        <v>1216</v>
      </c>
      <c r="E179" s="1" t="s">
        <v>1726</v>
      </c>
      <c r="F179" s="1" t="s">
        <v>1762</v>
      </c>
      <c r="G179" s="1" t="s">
        <v>1177</v>
      </c>
      <c r="H179" s="1">
        <v>3.36</v>
      </c>
      <c r="I179" s="78">
        <v>46084</v>
      </c>
    </row>
    <row r="180" spans="1:9" x14ac:dyDescent="0.25">
      <c r="A180" s="1" t="s">
        <v>1725</v>
      </c>
      <c r="B180" s="1" t="s">
        <v>1217</v>
      </c>
      <c r="C180" s="1" t="s">
        <v>1799</v>
      </c>
      <c r="D180" s="1" t="s">
        <v>1216</v>
      </c>
      <c r="E180" s="1" t="s">
        <v>1726</v>
      </c>
      <c r="F180" s="1" t="s">
        <v>1765</v>
      </c>
      <c r="G180" s="1" t="s">
        <v>1084</v>
      </c>
      <c r="H180" s="1">
        <v>4</v>
      </c>
      <c r="I180" s="78">
        <v>46084</v>
      </c>
    </row>
    <row r="181" spans="1:9" x14ac:dyDescent="0.25">
      <c r="A181" s="1" t="s">
        <v>1725</v>
      </c>
      <c r="B181" s="1" t="s">
        <v>1214</v>
      </c>
      <c r="C181" s="1" t="s">
        <v>1802</v>
      </c>
      <c r="D181" s="1" t="s">
        <v>1216</v>
      </c>
      <c r="E181" s="1" t="s">
        <v>1726</v>
      </c>
      <c r="F181" s="1" t="s">
        <v>1765</v>
      </c>
      <c r="G181" s="1" t="s">
        <v>1084</v>
      </c>
      <c r="H181" s="1">
        <v>2</v>
      </c>
      <c r="I181" s="78">
        <v>46084</v>
      </c>
    </row>
    <row r="182" spans="1:9" x14ac:dyDescent="0.25">
      <c r="A182" s="1" t="s">
        <v>1725</v>
      </c>
      <c r="B182" s="1" t="s">
        <v>1214</v>
      </c>
      <c r="C182" s="1" t="s">
        <v>1803</v>
      </c>
      <c r="D182" s="1" t="s">
        <v>1216</v>
      </c>
      <c r="E182" s="1" t="s">
        <v>1726</v>
      </c>
      <c r="F182" s="1" t="s">
        <v>1765</v>
      </c>
      <c r="G182" s="1" t="s">
        <v>1084</v>
      </c>
      <c r="H182" s="1">
        <v>2</v>
      </c>
      <c r="I182" s="78">
        <v>46084</v>
      </c>
    </row>
    <row r="183" spans="1:9" x14ac:dyDescent="0.25">
      <c r="A183" s="1" t="s">
        <v>1725</v>
      </c>
      <c r="B183" s="1" t="s">
        <v>1219</v>
      </c>
      <c r="C183" s="1" t="s">
        <v>1220</v>
      </c>
      <c r="D183" s="1" t="s">
        <v>1216</v>
      </c>
      <c r="E183" s="1" t="s">
        <v>1728</v>
      </c>
      <c r="F183" s="1" t="s">
        <v>1727</v>
      </c>
      <c r="G183" s="1" t="s">
        <v>1177</v>
      </c>
      <c r="H183" s="1">
        <v>2.94</v>
      </c>
      <c r="I183" s="78">
        <v>46084</v>
      </c>
    </row>
    <row r="184" spans="1:9" x14ac:dyDescent="0.25">
      <c r="A184" s="1" t="s">
        <v>1725</v>
      </c>
      <c r="B184" s="1" t="s">
        <v>1221</v>
      </c>
      <c r="C184" s="1" t="s">
        <v>1222</v>
      </c>
      <c r="D184" s="1" t="s">
        <v>1216</v>
      </c>
      <c r="E184" s="1" t="s">
        <v>1728</v>
      </c>
      <c r="F184" s="1" t="s">
        <v>1727</v>
      </c>
      <c r="G184" s="1" t="s">
        <v>1177</v>
      </c>
      <c r="H184" s="1">
        <v>2.94</v>
      </c>
      <c r="I184" s="78">
        <v>46084</v>
      </c>
    </row>
    <row r="185" spans="1:9" x14ac:dyDescent="0.25">
      <c r="A185" s="1" t="s">
        <v>1725</v>
      </c>
      <c r="B185" s="1" t="s">
        <v>1223</v>
      </c>
      <c r="C185" s="1" t="s">
        <v>1224</v>
      </c>
      <c r="D185" s="1" t="s">
        <v>1216</v>
      </c>
      <c r="E185" s="1" t="s">
        <v>1728</v>
      </c>
      <c r="F185" s="1" t="s">
        <v>1727</v>
      </c>
      <c r="G185" s="1" t="s">
        <v>1177</v>
      </c>
      <c r="H185" s="1">
        <v>2.25</v>
      </c>
      <c r="I185" s="78">
        <v>46084</v>
      </c>
    </row>
    <row r="186" spans="1:9" x14ac:dyDescent="0.25">
      <c r="A186" s="1" t="s">
        <v>1725</v>
      </c>
      <c r="B186" s="1" t="s">
        <v>1225</v>
      </c>
      <c r="C186" s="1" t="s">
        <v>1226</v>
      </c>
      <c r="D186" s="1" t="s">
        <v>1216</v>
      </c>
      <c r="E186" s="1" t="s">
        <v>1728</v>
      </c>
      <c r="F186" s="1" t="s">
        <v>1727</v>
      </c>
      <c r="G186" s="1" t="s">
        <v>1177</v>
      </c>
      <c r="H186" s="1">
        <v>2.25</v>
      </c>
      <c r="I186" s="78">
        <v>46084</v>
      </c>
    </row>
    <row r="187" spans="1:9" x14ac:dyDescent="0.25">
      <c r="A187" s="1" t="s">
        <v>1725</v>
      </c>
      <c r="B187" s="1" t="s">
        <v>1227</v>
      </c>
      <c r="C187" s="1" t="s">
        <v>1228</v>
      </c>
      <c r="D187" s="1" t="s">
        <v>1229</v>
      </c>
      <c r="E187" s="1" t="s">
        <v>1726</v>
      </c>
      <c r="F187" s="1" t="s">
        <v>1542</v>
      </c>
      <c r="G187" s="1" t="s">
        <v>1084</v>
      </c>
      <c r="H187" s="1">
        <v>135</v>
      </c>
      <c r="I187" s="78">
        <v>46084</v>
      </c>
    </row>
    <row r="188" spans="1:9" x14ac:dyDescent="0.25">
      <c r="A188" s="1" t="s">
        <v>1725</v>
      </c>
      <c r="B188" s="1" t="s">
        <v>1230</v>
      </c>
      <c r="C188" s="1" t="s">
        <v>1231</v>
      </c>
      <c r="D188" s="1" t="s">
        <v>1229</v>
      </c>
      <c r="E188" s="1" t="s">
        <v>1726</v>
      </c>
      <c r="F188" s="1" t="s">
        <v>1542</v>
      </c>
      <c r="G188" s="1" t="s">
        <v>1084</v>
      </c>
      <c r="H188" s="1">
        <v>257</v>
      </c>
      <c r="I188" s="78">
        <v>46084</v>
      </c>
    </row>
    <row r="189" spans="1:9" x14ac:dyDescent="0.25">
      <c r="A189" s="1" t="s">
        <v>1725</v>
      </c>
      <c r="B189" s="1" t="s">
        <v>1232</v>
      </c>
      <c r="C189" s="1" t="s">
        <v>1233</v>
      </c>
      <c r="D189" s="1" t="s">
        <v>1229</v>
      </c>
      <c r="E189" s="1" t="s">
        <v>1726</v>
      </c>
      <c r="F189" s="1" t="s">
        <v>1542</v>
      </c>
      <c r="G189" s="1" t="s">
        <v>1084</v>
      </c>
      <c r="H189" s="1">
        <v>20</v>
      </c>
      <c r="I189" s="78">
        <v>46084</v>
      </c>
    </row>
    <row r="190" spans="1:9" x14ac:dyDescent="0.25">
      <c r="A190" s="1" t="s">
        <v>1725</v>
      </c>
      <c r="B190" s="1" t="s">
        <v>1234</v>
      </c>
      <c r="C190" s="1" t="s">
        <v>1235</v>
      </c>
      <c r="D190" s="1" t="s">
        <v>1229</v>
      </c>
      <c r="E190" s="1" t="s">
        <v>1726</v>
      </c>
      <c r="F190" s="1" t="s">
        <v>1542</v>
      </c>
      <c r="G190" s="1" t="s">
        <v>1084</v>
      </c>
      <c r="H190" s="1">
        <v>36</v>
      </c>
      <c r="I190" s="78">
        <v>46084</v>
      </c>
    </row>
    <row r="191" spans="1:9" x14ac:dyDescent="0.25">
      <c r="A191" s="1" t="s">
        <v>1725</v>
      </c>
      <c r="B191" s="1" t="s">
        <v>1236</v>
      </c>
      <c r="C191" s="1" t="s">
        <v>1237</v>
      </c>
      <c r="D191" s="1" t="s">
        <v>1229</v>
      </c>
      <c r="E191" s="1" t="s">
        <v>1726</v>
      </c>
      <c r="F191" s="1" t="s">
        <v>1542</v>
      </c>
      <c r="G191" s="1" t="s">
        <v>1084</v>
      </c>
      <c r="H191" s="1">
        <v>32</v>
      </c>
      <c r="I191" s="78">
        <v>46084</v>
      </c>
    </row>
    <row r="192" spans="1:9" x14ac:dyDescent="0.25">
      <c r="A192" s="1" t="s">
        <v>1725</v>
      </c>
      <c r="B192" s="1" t="s">
        <v>1238</v>
      </c>
      <c r="C192" s="1" t="s">
        <v>1239</v>
      </c>
      <c r="D192" s="1" t="s">
        <v>1229</v>
      </c>
      <c r="E192" s="1" t="s">
        <v>1726</v>
      </c>
      <c r="F192" s="1" t="s">
        <v>1542</v>
      </c>
      <c r="G192" s="1" t="s">
        <v>1084</v>
      </c>
      <c r="H192" s="1">
        <v>8</v>
      </c>
      <c r="I192" s="78">
        <v>46084</v>
      </c>
    </row>
    <row r="193" spans="1:9" x14ac:dyDescent="0.25">
      <c r="A193" s="1" t="s">
        <v>1725</v>
      </c>
      <c r="B193" s="1" t="s">
        <v>1240</v>
      </c>
      <c r="C193" s="1" t="s">
        <v>1241</v>
      </c>
      <c r="D193" s="1" t="s">
        <v>1229</v>
      </c>
      <c r="E193" s="1" t="s">
        <v>1726</v>
      </c>
      <c r="F193" s="1" t="s">
        <v>1542</v>
      </c>
      <c r="G193" s="1" t="s">
        <v>1084</v>
      </c>
      <c r="H193" s="1">
        <v>12</v>
      </c>
      <c r="I193" s="78">
        <v>46084</v>
      </c>
    </row>
    <row r="194" spans="1:9" x14ac:dyDescent="0.25">
      <c r="A194" s="1" t="s">
        <v>1725</v>
      </c>
      <c r="B194" s="1" t="s">
        <v>1242</v>
      </c>
      <c r="C194" s="1" t="s">
        <v>1243</v>
      </c>
      <c r="D194" s="1" t="s">
        <v>1229</v>
      </c>
      <c r="E194" s="1" t="s">
        <v>1726</v>
      </c>
      <c r="F194" s="1" t="s">
        <v>1542</v>
      </c>
      <c r="G194" s="1" t="s">
        <v>1084</v>
      </c>
      <c r="H194" s="1">
        <v>76</v>
      </c>
      <c r="I194" s="78">
        <v>46084</v>
      </c>
    </row>
    <row r="195" spans="1:9" x14ac:dyDescent="0.25">
      <c r="A195" s="1" t="s">
        <v>1725</v>
      </c>
      <c r="B195" s="1" t="s">
        <v>1244</v>
      </c>
      <c r="C195" s="1" t="s">
        <v>1245</v>
      </c>
      <c r="D195" s="1" t="s">
        <v>1229</v>
      </c>
      <c r="E195" s="1" t="s">
        <v>1726</v>
      </c>
      <c r="F195" s="1" t="s">
        <v>1542</v>
      </c>
      <c r="G195" s="1" t="s">
        <v>1084</v>
      </c>
      <c r="H195" s="1">
        <v>40</v>
      </c>
      <c r="I195" s="78">
        <v>46084</v>
      </c>
    </row>
    <row r="196" spans="1:9" x14ac:dyDescent="0.25">
      <c r="A196" s="1" t="s">
        <v>1725</v>
      </c>
      <c r="B196" s="1" t="s">
        <v>1246</v>
      </c>
      <c r="C196" s="1" t="s">
        <v>1247</v>
      </c>
      <c r="D196" s="1" t="s">
        <v>1229</v>
      </c>
      <c r="E196" s="1" t="s">
        <v>1726</v>
      </c>
      <c r="F196" s="1" t="s">
        <v>1542</v>
      </c>
      <c r="G196" s="1" t="s">
        <v>1084</v>
      </c>
      <c r="H196" s="1">
        <v>24</v>
      </c>
      <c r="I196" s="78">
        <v>46084</v>
      </c>
    </row>
    <row r="197" spans="1:9" x14ac:dyDescent="0.25">
      <c r="A197" s="1" t="s">
        <v>1725</v>
      </c>
      <c r="B197" s="1" t="s">
        <v>1248</v>
      </c>
      <c r="C197" s="1" t="s">
        <v>1249</v>
      </c>
      <c r="D197" s="1" t="s">
        <v>1229</v>
      </c>
      <c r="E197" s="1" t="s">
        <v>1726</v>
      </c>
      <c r="F197" s="1" t="s">
        <v>1542</v>
      </c>
      <c r="G197" s="1" t="s">
        <v>1084</v>
      </c>
      <c r="H197" s="1">
        <v>20</v>
      </c>
      <c r="I197" s="78">
        <v>46084</v>
      </c>
    </row>
    <row r="198" spans="1:9" x14ac:dyDescent="0.25">
      <c r="A198" s="1" t="s">
        <v>1725</v>
      </c>
      <c r="B198" s="1" t="s">
        <v>1250</v>
      </c>
      <c r="C198" s="1" t="s">
        <v>1251</v>
      </c>
      <c r="D198" s="1" t="s">
        <v>1229</v>
      </c>
      <c r="E198" s="1" t="s">
        <v>1726</v>
      </c>
      <c r="F198" s="1" t="s">
        <v>1542</v>
      </c>
      <c r="G198" s="1" t="s">
        <v>1084</v>
      </c>
      <c r="H198" s="1">
        <v>64</v>
      </c>
      <c r="I198" s="78">
        <v>46084</v>
      </c>
    </row>
    <row r="199" spans="1:9" x14ac:dyDescent="0.25">
      <c r="A199" s="1" t="s">
        <v>1725</v>
      </c>
      <c r="B199" s="1" t="s">
        <v>1252</v>
      </c>
      <c r="C199" s="1" t="s">
        <v>1253</v>
      </c>
      <c r="D199" s="1" t="s">
        <v>1229</v>
      </c>
      <c r="E199" s="1" t="s">
        <v>1726</v>
      </c>
      <c r="F199" s="1" t="s">
        <v>1542</v>
      </c>
      <c r="G199" s="1" t="s">
        <v>1084</v>
      </c>
      <c r="H199" s="1">
        <v>76</v>
      </c>
      <c r="I199" s="78">
        <v>46084</v>
      </c>
    </row>
    <row r="200" spans="1:9" x14ac:dyDescent="0.25">
      <c r="A200" s="1" t="s">
        <v>1725</v>
      </c>
      <c r="B200" s="1" t="s">
        <v>1254</v>
      </c>
      <c r="C200" s="1" t="s">
        <v>1255</v>
      </c>
      <c r="D200" s="1" t="s">
        <v>1229</v>
      </c>
      <c r="E200" s="1" t="s">
        <v>1726</v>
      </c>
      <c r="F200" s="1" t="s">
        <v>1542</v>
      </c>
      <c r="G200" s="1" t="s">
        <v>1084</v>
      </c>
      <c r="H200" s="1">
        <v>128</v>
      </c>
      <c r="I200" s="78">
        <v>46084</v>
      </c>
    </row>
    <row r="201" spans="1:9" x14ac:dyDescent="0.25">
      <c r="A201" s="1" t="s">
        <v>1725</v>
      </c>
      <c r="B201" s="1" t="s">
        <v>1256</v>
      </c>
      <c r="C201" s="1" t="s">
        <v>1257</v>
      </c>
      <c r="D201" s="1" t="s">
        <v>1229</v>
      </c>
      <c r="E201" s="1" t="s">
        <v>1726</v>
      </c>
      <c r="F201" s="1" t="s">
        <v>1542</v>
      </c>
      <c r="G201" s="1" t="s">
        <v>1084</v>
      </c>
      <c r="H201" s="1">
        <v>90</v>
      </c>
      <c r="I201" s="78">
        <v>46084</v>
      </c>
    </row>
    <row r="202" spans="1:9" x14ac:dyDescent="0.25">
      <c r="A202" s="1" t="s">
        <v>1725</v>
      </c>
      <c r="B202" s="1" t="s">
        <v>1258</v>
      </c>
      <c r="C202" s="1" t="s">
        <v>1259</v>
      </c>
      <c r="D202" s="1" t="s">
        <v>1229</v>
      </c>
      <c r="E202" s="1" t="s">
        <v>1726</v>
      </c>
      <c r="F202" s="1" t="s">
        <v>1542</v>
      </c>
      <c r="G202" s="1" t="s">
        <v>1084</v>
      </c>
      <c r="H202" s="1">
        <v>20</v>
      </c>
      <c r="I202" s="78">
        <v>46084</v>
      </c>
    </row>
    <row r="203" spans="1:9" x14ac:dyDescent="0.25">
      <c r="A203" s="1" t="s">
        <v>1725</v>
      </c>
      <c r="B203" s="1" t="s">
        <v>1260</v>
      </c>
      <c r="C203" s="1" t="s">
        <v>1261</v>
      </c>
      <c r="D203" s="1" t="s">
        <v>1229</v>
      </c>
      <c r="E203" s="1" t="s">
        <v>1726</v>
      </c>
      <c r="F203" s="1" t="s">
        <v>1542</v>
      </c>
      <c r="G203" s="1" t="s">
        <v>1084</v>
      </c>
      <c r="H203" s="1">
        <v>15</v>
      </c>
      <c r="I203" s="78">
        <v>46084</v>
      </c>
    </row>
    <row r="204" spans="1:9" x14ac:dyDescent="0.25">
      <c r="A204" s="1" t="s">
        <v>1725</v>
      </c>
      <c r="B204" s="1" t="s">
        <v>1262</v>
      </c>
      <c r="C204" s="1" t="s">
        <v>1263</v>
      </c>
      <c r="D204" s="1" t="s">
        <v>1229</v>
      </c>
      <c r="E204" s="1" t="s">
        <v>1726</v>
      </c>
      <c r="F204" s="1" t="s">
        <v>1542</v>
      </c>
      <c r="G204" s="1" t="s">
        <v>1084</v>
      </c>
      <c r="H204" s="1">
        <v>1</v>
      </c>
      <c r="I204" s="78">
        <v>46084</v>
      </c>
    </row>
    <row r="205" spans="1:9" x14ac:dyDescent="0.25">
      <c r="A205" s="1" t="s">
        <v>1725</v>
      </c>
      <c r="B205" s="1" t="s">
        <v>1264</v>
      </c>
      <c r="C205" s="1" t="s">
        <v>1265</v>
      </c>
      <c r="D205" s="1" t="s">
        <v>1229</v>
      </c>
      <c r="E205" s="1" t="s">
        <v>1726</v>
      </c>
      <c r="F205" s="1" t="s">
        <v>1542</v>
      </c>
      <c r="G205" s="1" t="s">
        <v>1084</v>
      </c>
      <c r="H205" s="1">
        <v>324</v>
      </c>
      <c r="I205" s="78">
        <v>46084</v>
      </c>
    </row>
    <row r="206" spans="1:9" x14ac:dyDescent="0.25">
      <c r="A206" s="1" t="s">
        <v>1725</v>
      </c>
      <c r="B206" s="1" t="s">
        <v>1266</v>
      </c>
      <c r="C206" s="1" t="s">
        <v>1267</v>
      </c>
      <c r="D206" s="1" t="s">
        <v>1229</v>
      </c>
      <c r="E206" s="1" t="s">
        <v>1726</v>
      </c>
      <c r="F206" s="1" t="s">
        <v>1542</v>
      </c>
      <c r="G206" s="1" t="s">
        <v>1084</v>
      </c>
      <c r="H206" s="1">
        <v>100</v>
      </c>
      <c r="I206" s="78">
        <v>46084</v>
      </c>
    </row>
    <row r="207" spans="1:9" x14ac:dyDescent="0.25">
      <c r="A207" s="1" t="s">
        <v>1725</v>
      </c>
      <c r="B207" s="1" t="s">
        <v>1268</v>
      </c>
      <c r="C207" s="1" t="s">
        <v>1269</v>
      </c>
      <c r="D207" s="1" t="s">
        <v>1229</v>
      </c>
      <c r="E207" s="1" t="s">
        <v>1726</v>
      </c>
      <c r="F207" s="1" t="s">
        <v>1542</v>
      </c>
      <c r="G207" s="1" t="s">
        <v>1084</v>
      </c>
      <c r="H207" s="1">
        <v>50</v>
      </c>
      <c r="I207" s="78">
        <v>46084</v>
      </c>
    </row>
    <row r="208" spans="1:9" x14ac:dyDescent="0.25">
      <c r="A208" s="1" t="s">
        <v>1725</v>
      </c>
      <c r="B208" s="1" t="s">
        <v>1270</v>
      </c>
      <c r="C208" s="1" t="s">
        <v>1271</v>
      </c>
      <c r="D208" s="1" t="s">
        <v>1229</v>
      </c>
      <c r="E208" s="1" t="s">
        <v>1726</v>
      </c>
      <c r="F208" s="1" t="s">
        <v>1542</v>
      </c>
      <c r="G208" s="1" t="s">
        <v>1084</v>
      </c>
      <c r="H208" s="1">
        <v>46</v>
      </c>
      <c r="I208" s="78">
        <v>46084</v>
      </c>
    </row>
    <row r="209" spans="1:9" x14ac:dyDescent="0.25">
      <c r="A209" s="1" t="s">
        <v>1725</v>
      </c>
      <c r="B209" s="1" t="s">
        <v>1272</v>
      </c>
      <c r="C209" s="1" t="s">
        <v>1273</v>
      </c>
      <c r="D209" s="1" t="s">
        <v>1229</v>
      </c>
      <c r="E209" s="1" t="s">
        <v>1726</v>
      </c>
      <c r="F209" s="1" t="s">
        <v>1542</v>
      </c>
      <c r="G209" s="1" t="s">
        <v>1084</v>
      </c>
      <c r="H209" s="1">
        <v>46</v>
      </c>
      <c r="I209" s="78">
        <v>46084</v>
      </c>
    </row>
    <row r="210" spans="1:9" x14ac:dyDescent="0.25">
      <c r="A210" s="1" t="s">
        <v>1725</v>
      </c>
      <c r="B210" s="1" t="s">
        <v>1274</v>
      </c>
      <c r="C210" s="1" t="s">
        <v>1275</v>
      </c>
      <c r="D210" s="1" t="s">
        <v>1229</v>
      </c>
      <c r="E210" s="1" t="s">
        <v>1726</v>
      </c>
      <c r="F210" s="1" t="s">
        <v>1542</v>
      </c>
      <c r="G210" s="1" t="s">
        <v>1084</v>
      </c>
      <c r="H210" s="1">
        <v>25</v>
      </c>
      <c r="I210" s="78">
        <v>46084</v>
      </c>
    </row>
    <row r="211" spans="1:9" x14ac:dyDescent="0.25">
      <c r="A211" s="1" t="s">
        <v>1725</v>
      </c>
      <c r="B211" s="1" t="s">
        <v>1276</v>
      </c>
      <c r="C211" s="1" t="s">
        <v>1277</v>
      </c>
      <c r="D211" s="1" t="s">
        <v>1278</v>
      </c>
      <c r="E211" s="1" t="s">
        <v>1726</v>
      </c>
      <c r="F211" s="1" t="s">
        <v>1542</v>
      </c>
      <c r="G211" s="1" t="s">
        <v>1084</v>
      </c>
      <c r="H211" s="1">
        <v>6</v>
      </c>
      <c r="I211" s="78">
        <v>46084</v>
      </c>
    </row>
    <row r="212" spans="1:9" x14ac:dyDescent="0.25">
      <c r="A212" s="1" t="s">
        <v>1725</v>
      </c>
      <c r="B212" s="1" t="s">
        <v>1279</v>
      </c>
      <c r="C212" s="1" t="s">
        <v>1280</v>
      </c>
      <c r="D212" s="1" t="s">
        <v>1278</v>
      </c>
      <c r="E212" s="1" t="s">
        <v>1726</v>
      </c>
      <c r="F212" s="1" t="s">
        <v>1542</v>
      </c>
      <c r="G212" s="1" t="s">
        <v>1084</v>
      </c>
      <c r="H212" s="1">
        <v>30</v>
      </c>
      <c r="I212" s="78">
        <v>46084</v>
      </c>
    </row>
    <row r="213" spans="1:9" x14ac:dyDescent="0.25">
      <c r="A213" s="1" t="s">
        <v>1725</v>
      </c>
      <c r="B213" s="1" t="s">
        <v>1281</v>
      </c>
      <c r="C213" s="1" t="s">
        <v>1282</v>
      </c>
      <c r="D213" s="1" t="s">
        <v>1278</v>
      </c>
      <c r="E213" s="1" t="s">
        <v>1726</v>
      </c>
      <c r="F213" s="1" t="s">
        <v>1542</v>
      </c>
      <c r="G213" s="1" t="s">
        <v>1084</v>
      </c>
      <c r="H213" s="1">
        <v>20</v>
      </c>
      <c r="I213" s="78">
        <v>46084</v>
      </c>
    </row>
    <row r="214" spans="1:9" x14ac:dyDescent="0.25">
      <c r="A214" s="1" t="s">
        <v>1725</v>
      </c>
      <c r="B214" s="1" t="s">
        <v>1283</v>
      </c>
      <c r="C214" s="1" t="s">
        <v>1284</v>
      </c>
      <c r="D214" s="1" t="s">
        <v>1278</v>
      </c>
      <c r="E214" s="1" t="s">
        <v>1726</v>
      </c>
      <c r="F214" s="1" t="s">
        <v>1542</v>
      </c>
      <c r="G214" s="1" t="s">
        <v>1084</v>
      </c>
      <c r="H214" s="1">
        <v>12</v>
      </c>
      <c r="I214" s="78">
        <v>46084</v>
      </c>
    </row>
    <row r="215" spans="1:9" x14ac:dyDescent="0.25">
      <c r="A215" s="1" t="s">
        <v>1725</v>
      </c>
      <c r="B215" s="1" t="s">
        <v>1285</v>
      </c>
      <c r="C215" s="1" t="s">
        <v>1286</v>
      </c>
      <c r="D215" s="1" t="s">
        <v>1278</v>
      </c>
      <c r="E215" s="1" t="s">
        <v>1726</v>
      </c>
      <c r="F215" s="1" t="s">
        <v>1542</v>
      </c>
      <c r="G215" s="1" t="s">
        <v>1084</v>
      </c>
      <c r="H215" s="1">
        <v>1</v>
      </c>
      <c r="I215" s="78">
        <v>46084</v>
      </c>
    </row>
    <row r="216" spans="1:9" x14ac:dyDescent="0.25">
      <c r="A216" s="1" t="s">
        <v>1725</v>
      </c>
      <c r="B216" s="1" t="s">
        <v>1287</v>
      </c>
      <c r="C216" s="1" t="s">
        <v>1288</v>
      </c>
      <c r="D216" s="1" t="s">
        <v>1278</v>
      </c>
      <c r="E216" s="1" t="s">
        <v>1726</v>
      </c>
      <c r="F216" s="1" t="s">
        <v>1542</v>
      </c>
      <c r="G216" s="1" t="s">
        <v>1084</v>
      </c>
      <c r="H216" s="1">
        <v>62</v>
      </c>
      <c r="I216" s="78">
        <v>46084</v>
      </c>
    </row>
    <row r="217" spans="1:9" x14ac:dyDescent="0.25">
      <c r="A217" s="1" t="s">
        <v>1725</v>
      </c>
      <c r="B217" s="1" t="s">
        <v>1289</v>
      </c>
      <c r="C217" s="1" t="s">
        <v>1290</v>
      </c>
      <c r="D217" s="1" t="s">
        <v>1278</v>
      </c>
      <c r="E217" s="1" t="s">
        <v>1726</v>
      </c>
      <c r="F217" s="1" t="s">
        <v>1542</v>
      </c>
      <c r="G217" s="1" t="s">
        <v>1084</v>
      </c>
      <c r="H217" s="1">
        <v>1</v>
      </c>
      <c r="I217" s="78">
        <v>46084</v>
      </c>
    </row>
    <row r="218" spans="1:9" x14ac:dyDescent="0.25">
      <c r="A218" s="1" t="s">
        <v>1725</v>
      </c>
      <c r="B218" s="1" t="s">
        <v>1291</v>
      </c>
      <c r="C218" s="1" t="s">
        <v>1292</v>
      </c>
      <c r="D218" s="1" t="s">
        <v>1278</v>
      </c>
      <c r="E218" s="1" t="s">
        <v>1726</v>
      </c>
      <c r="F218" s="1" t="s">
        <v>1542</v>
      </c>
      <c r="G218" s="1" t="s">
        <v>1084</v>
      </c>
      <c r="H218" s="1">
        <v>1</v>
      </c>
      <c r="I218" s="78">
        <v>46084</v>
      </c>
    </row>
    <row r="219" spans="1:9" x14ac:dyDescent="0.25">
      <c r="A219" s="1" t="s">
        <v>1725</v>
      </c>
      <c r="B219" s="1" t="s">
        <v>1293</v>
      </c>
      <c r="C219" s="1" t="s">
        <v>1294</v>
      </c>
      <c r="D219" s="1" t="s">
        <v>1278</v>
      </c>
      <c r="E219" s="1" t="s">
        <v>1726</v>
      </c>
      <c r="F219" s="1" t="s">
        <v>1542</v>
      </c>
      <c r="G219" s="1" t="s">
        <v>1084</v>
      </c>
      <c r="H219" s="1">
        <v>1</v>
      </c>
      <c r="I219" s="78">
        <v>46084</v>
      </c>
    </row>
    <row r="220" spans="1:9" x14ac:dyDescent="0.25">
      <c r="A220" s="1" t="s">
        <v>1725</v>
      </c>
      <c r="B220" s="1" t="s">
        <v>1295</v>
      </c>
      <c r="C220" s="1" t="s">
        <v>1296</v>
      </c>
      <c r="D220" s="1" t="s">
        <v>1278</v>
      </c>
      <c r="E220" s="1" t="s">
        <v>1726</v>
      </c>
      <c r="F220" s="1" t="s">
        <v>1542</v>
      </c>
      <c r="G220" s="1" t="s">
        <v>1084</v>
      </c>
      <c r="H220" s="1">
        <v>1</v>
      </c>
      <c r="I220" s="78">
        <v>46084</v>
      </c>
    </row>
    <row r="221" spans="1:9" x14ac:dyDescent="0.25">
      <c r="A221" s="1" t="s">
        <v>1725</v>
      </c>
      <c r="B221" s="1" t="s">
        <v>1297</v>
      </c>
      <c r="C221" s="1" t="s">
        <v>1298</v>
      </c>
      <c r="D221" s="1" t="s">
        <v>1278</v>
      </c>
      <c r="E221" s="1" t="s">
        <v>1726</v>
      </c>
      <c r="F221" s="1" t="s">
        <v>1542</v>
      </c>
      <c r="G221" s="1" t="s">
        <v>1084</v>
      </c>
      <c r="H221" s="1">
        <v>10</v>
      </c>
      <c r="I221" s="78">
        <v>46084</v>
      </c>
    </row>
    <row r="222" spans="1:9" x14ac:dyDescent="0.25">
      <c r="A222" s="1" t="s">
        <v>1725</v>
      </c>
      <c r="B222" s="1" t="s">
        <v>1299</v>
      </c>
      <c r="C222" s="1" t="s">
        <v>1300</v>
      </c>
      <c r="D222" s="1" t="s">
        <v>1278</v>
      </c>
      <c r="E222" s="1" t="s">
        <v>1726</v>
      </c>
      <c r="F222" s="1" t="s">
        <v>1542</v>
      </c>
      <c r="G222" s="1" t="s">
        <v>1084</v>
      </c>
      <c r="H222" s="1">
        <v>8</v>
      </c>
      <c r="I222" s="78">
        <v>46084</v>
      </c>
    </row>
    <row r="223" spans="1:9" x14ac:dyDescent="0.25">
      <c r="A223" s="1" t="s">
        <v>1725</v>
      </c>
      <c r="B223" s="1" t="s">
        <v>1301</v>
      </c>
      <c r="C223" s="1" t="s">
        <v>1302</v>
      </c>
      <c r="D223" s="1" t="s">
        <v>1278</v>
      </c>
      <c r="E223" s="1" t="s">
        <v>1726</v>
      </c>
      <c r="F223" s="1" t="s">
        <v>1542</v>
      </c>
      <c r="G223" s="1" t="s">
        <v>1084</v>
      </c>
      <c r="H223" s="1">
        <v>4</v>
      </c>
      <c r="I223" s="78">
        <v>46084</v>
      </c>
    </row>
    <row r="224" spans="1:9" x14ac:dyDescent="0.25">
      <c r="A224" s="1" t="s">
        <v>1725</v>
      </c>
      <c r="B224" s="1" t="s">
        <v>1303</v>
      </c>
      <c r="C224" s="1" t="s">
        <v>1304</v>
      </c>
      <c r="D224" s="1" t="s">
        <v>1305</v>
      </c>
      <c r="E224" s="1" t="s">
        <v>1726</v>
      </c>
      <c r="F224" s="1" t="s">
        <v>1542</v>
      </c>
      <c r="G224" s="1" t="s">
        <v>1084</v>
      </c>
      <c r="H224" s="1">
        <v>20</v>
      </c>
      <c r="I224" s="78">
        <v>46084</v>
      </c>
    </row>
    <row r="225" spans="1:9" x14ac:dyDescent="0.25">
      <c r="A225" s="1" t="s">
        <v>1725</v>
      </c>
      <c r="B225" s="1" t="s">
        <v>1306</v>
      </c>
      <c r="C225" s="1" t="s">
        <v>1307</v>
      </c>
      <c r="D225" s="1" t="s">
        <v>1305</v>
      </c>
      <c r="E225" s="1" t="s">
        <v>1726</v>
      </c>
      <c r="F225" s="1" t="s">
        <v>1542</v>
      </c>
      <c r="G225" s="1" t="s">
        <v>1084</v>
      </c>
      <c r="H225" s="1">
        <v>10</v>
      </c>
      <c r="I225" s="78">
        <v>46084</v>
      </c>
    </row>
    <row r="226" spans="1:9" x14ac:dyDescent="0.25">
      <c r="A226" s="1" t="s">
        <v>1725</v>
      </c>
      <c r="B226" s="1" t="s">
        <v>1308</v>
      </c>
      <c r="C226" s="1" t="s">
        <v>1309</v>
      </c>
      <c r="D226" s="1" t="s">
        <v>1305</v>
      </c>
      <c r="E226" s="1" t="s">
        <v>1726</v>
      </c>
      <c r="F226" s="1" t="s">
        <v>1542</v>
      </c>
      <c r="G226" s="1" t="s">
        <v>1084</v>
      </c>
      <c r="H226" s="1">
        <v>5</v>
      </c>
      <c r="I226" s="78">
        <v>46084</v>
      </c>
    </row>
    <row r="227" spans="1:9" x14ac:dyDescent="0.25">
      <c r="A227" s="1" t="s">
        <v>1725</v>
      </c>
      <c r="B227" s="1" t="s">
        <v>1310</v>
      </c>
      <c r="C227" s="1" t="s">
        <v>1311</v>
      </c>
      <c r="D227" s="1" t="s">
        <v>1305</v>
      </c>
      <c r="E227" s="1" t="s">
        <v>1726</v>
      </c>
      <c r="F227" s="1" t="s">
        <v>1542</v>
      </c>
      <c r="G227" s="1" t="s">
        <v>1084</v>
      </c>
      <c r="H227" s="1">
        <v>6</v>
      </c>
      <c r="I227" s="78">
        <v>46084</v>
      </c>
    </row>
    <row r="228" spans="1:9" x14ac:dyDescent="0.25">
      <c r="A228" s="1" t="s">
        <v>1725</v>
      </c>
      <c r="B228" s="1" t="s">
        <v>1312</v>
      </c>
      <c r="C228" s="1" t="s">
        <v>1313</v>
      </c>
      <c r="D228" s="1" t="s">
        <v>1305</v>
      </c>
      <c r="E228" s="1" t="s">
        <v>1726</v>
      </c>
      <c r="F228" s="1" t="s">
        <v>1542</v>
      </c>
      <c r="G228" s="1" t="s">
        <v>1084</v>
      </c>
      <c r="H228" s="1">
        <v>25</v>
      </c>
      <c r="I228" s="78">
        <v>46084</v>
      </c>
    </row>
    <row r="229" spans="1:9" x14ac:dyDescent="0.25">
      <c r="A229" s="1" t="s">
        <v>1725</v>
      </c>
      <c r="B229" s="1" t="s">
        <v>1314</v>
      </c>
      <c r="C229" s="1" t="s">
        <v>1315</v>
      </c>
      <c r="D229" s="1" t="s">
        <v>1305</v>
      </c>
      <c r="E229" s="1" t="s">
        <v>1726</v>
      </c>
      <c r="F229" s="1" t="s">
        <v>1542</v>
      </c>
      <c r="G229" s="1" t="s">
        <v>1084</v>
      </c>
      <c r="H229" s="1">
        <v>6</v>
      </c>
      <c r="I229" s="78">
        <v>46084</v>
      </c>
    </row>
    <row r="230" spans="1:9" x14ac:dyDescent="0.25">
      <c r="A230" s="1" t="s">
        <v>1725</v>
      </c>
      <c r="B230" s="1" t="s">
        <v>1316</v>
      </c>
      <c r="C230" s="1" t="s">
        <v>1317</v>
      </c>
      <c r="D230" s="1" t="s">
        <v>1305</v>
      </c>
      <c r="E230" s="1" t="s">
        <v>1726</v>
      </c>
      <c r="F230" s="1" t="s">
        <v>1542</v>
      </c>
      <c r="G230" s="1" t="s">
        <v>1084</v>
      </c>
      <c r="H230" s="1">
        <v>1</v>
      </c>
      <c r="I230" s="78">
        <v>46084</v>
      </c>
    </row>
    <row r="231" spans="1:9" x14ac:dyDescent="0.25">
      <c r="A231" s="1" t="s">
        <v>1725</v>
      </c>
      <c r="B231" s="1" t="s">
        <v>1318</v>
      </c>
      <c r="C231" s="1" t="s">
        <v>1319</v>
      </c>
      <c r="D231" s="1" t="s">
        <v>1305</v>
      </c>
      <c r="E231" s="1" t="s">
        <v>1726</v>
      </c>
      <c r="F231" s="1" t="s">
        <v>1542</v>
      </c>
      <c r="G231" s="1" t="s">
        <v>1084</v>
      </c>
      <c r="H231" s="1">
        <v>1</v>
      </c>
      <c r="I231" s="78">
        <v>46084</v>
      </c>
    </row>
    <row r="232" spans="1:9" x14ac:dyDescent="0.25">
      <c r="A232" s="1" t="s">
        <v>1725</v>
      </c>
      <c r="B232" s="1" t="s">
        <v>1320</v>
      </c>
      <c r="C232" s="1" t="s">
        <v>1321</v>
      </c>
      <c r="D232" s="1" t="s">
        <v>1305</v>
      </c>
      <c r="E232" s="1" t="s">
        <v>1726</v>
      </c>
      <c r="F232" s="1" t="s">
        <v>1542</v>
      </c>
      <c r="G232" s="1" t="s">
        <v>1084</v>
      </c>
      <c r="H232" s="1">
        <v>1</v>
      </c>
      <c r="I232" s="78">
        <v>46084</v>
      </c>
    </row>
    <row r="233" spans="1:9" x14ac:dyDescent="0.25">
      <c r="A233" s="1" t="s">
        <v>1725</v>
      </c>
      <c r="B233" s="1" t="s">
        <v>1322</v>
      </c>
      <c r="C233" s="1" t="s">
        <v>1323</v>
      </c>
      <c r="D233" s="1" t="s">
        <v>1305</v>
      </c>
      <c r="E233" s="1" t="s">
        <v>1726</v>
      </c>
      <c r="F233" s="1" t="s">
        <v>1542</v>
      </c>
      <c r="G233" s="1" t="s">
        <v>1084</v>
      </c>
      <c r="H233" s="1">
        <v>4</v>
      </c>
      <c r="I233" s="78">
        <v>46084</v>
      </c>
    </row>
    <row r="234" spans="1:9" x14ac:dyDescent="0.25">
      <c r="A234" s="1" t="s">
        <v>1725</v>
      </c>
      <c r="B234" s="1" t="s">
        <v>1324</v>
      </c>
      <c r="C234" s="1" t="s">
        <v>1325</v>
      </c>
      <c r="D234" s="1" t="s">
        <v>1305</v>
      </c>
      <c r="E234" s="1" t="s">
        <v>1726</v>
      </c>
      <c r="F234" s="1" t="s">
        <v>1542</v>
      </c>
      <c r="G234" s="1" t="s">
        <v>1084</v>
      </c>
      <c r="H234" s="1">
        <v>4</v>
      </c>
      <c r="I234" s="78">
        <v>46084</v>
      </c>
    </row>
    <row r="235" spans="1:9" x14ac:dyDescent="0.25">
      <c r="A235" s="1" t="s">
        <v>1725</v>
      </c>
      <c r="B235" s="1" t="s">
        <v>1326</v>
      </c>
      <c r="C235" s="1" t="s">
        <v>1327</v>
      </c>
      <c r="D235" s="1" t="s">
        <v>1305</v>
      </c>
      <c r="E235" s="1" t="s">
        <v>1726</v>
      </c>
      <c r="F235" s="1" t="s">
        <v>1542</v>
      </c>
      <c r="G235" s="1" t="s">
        <v>1084</v>
      </c>
      <c r="H235" s="1">
        <v>1</v>
      </c>
      <c r="I235" s="78">
        <v>46084</v>
      </c>
    </row>
    <row r="236" spans="1:9" x14ac:dyDescent="0.25">
      <c r="A236" s="1" t="s">
        <v>1725</v>
      </c>
      <c r="B236" s="1" t="s">
        <v>1328</v>
      </c>
      <c r="C236" s="1" t="s">
        <v>1329</v>
      </c>
      <c r="D236" s="1" t="s">
        <v>1305</v>
      </c>
      <c r="E236" s="1" t="s">
        <v>1726</v>
      </c>
      <c r="F236" s="1" t="s">
        <v>1542</v>
      </c>
      <c r="G236" s="1" t="s">
        <v>1084</v>
      </c>
      <c r="H236" s="1">
        <v>4</v>
      </c>
      <c r="I236" s="78">
        <v>46084</v>
      </c>
    </row>
    <row r="237" spans="1:9" x14ac:dyDescent="0.25">
      <c r="A237" s="1" t="s">
        <v>1725</v>
      </c>
      <c r="B237" s="1" t="s">
        <v>1330</v>
      </c>
      <c r="C237" s="1" t="s">
        <v>1331</v>
      </c>
      <c r="D237" s="1" t="s">
        <v>1305</v>
      </c>
      <c r="E237" s="1" t="s">
        <v>1726</v>
      </c>
      <c r="F237" s="1" t="s">
        <v>1542</v>
      </c>
      <c r="G237" s="1" t="s">
        <v>1084</v>
      </c>
      <c r="H237" s="1">
        <v>1</v>
      </c>
      <c r="I237" s="78">
        <v>46084</v>
      </c>
    </row>
    <row r="238" spans="1:9" x14ac:dyDescent="0.25">
      <c r="A238" s="1" t="s">
        <v>1725</v>
      </c>
      <c r="B238" s="1" t="s">
        <v>1332</v>
      </c>
      <c r="C238" s="1" t="s">
        <v>1333</v>
      </c>
      <c r="D238" s="1" t="s">
        <v>1305</v>
      </c>
      <c r="E238" s="1" t="s">
        <v>1726</v>
      </c>
      <c r="F238" s="1" t="s">
        <v>1542</v>
      </c>
      <c r="G238" s="1" t="s">
        <v>1084</v>
      </c>
      <c r="H238" s="1">
        <v>1</v>
      </c>
      <c r="I238" s="78">
        <v>46084</v>
      </c>
    </row>
    <row r="239" spans="1:9" x14ac:dyDescent="0.25">
      <c r="A239" s="1" t="s">
        <v>1725</v>
      </c>
      <c r="B239" s="1" t="s">
        <v>1334</v>
      </c>
      <c r="C239" s="1" t="s">
        <v>1335</v>
      </c>
      <c r="D239" s="1" t="s">
        <v>1305</v>
      </c>
      <c r="E239" s="1" t="s">
        <v>1726</v>
      </c>
      <c r="F239" s="1" t="s">
        <v>1542</v>
      </c>
      <c r="G239" s="1" t="s">
        <v>1084</v>
      </c>
      <c r="H239" s="1">
        <v>1</v>
      </c>
      <c r="I239" s="78">
        <v>46084</v>
      </c>
    </row>
    <row r="240" spans="1:9" x14ac:dyDescent="0.25">
      <c r="A240" s="1" t="s">
        <v>1725</v>
      </c>
      <c r="B240" s="1" t="s">
        <v>1336</v>
      </c>
      <c r="C240" s="1" t="s">
        <v>1337</v>
      </c>
      <c r="D240" s="1" t="s">
        <v>1305</v>
      </c>
      <c r="E240" s="1" t="s">
        <v>1726</v>
      </c>
      <c r="F240" s="1" t="s">
        <v>1542</v>
      </c>
      <c r="G240" s="1" t="s">
        <v>1084</v>
      </c>
      <c r="H240" s="1">
        <v>5</v>
      </c>
      <c r="I240" s="78">
        <v>46084</v>
      </c>
    </row>
    <row r="241" spans="1:9" x14ac:dyDescent="0.25">
      <c r="A241" s="1" t="s">
        <v>1725</v>
      </c>
      <c r="B241" s="1" t="s">
        <v>1338</v>
      </c>
      <c r="C241" s="1" t="s">
        <v>1339</v>
      </c>
      <c r="D241" s="1" t="s">
        <v>1305</v>
      </c>
      <c r="E241" s="1" t="s">
        <v>1726</v>
      </c>
      <c r="F241" s="1" t="s">
        <v>1542</v>
      </c>
      <c r="G241" s="1" t="s">
        <v>1084</v>
      </c>
      <c r="H241" s="1">
        <v>10</v>
      </c>
      <c r="I241" s="78">
        <v>46084</v>
      </c>
    </row>
    <row r="242" spans="1:9" x14ac:dyDescent="0.25">
      <c r="A242" s="1" t="s">
        <v>1725</v>
      </c>
      <c r="B242" s="1" t="s">
        <v>1340</v>
      </c>
      <c r="C242" s="1" t="s">
        <v>1341</v>
      </c>
      <c r="D242" s="1" t="s">
        <v>1305</v>
      </c>
      <c r="E242" s="1" t="s">
        <v>1726</v>
      </c>
      <c r="F242" s="1" t="s">
        <v>1542</v>
      </c>
      <c r="G242" s="1" t="s">
        <v>1084</v>
      </c>
      <c r="H242" s="1">
        <v>1</v>
      </c>
      <c r="I242" s="78">
        <v>46084</v>
      </c>
    </row>
    <row r="243" spans="1:9" x14ac:dyDescent="0.25">
      <c r="A243" s="1" t="s">
        <v>1725</v>
      </c>
      <c r="B243" s="1" t="s">
        <v>1342</v>
      </c>
      <c r="C243" s="1" t="s">
        <v>1343</v>
      </c>
      <c r="D243" s="1" t="s">
        <v>1305</v>
      </c>
      <c r="E243" s="1" t="s">
        <v>1726</v>
      </c>
      <c r="F243" s="1" t="s">
        <v>1542</v>
      </c>
      <c r="G243" s="1" t="s">
        <v>1084</v>
      </c>
      <c r="H243" s="1">
        <v>1</v>
      </c>
      <c r="I243" s="78">
        <v>46084</v>
      </c>
    </row>
    <row r="244" spans="1:9" x14ac:dyDescent="0.25">
      <c r="A244" s="1" t="s">
        <v>1725</v>
      </c>
      <c r="B244" s="1" t="s">
        <v>1344</v>
      </c>
      <c r="C244" s="1" t="s">
        <v>1345</v>
      </c>
      <c r="D244" s="1" t="s">
        <v>1305</v>
      </c>
      <c r="E244" s="1" t="s">
        <v>1726</v>
      </c>
      <c r="F244" s="1" t="s">
        <v>1542</v>
      </c>
      <c r="G244" s="1" t="s">
        <v>1084</v>
      </c>
      <c r="H244" s="1">
        <v>1</v>
      </c>
      <c r="I244" s="78">
        <v>46084</v>
      </c>
    </row>
    <row r="245" spans="1:9" x14ac:dyDescent="0.25">
      <c r="A245" s="1" t="s">
        <v>1725</v>
      </c>
      <c r="B245" s="1" t="s">
        <v>1346</v>
      </c>
      <c r="C245" s="1" t="s">
        <v>1347</v>
      </c>
      <c r="D245" s="1" t="s">
        <v>1305</v>
      </c>
      <c r="E245" s="1" t="s">
        <v>1726</v>
      </c>
      <c r="F245" s="1" t="s">
        <v>1542</v>
      </c>
      <c r="G245" s="1" t="s">
        <v>1084</v>
      </c>
      <c r="H245" s="1">
        <v>10</v>
      </c>
      <c r="I245" s="78">
        <v>46084</v>
      </c>
    </row>
    <row r="246" spans="1:9" x14ac:dyDescent="0.25">
      <c r="A246" s="1" t="s">
        <v>1725</v>
      </c>
      <c r="B246" s="1" t="s">
        <v>1348</v>
      </c>
      <c r="C246" s="1" t="s">
        <v>1349</v>
      </c>
      <c r="D246" s="1" t="s">
        <v>1350</v>
      </c>
      <c r="E246" s="1" t="s">
        <v>1726</v>
      </c>
      <c r="F246" s="1" t="s">
        <v>1542</v>
      </c>
      <c r="G246" s="1" t="s">
        <v>1084</v>
      </c>
      <c r="H246" s="1">
        <v>34</v>
      </c>
      <c r="I246" s="78">
        <v>46084</v>
      </c>
    </row>
    <row r="247" spans="1:9" x14ac:dyDescent="0.25">
      <c r="A247" s="1" t="s">
        <v>1725</v>
      </c>
      <c r="B247" s="1" t="s">
        <v>1351</v>
      </c>
      <c r="C247" s="1" t="s">
        <v>1352</v>
      </c>
      <c r="D247" s="1" t="s">
        <v>1350</v>
      </c>
      <c r="E247" s="1" t="s">
        <v>1726</v>
      </c>
      <c r="F247" s="1" t="s">
        <v>1542</v>
      </c>
      <c r="G247" s="1" t="s">
        <v>1084</v>
      </c>
      <c r="H247" s="1">
        <v>12</v>
      </c>
      <c r="I247" s="78">
        <v>46084</v>
      </c>
    </row>
    <row r="248" spans="1:9" x14ac:dyDescent="0.25">
      <c r="A248" s="1" t="s">
        <v>1725</v>
      </c>
      <c r="B248" s="1" t="s">
        <v>1353</v>
      </c>
      <c r="C248" s="1" t="s">
        <v>1354</v>
      </c>
      <c r="D248" s="1" t="s">
        <v>1350</v>
      </c>
      <c r="E248" s="1" t="s">
        <v>1726</v>
      </c>
      <c r="F248" s="1" t="s">
        <v>1542</v>
      </c>
      <c r="G248" s="1" t="s">
        <v>1084</v>
      </c>
      <c r="H248" s="1">
        <v>32</v>
      </c>
      <c r="I248" s="78">
        <v>46084</v>
      </c>
    </row>
    <row r="249" spans="1:9" x14ac:dyDescent="0.25">
      <c r="A249" s="1" t="s">
        <v>1725</v>
      </c>
      <c r="B249" s="1" t="s">
        <v>1355</v>
      </c>
      <c r="C249" s="1" t="s">
        <v>1356</v>
      </c>
      <c r="D249" s="1" t="s">
        <v>1350</v>
      </c>
      <c r="E249" s="1" t="s">
        <v>1726</v>
      </c>
      <c r="F249" s="1" t="s">
        <v>1542</v>
      </c>
      <c r="G249" s="1" t="s">
        <v>1084</v>
      </c>
      <c r="H249" s="1">
        <v>6</v>
      </c>
      <c r="I249" s="78">
        <v>46084</v>
      </c>
    </row>
    <row r="250" spans="1:9" x14ac:dyDescent="0.25">
      <c r="A250" s="1" t="s">
        <v>1725</v>
      </c>
      <c r="B250" s="1" t="s">
        <v>1357</v>
      </c>
      <c r="C250" s="1" t="s">
        <v>1358</v>
      </c>
      <c r="D250" s="1" t="s">
        <v>1350</v>
      </c>
      <c r="E250" s="1" t="s">
        <v>1726</v>
      </c>
      <c r="F250" s="1" t="s">
        <v>1542</v>
      </c>
      <c r="G250" s="1" t="s">
        <v>1084</v>
      </c>
      <c r="H250" s="1">
        <v>5</v>
      </c>
      <c r="I250" s="78">
        <v>46084</v>
      </c>
    </row>
    <row r="251" spans="1:9" x14ac:dyDescent="0.25">
      <c r="A251" s="1" t="s">
        <v>1725</v>
      </c>
      <c r="B251" s="1" t="s">
        <v>1359</v>
      </c>
      <c r="C251" s="1" t="s">
        <v>1360</v>
      </c>
      <c r="D251" s="1" t="s">
        <v>1350</v>
      </c>
      <c r="E251" s="1" t="s">
        <v>1726</v>
      </c>
      <c r="F251" s="1" t="s">
        <v>1542</v>
      </c>
      <c r="G251" s="1" t="s">
        <v>1084</v>
      </c>
      <c r="H251" s="1">
        <v>5</v>
      </c>
      <c r="I251" s="78">
        <v>46084</v>
      </c>
    </row>
    <row r="252" spans="1:9" x14ac:dyDescent="0.25">
      <c r="A252" s="1" t="s">
        <v>1725</v>
      </c>
      <c r="B252" s="1" t="s">
        <v>1361</v>
      </c>
      <c r="C252" s="1" t="s">
        <v>1362</v>
      </c>
      <c r="D252" s="1" t="s">
        <v>1350</v>
      </c>
      <c r="E252" s="1" t="s">
        <v>1726</v>
      </c>
      <c r="F252" s="1" t="s">
        <v>1542</v>
      </c>
      <c r="G252" s="1" t="s">
        <v>1084</v>
      </c>
      <c r="H252" s="1">
        <v>2</v>
      </c>
      <c r="I252" s="78">
        <v>46084</v>
      </c>
    </row>
    <row r="253" spans="1:9" x14ac:dyDescent="0.25">
      <c r="A253" s="1" t="s">
        <v>1725</v>
      </c>
      <c r="B253" s="1" t="s">
        <v>1363</v>
      </c>
      <c r="C253" s="1" t="s">
        <v>1364</v>
      </c>
      <c r="D253" s="1" t="s">
        <v>1350</v>
      </c>
      <c r="E253" s="1" t="s">
        <v>1726</v>
      </c>
      <c r="F253" s="1" t="s">
        <v>1542</v>
      </c>
      <c r="G253" s="1" t="s">
        <v>1177</v>
      </c>
      <c r="H253" s="1">
        <v>100</v>
      </c>
      <c r="I253" s="78">
        <v>46084</v>
      </c>
    </row>
    <row r="254" spans="1:9" x14ac:dyDescent="0.25">
      <c r="A254" s="1" t="s">
        <v>1725</v>
      </c>
      <c r="B254" s="1" t="s">
        <v>1365</v>
      </c>
      <c r="C254" s="1" t="s">
        <v>1366</v>
      </c>
      <c r="D254" s="1" t="s">
        <v>1350</v>
      </c>
      <c r="E254" s="1" t="s">
        <v>1726</v>
      </c>
      <c r="F254" s="1" t="s">
        <v>1542</v>
      </c>
      <c r="G254" s="1" t="s">
        <v>1177</v>
      </c>
      <c r="H254" s="1">
        <v>100</v>
      </c>
      <c r="I254" s="78">
        <v>46084</v>
      </c>
    </row>
    <row r="255" spans="1:9" x14ac:dyDescent="0.25">
      <c r="A255" s="1" t="s">
        <v>1725</v>
      </c>
      <c r="B255" s="1" t="s">
        <v>1367</v>
      </c>
      <c r="C255" s="1" t="s">
        <v>1368</v>
      </c>
      <c r="D255" s="1" t="s">
        <v>1350</v>
      </c>
      <c r="E255" s="1" t="s">
        <v>1726</v>
      </c>
      <c r="F255" s="1" t="s">
        <v>1542</v>
      </c>
      <c r="G255" s="1" t="s">
        <v>1177</v>
      </c>
      <c r="H255" s="1">
        <v>80</v>
      </c>
      <c r="I255" s="78">
        <v>46084</v>
      </c>
    </row>
    <row r="256" spans="1:9" x14ac:dyDescent="0.25">
      <c r="A256" s="1" t="s">
        <v>1725</v>
      </c>
      <c r="B256" s="1" t="s">
        <v>1369</v>
      </c>
      <c r="C256" s="1" t="s">
        <v>1370</v>
      </c>
      <c r="D256" s="1" t="s">
        <v>1350</v>
      </c>
      <c r="E256" s="1" t="s">
        <v>1726</v>
      </c>
      <c r="F256" s="1" t="s">
        <v>1542</v>
      </c>
      <c r="G256" s="1" t="s">
        <v>1177</v>
      </c>
      <c r="H256" s="1">
        <v>90</v>
      </c>
      <c r="I256" s="78">
        <v>46084</v>
      </c>
    </row>
    <row r="257" spans="1:9" x14ac:dyDescent="0.25">
      <c r="A257" s="1" t="s">
        <v>1725</v>
      </c>
      <c r="B257" s="1" t="s">
        <v>1371</v>
      </c>
      <c r="C257" s="1" t="s">
        <v>1372</v>
      </c>
      <c r="D257" s="1" t="s">
        <v>1350</v>
      </c>
      <c r="E257" s="1" t="s">
        <v>1726</v>
      </c>
      <c r="F257" s="1" t="s">
        <v>1542</v>
      </c>
      <c r="G257" s="1" t="s">
        <v>1177</v>
      </c>
      <c r="H257" s="1">
        <v>120</v>
      </c>
      <c r="I257" s="78">
        <v>46084</v>
      </c>
    </row>
    <row r="258" spans="1:9" x14ac:dyDescent="0.25">
      <c r="A258" s="1" t="s">
        <v>1725</v>
      </c>
      <c r="B258" s="1" t="s">
        <v>1373</v>
      </c>
      <c r="C258" s="1" t="s">
        <v>1374</v>
      </c>
      <c r="D258" s="1" t="s">
        <v>1350</v>
      </c>
      <c r="E258" s="1" t="s">
        <v>1726</v>
      </c>
      <c r="F258" s="1" t="s">
        <v>1542</v>
      </c>
      <c r="G258" s="1" t="s">
        <v>1177</v>
      </c>
      <c r="H258" s="1">
        <v>400</v>
      </c>
      <c r="I258" s="78">
        <v>46084</v>
      </c>
    </row>
    <row r="259" spans="1:9" x14ac:dyDescent="0.25">
      <c r="A259" s="1" t="s">
        <v>1725</v>
      </c>
      <c r="B259" s="1" t="s">
        <v>1375</v>
      </c>
      <c r="C259" s="1" t="s">
        <v>1376</v>
      </c>
      <c r="D259" s="1" t="s">
        <v>1350</v>
      </c>
      <c r="E259" s="1" t="s">
        <v>1726</v>
      </c>
      <c r="F259" s="1" t="s">
        <v>1542</v>
      </c>
      <c r="G259" s="1" t="s">
        <v>1177</v>
      </c>
      <c r="H259" s="1">
        <v>80</v>
      </c>
      <c r="I259" s="78">
        <v>46084</v>
      </c>
    </row>
    <row r="260" spans="1:9" x14ac:dyDescent="0.25">
      <c r="A260" s="1" t="s">
        <v>1725</v>
      </c>
      <c r="B260" s="1" t="s">
        <v>1377</v>
      </c>
      <c r="C260" s="1" t="s">
        <v>1378</v>
      </c>
      <c r="D260" s="1" t="s">
        <v>1350</v>
      </c>
      <c r="E260" s="1" t="s">
        <v>1726</v>
      </c>
      <c r="F260" s="1" t="s">
        <v>1542</v>
      </c>
      <c r="G260" s="1" t="s">
        <v>1177</v>
      </c>
      <c r="H260" s="1">
        <v>25</v>
      </c>
      <c r="I260" s="78">
        <v>46084</v>
      </c>
    </row>
    <row r="261" spans="1:9" x14ac:dyDescent="0.25">
      <c r="A261" s="1" t="s">
        <v>1725</v>
      </c>
      <c r="B261" s="1" t="s">
        <v>1379</v>
      </c>
      <c r="C261" s="1" t="s">
        <v>1380</v>
      </c>
      <c r="D261" s="1" t="s">
        <v>1350</v>
      </c>
      <c r="E261" s="1" t="s">
        <v>1726</v>
      </c>
      <c r="F261" s="1" t="s">
        <v>1542</v>
      </c>
      <c r="G261" s="1" t="s">
        <v>1177</v>
      </c>
      <c r="H261" s="1">
        <v>10</v>
      </c>
      <c r="I261" s="78">
        <v>46084</v>
      </c>
    </row>
    <row r="262" spans="1:9" x14ac:dyDescent="0.25">
      <c r="A262" s="1" t="s">
        <v>1725</v>
      </c>
      <c r="B262" s="1" t="s">
        <v>1381</v>
      </c>
      <c r="C262" s="1" t="s">
        <v>1382</v>
      </c>
      <c r="D262" s="1" t="s">
        <v>1350</v>
      </c>
      <c r="E262" s="1" t="s">
        <v>1726</v>
      </c>
      <c r="F262" s="1" t="s">
        <v>1542</v>
      </c>
      <c r="G262" s="1" t="s">
        <v>1177</v>
      </c>
      <c r="H262" s="1">
        <v>50</v>
      </c>
      <c r="I262" s="78">
        <v>46084</v>
      </c>
    </row>
    <row r="263" spans="1:9" x14ac:dyDescent="0.25">
      <c r="A263" s="1" t="s">
        <v>1725</v>
      </c>
      <c r="B263" s="1" t="s">
        <v>1383</v>
      </c>
      <c r="C263" s="1" t="s">
        <v>1384</v>
      </c>
      <c r="D263" s="1" t="s">
        <v>1350</v>
      </c>
      <c r="E263" s="1" t="s">
        <v>1726</v>
      </c>
      <c r="F263" s="1" t="s">
        <v>1542</v>
      </c>
      <c r="G263" s="1" t="s">
        <v>1177</v>
      </c>
      <c r="H263" s="1">
        <v>50</v>
      </c>
      <c r="I263" s="78">
        <v>46084</v>
      </c>
    </row>
    <row r="264" spans="1:9" x14ac:dyDescent="0.25">
      <c r="A264" s="1" t="s">
        <v>1725</v>
      </c>
      <c r="B264" s="1" t="s">
        <v>1385</v>
      </c>
      <c r="C264" s="1" t="s">
        <v>1386</v>
      </c>
      <c r="D264" s="1" t="s">
        <v>1350</v>
      </c>
      <c r="E264" s="1" t="s">
        <v>1726</v>
      </c>
      <c r="F264" s="1" t="s">
        <v>1542</v>
      </c>
      <c r="G264" s="1" t="s">
        <v>1177</v>
      </c>
      <c r="H264" s="1">
        <v>150</v>
      </c>
      <c r="I264" s="78">
        <v>46084</v>
      </c>
    </row>
    <row r="265" spans="1:9" x14ac:dyDescent="0.25">
      <c r="A265" s="1" t="s">
        <v>1725</v>
      </c>
      <c r="B265" s="1" t="s">
        <v>1387</v>
      </c>
      <c r="C265" s="1" t="s">
        <v>1388</v>
      </c>
      <c r="D265" s="1" t="s">
        <v>1350</v>
      </c>
      <c r="E265" s="1" t="s">
        <v>1726</v>
      </c>
      <c r="F265" s="1" t="s">
        <v>1542</v>
      </c>
      <c r="G265" s="1" t="s">
        <v>1177</v>
      </c>
      <c r="H265" s="1">
        <v>40</v>
      </c>
      <c r="I265" s="78">
        <v>46084</v>
      </c>
    </row>
    <row r="266" spans="1:9" x14ac:dyDescent="0.25">
      <c r="A266" s="1" t="s">
        <v>1725</v>
      </c>
      <c r="B266" s="1" t="s">
        <v>1389</v>
      </c>
      <c r="C266" s="1" t="s">
        <v>1390</v>
      </c>
      <c r="D266" s="1" t="s">
        <v>1350</v>
      </c>
      <c r="E266" s="1" t="s">
        <v>1726</v>
      </c>
      <c r="F266" s="1" t="s">
        <v>1542</v>
      </c>
      <c r="G266" s="1" t="s">
        <v>1177</v>
      </c>
      <c r="H266" s="1">
        <v>150</v>
      </c>
      <c r="I266" s="78">
        <v>46084</v>
      </c>
    </row>
    <row r="267" spans="1:9" x14ac:dyDescent="0.25">
      <c r="A267" s="1" t="s">
        <v>1725</v>
      </c>
      <c r="B267" s="1" t="s">
        <v>1391</v>
      </c>
      <c r="C267" s="1" t="s">
        <v>1392</v>
      </c>
      <c r="D267" s="1" t="s">
        <v>1350</v>
      </c>
      <c r="E267" s="1" t="s">
        <v>1726</v>
      </c>
      <c r="F267" s="1" t="s">
        <v>1542</v>
      </c>
      <c r="G267" s="1" t="s">
        <v>1177</v>
      </c>
      <c r="H267" s="1">
        <v>150</v>
      </c>
      <c r="I267" s="78">
        <v>46084</v>
      </c>
    </row>
    <row r="268" spans="1:9" x14ac:dyDescent="0.25">
      <c r="A268" s="1" t="s">
        <v>1725</v>
      </c>
      <c r="B268" s="1" t="s">
        <v>1393</v>
      </c>
      <c r="C268" s="1" t="s">
        <v>1394</v>
      </c>
      <c r="D268" s="1" t="s">
        <v>1350</v>
      </c>
      <c r="E268" s="1" t="s">
        <v>1726</v>
      </c>
      <c r="F268" s="1" t="s">
        <v>1542</v>
      </c>
      <c r="G268" s="1" t="s">
        <v>1177</v>
      </c>
      <c r="H268" s="1">
        <v>60</v>
      </c>
      <c r="I268" s="78">
        <v>46084</v>
      </c>
    </row>
    <row r="269" spans="1:9" x14ac:dyDescent="0.25">
      <c r="A269" s="1" t="s">
        <v>1725</v>
      </c>
      <c r="B269" s="1" t="s">
        <v>1395</v>
      </c>
      <c r="C269" s="1" t="s">
        <v>1396</v>
      </c>
      <c r="D269" s="1" t="s">
        <v>1350</v>
      </c>
      <c r="E269" s="1" t="s">
        <v>1726</v>
      </c>
      <c r="F269" s="1" t="s">
        <v>1542</v>
      </c>
      <c r="G269" s="1" t="s">
        <v>1177</v>
      </c>
      <c r="H269" s="1">
        <v>60</v>
      </c>
      <c r="I269" s="78">
        <v>46084</v>
      </c>
    </row>
    <row r="270" spans="1:9" x14ac:dyDescent="0.25">
      <c r="A270" s="1" t="s">
        <v>1725</v>
      </c>
      <c r="B270" s="1" t="s">
        <v>1397</v>
      </c>
      <c r="C270" s="1" t="s">
        <v>1398</v>
      </c>
      <c r="D270" s="1" t="s">
        <v>1350</v>
      </c>
      <c r="E270" s="1" t="s">
        <v>1726</v>
      </c>
      <c r="F270" s="1" t="s">
        <v>1542</v>
      </c>
      <c r="G270" s="1" t="s">
        <v>1084</v>
      </c>
      <c r="H270" s="1">
        <v>35</v>
      </c>
      <c r="I270" s="78">
        <v>46084</v>
      </c>
    </row>
    <row r="271" spans="1:9" x14ac:dyDescent="0.25">
      <c r="A271" s="1" t="s">
        <v>1725</v>
      </c>
      <c r="B271" s="1" t="s">
        <v>1399</v>
      </c>
      <c r="C271" s="1" t="s">
        <v>1400</v>
      </c>
      <c r="D271" s="1" t="s">
        <v>1350</v>
      </c>
      <c r="E271" s="1" t="s">
        <v>1726</v>
      </c>
      <c r="F271" s="1" t="s">
        <v>1542</v>
      </c>
      <c r="G271" s="1" t="s">
        <v>1084</v>
      </c>
      <c r="H271" s="1">
        <v>1</v>
      </c>
      <c r="I271" s="78">
        <v>46084</v>
      </c>
    </row>
    <row r="272" spans="1:9" x14ac:dyDescent="0.25">
      <c r="A272" s="1" t="s">
        <v>1725</v>
      </c>
      <c r="B272" s="1" t="s">
        <v>1403</v>
      </c>
      <c r="C272" s="1" t="s">
        <v>1404</v>
      </c>
      <c r="D272" s="1" t="s">
        <v>1350</v>
      </c>
      <c r="E272" s="1" t="s">
        <v>1726</v>
      </c>
      <c r="F272" s="1" t="s">
        <v>1542</v>
      </c>
      <c r="G272" s="1" t="s">
        <v>1084</v>
      </c>
      <c r="H272" s="1">
        <v>5</v>
      </c>
      <c r="I272" s="78">
        <v>46084</v>
      </c>
    </row>
    <row r="273" spans="1:9" x14ac:dyDescent="0.25">
      <c r="A273" s="1" t="s">
        <v>1725</v>
      </c>
      <c r="B273" s="1" t="s">
        <v>1405</v>
      </c>
      <c r="C273" s="1" t="s">
        <v>1406</v>
      </c>
      <c r="D273" s="1" t="s">
        <v>1350</v>
      </c>
      <c r="E273" s="1" t="s">
        <v>1726</v>
      </c>
      <c r="F273" s="1" t="s">
        <v>1542</v>
      </c>
      <c r="G273" s="1" t="s">
        <v>1084</v>
      </c>
      <c r="H273" s="1">
        <v>15</v>
      </c>
      <c r="I273" s="78">
        <v>46084</v>
      </c>
    </row>
    <row r="274" spans="1:9" x14ac:dyDescent="0.25">
      <c r="A274" s="1" t="s">
        <v>1725</v>
      </c>
      <c r="B274" s="1" t="s">
        <v>1407</v>
      </c>
      <c r="C274" s="1" t="s">
        <v>1408</v>
      </c>
      <c r="D274" s="1" t="s">
        <v>1350</v>
      </c>
      <c r="E274" s="1" t="s">
        <v>1726</v>
      </c>
      <c r="F274" s="1" t="s">
        <v>1542</v>
      </c>
      <c r="G274" s="1" t="s">
        <v>1084</v>
      </c>
      <c r="H274" s="1">
        <v>1</v>
      </c>
      <c r="I274" s="78">
        <v>46084</v>
      </c>
    </row>
    <row r="275" spans="1:9" x14ac:dyDescent="0.25">
      <c r="A275" s="1" t="s">
        <v>1725</v>
      </c>
      <c r="B275" s="1" t="s">
        <v>1409</v>
      </c>
      <c r="C275" s="1" t="s">
        <v>1410</v>
      </c>
      <c r="D275" s="1" t="s">
        <v>1350</v>
      </c>
      <c r="E275" s="1" t="s">
        <v>1726</v>
      </c>
      <c r="F275" s="1" t="s">
        <v>1542</v>
      </c>
      <c r="G275" s="1" t="s">
        <v>1084</v>
      </c>
      <c r="H275" s="1">
        <v>1</v>
      </c>
      <c r="I275" s="78">
        <v>46084</v>
      </c>
    </row>
    <row r="276" spans="1:9" x14ac:dyDescent="0.25">
      <c r="A276" s="1" t="s">
        <v>1725</v>
      </c>
      <c r="B276" s="1" t="s">
        <v>1411</v>
      </c>
      <c r="C276" s="1" t="s">
        <v>1410</v>
      </c>
      <c r="D276" s="1" t="s">
        <v>1350</v>
      </c>
      <c r="E276" s="1" t="s">
        <v>1726</v>
      </c>
      <c r="F276" s="1" t="s">
        <v>1542</v>
      </c>
      <c r="G276" s="1" t="s">
        <v>1084</v>
      </c>
      <c r="H276" s="1">
        <v>1</v>
      </c>
      <c r="I276" s="78">
        <v>46084</v>
      </c>
    </row>
    <row r="277" spans="1:9" x14ac:dyDescent="0.25">
      <c r="A277" s="1" t="s">
        <v>1725</v>
      </c>
      <c r="B277" s="1" t="s">
        <v>1412</v>
      </c>
      <c r="C277" s="1" t="s">
        <v>1413</v>
      </c>
      <c r="D277" s="1" t="s">
        <v>1350</v>
      </c>
      <c r="E277" s="1" t="s">
        <v>1726</v>
      </c>
      <c r="F277" s="1" t="s">
        <v>1542</v>
      </c>
      <c r="G277" s="1" t="s">
        <v>1084</v>
      </c>
      <c r="H277" s="1">
        <v>6</v>
      </c>
      <c r="I277" s="78">
        <v>46084</v>
      </c>
    </row>
    <row r="278" spans="1:9" x14ac:dyDescent="0.25">
      <c r="A278" s="1" t="s">
        <v>1725</v>
      </c>
      <c r="B278" s="1" t="s">
        <v>1414</v>
      </c>
      <c r="C278" s="1" t="s">
        <v>1413</v>
      </c>
      <c r="D278" s="1" t="s">
        <v>1350</v>
      </c>
      <c r="E278" s="1" t="s">
        <v>1726</v>
      </c>
      <c r="F278" s="1" t="s">
        <v>1542</v>
      </c>
      <c r="G278" s="1" t="s">
        <v>1084</v>
      </c>
      <c r="H278" s="1">
        <v>5</v>
      </c>
      <c r="I278" s="78">
        <v>46084</v>
      </c>
    </row>
    <row r="279" spans="1:9" x14ac:dyDescent="0.25">
      <c r="A279" s="1" t="s">
        <v>1725</v>
      </c>
      <c r="B279" s="1" t="s">
        <v>1415</v>
      </c>
      <c r="C279" s="1" t="s">
        <v>1416</v>
      </c>
      <c r="D279" s="1" t="s">
        <v>1350</v>
      </c>
      <c r="E279" s="1" t="s">
        <v>1726</v>
      </c>
      <c r="F279" s="1" t="s">
        <v>1542</v>
      </c>
      <c r="G279" s="1" t="s">
        <v>1177</v>
      </c>
      <c r="H279" s="1">
        <v>50</v>
      </c>
      <c r="I279" s="78">
        <v>46084</v>
      </c>
    </row>
    <row r="280" spans="1:9" x14ac:dyDescent="0.25">
      <c r="A280" s="1" t="s">
        <v>1725</v>
      </c>
      <c r="B280" s="1" t="s">
        <v>1417</v>
      </c>
      <c r="C280" s="1" t="s">
        <v>1418</v>
      </c>
      <c r="D280" s="1" t="s">
        <v>1350</v>
      </c>
      <c r="E280" s="1" t="s">
        <v>1726</v>
      </c>
      <c r="F280" s="1" t="s">
        <v>1542</v>
      </c>
      <c r="G280" s="1" t="s">
        <v>1177</v>
      </c>
      <c r="H280" s="1">
        <v>80</v>
      </c>
      <c r="I280" s="78">
        <v>46084</v>
      </c>
    </row>
    <row r="281" spans="1:9" x14ac:dyDescent="0.25">
      <c r="A281" s="1" t="s">
        <v>1725</v>
      </c>
      <c r="B281" s="1" t="s">
        <v>1419</v>
      </c>
      <c r="C281" s="1" t="s">
        <v>1420</v>
      </c>
      <c r="D281" s="1" t="s">
        <v>1350</v>
      </c>
      <c r="E281" s="1" t="s">
        <v>1726</v>
      </c>
      <c r="F281" s="1" t="s">
        <v>1542</v>
      </c>
      <c r="G281" s="1" t="s">
        <v>1177</v>
      </c>
      <c r="H281" s="1">
        <v>30</v>
      </c>
      <c r="I281" s="78">
        <v>46084</v>
      </c>
    </row>
    <row r="282" spans="1:9" x14ac:dyDescent="0.25">
      <c r="A282" s="1" t="s">
        <v>1725</v>
      </c>
      <c r="B282" s="1" t="s">
        <v>1421</v>
      </c>
      <c r="C282" s="1" t="s">
        <v>1422</v>
      </c>
      <c r="D282" s="1" t="s">
        <v>1423</v>
      </c>
      <c r="E282" s="1" t="s">
        <v>1726</v>
      </c>
      <c r="F282" s="1" t="s">
        <v>1727</v>
      </c>
      <c r="G282" s="1" t="s">
        <v>1110</v>
      </c>
      <c r="H282" s="1">
        <v>559</v>
      </c>
      <c r="I282" s="78">
        <v>46084</v>
      </c>
    </row>
    <row r="283" spans="1:9" x14ac:dyDescent="0.25">
      <c r="A283" s="1" t="s">
        <v>1725</v>
      </c>
      <c r="B283" s="1" t="s">
        <v>1424</v>
      </c>
      <c r="C283" s="1" t="s">
        <v>1425</v>
      </c>
      <c r="D283" s="1" t="s">
        <v>1423</v>
      </c>
      <c r="E283" s="1" t="s">
        <v>1726</v>
      </c>
      <c r="F283" s="1" t="s">
        <v>1729</v>
      </c>
      <c r="G283" s="1" t="s">
        <v>1110</v>
      </c>
      <c r="H283" s="1">
        <v>60.74</v>
      </c>
      <c r="I283" s="78">
        <v>46084</v>
      </c>
    </row>
    <row r="284" spans="1:9" x14ac:dyDescent="0.25">
      <c r="A284" s="1" t="s">
        <v>1725</v>
      </c>
      <c r="B284" s="1" t="s">
        <v>1426</v>
      </c>
      <c r="C284" s="1" t="s">
        <v>1427</v>
      </c>
      <c r="D284" s="1" t="s">
        <v>1423</v>
      </c>
      <c r="E284" s="1" t="s">
        <v>1726</v>
      </c>
      <c r="F284" s="1" t="s">
        <v>1762</v>
      </c>
      <c r="G284" s="1" t="s">
        <v>1110</v>
      </c>
      <c r="H284" s="1">
        <v>182</v>
      </c>
      <c r="I284" s="78">
        <v>46084</v>
      </c>
    </row>
    <row r="285" spans="1:9" x14ac:dyDescent="0.25">
      <c r="A285" s="1" t="s">
        <v>1725</v>
      </c>
      <c r="B285" s="1" t="s">
        <v>1428</v>
      </c>
      <c r="C285" s="1" t="s">
        <v>1429</v>
      </c>
      <c r="D285" s="1" t="s">
        <v>1423</v>
      </c>
      <c r="E285" s="1" t="s">
        <v>1726</v>
      </c>
      <c r="F285" s="1" t="s">
        <v>1762</v>
      </c>
      <c r="G285" s="1" t="s">
        <v>1177</v>
      </c>
      <c r="H285" s="1">
        <v>172.84</v>
      </c>
      <c r="I285" s="78">
        <v>46084</v>
      </c>
    </row>
    <row r="286" spans="1:9" x14ac:dyDescent="0.25">
      <c r="A286" s="1" t="s">
        <v>1725</v>
      </c>
      <c r="B286" s="1" t="s">
        <v>1426</v>
      </c>
      <c r="C286" s="1" t="s">
        <v>1427</v>
      </c>
      <c r="D286" s="1" t="s">
        <v>1423</v>
      </c>
      <c r="E286" s="1" t="s">
        <v>1726</v>
      </c>
      <c r="F286" s="1" t="s">
        <v>1765</v>
      </c>
      <c r="G286" s="1" t="s">
        <v>1110</v>
      </c>
      <c r="H286" s="1">
        <v>182</v>
      </c>
      <c r="I286" s="78">
        <v>46084</v>
      </c>
    </row>
    <row r="287" spans="1:9" x14ac:dyDescent="0.25">
      <c r="A287" s="1" t="s">
        <v>1725</v>
      </c>
      <c r="B287" s="1" t="s">
        <v>1428</v>
      </c>
      <c r="C287" s="1" t="s">
        <v>1429</v>
      </c>
      <c r="D287" s="1" t="s">
        <v>1423</v>
      </c>
      <c r="E287" s="1" t="s">
        <v>1726</v>
      </c>
      <c r="F287" s="1" t="s">
        <v>1765</v>
      </c>
      <c r="G287" s="1" t="s">
        <v>1177</v>
      </c>
      <c r="H287" s="1">
        <v>172.84</v>
      </c>
      <c r="I287" s="78">
        <v>46084</v>
      </c>
    </row>
    <row r="288" spans="1:9" x14ac:dyDescent="0.25">
      <c r="A288" s="1" t="s">
        <v>1725</v>
      </c>
      <c r="B288" s="1" t="s">
        <v>1430</v>
      </c>
      <c r="C288" s="1" t="s">
        <v>1431</v>
      </c>
      <c r="D288" s="1" t="s">
        <v>1432</v>
      </c>
      <c r="E288" s="1" t="s">
        <v>1726</v>
      </c>
      <c r="F288" s="1" t="s">
        <v>1542</v>
      </c>
      <c r="G288" s="1" t="s">
        <v>1084</v>
      </c>
      <c r="H288" s="1">
        <v>1</v>
      </c>
      <c r="I288" s="78">
        <v>46084</v>
      </c>
    </row>
    <row r="289" spans="1:9" x14ac:dyDescent="0.25">
      <c r="A289" s="1" t="s">
        <v>1725</v>
      </c>
      <c r="B289" s="1" t="s">
        <v>1433</v>
      </c>
      <c r="C289" s="1" t="s">
        <v>1434</v>
      </c>
      <c r="D289" s="1" t="s">
        <v>1435</v>
      </c>
      <c r="E289" s="1" t="s">
        <v>1726</v>
      </c>
      <c r="F289" s="1" t="s">
        <v>1542</v>
      </c>
      <c r="G289" s="1" t="s">
        <v>1110</v>
      </c>
      <c r="H289" s="1">
        <v>190</v>
      </c>
      <c r="I289" s="78">
        <v>46084</v>
      </c>
    </row>
    <row r="290" spans="1:9" x14ac:dyDescent="0.25">
      <c r="A290" s="1" t="s">
        <v>1725</v>
      </c>
      <c r="B290" s="1" t="s">
        <v>1433</v>
      </c>
      <c r="C290" s="1" t="s">
        <v>1434</v>
      </c>
      <c r="D290" s="1" t="s">
        <v>1435</v>
      </c>
      <c r="E290" s="1" t="s">
        <v>1728</v>
      </c>
      <c r="F290" s="1" t="s">
        <v>1542</v>
      </c>
      <c r="G290" s="1" t="s">
        <v>1110</v>
      </c>
      <c r="H290" s="1">
        <v>233.97</v>
      </c>
      <c r="I290" s="78">
        <v>46084</v>
      </c>
    </row>
    <row r="291" spans="1:9" x14ac:dyDescent="0.25">
      <c r="A291" s="1" t="s">
        <v>1725</v>
      </c>
      <c r="B291" s="1" t="s">
        <v>1436</v>
      </c>
      <c r="C291" s="1" t="s">
        <v>1437</v>
      </c>
      <c r="D291" s="1" t="s">
        <v>1438</v>
      </c>
      <c r="E291" s="1" t="s">
        <v>1726</v>
      </c>
      <c r="F291" s="1" t="s">
        <v>1727</v>
      </c>
      <c r="G291" s="1" t="s">
        <v>1110</v>
      </c>
      <c r="H291" s="1">
        <v>1701</v>
      </c>
      <c r="I291" s="78">
        <v>46084</v>
      </c>
    </row>
    <row r="292" spans="1:9" x14ac:dyDescent="0.25">
      <c r="A292" s="1" t="s">
        <v>1725</v>
      </c>
      <c r="B292" s="1" t="s">
        <v>1439</v>
      </c>
      <c r="C292" s="1" t="s">
        <v>1440</v>
      </c>
      <c r="D292" s="1" t="s">
        <v>1438</v>
      </c>
      <c r="E292" s="1" t="s">
        <v>1726</v>
      </c>
      <c r="F292" s="1" t="s">
        <v>1727</v>
      </c>
      <c r="G292" s="1" t="s">
        <v>1110</v>
      </c>
      <c r="H292" s="1">
        <v>1701</v>
      </c>
      <c r="I292" s="78">
        <v>46084</v>
      </c>
    </row>
    <row r="293" spans="1:9" x14ac:dyDescent="0.25">
      <c r="A293" s="1" t="s">
        <v>1725</v>
      </c>
      <c r="B293" s="1" t="s">
        <v>1441</v>
      </c>
      <c r="C293" s="1" t="s">
        <v>1437</v>
      </c>
      <c r="D293" s="1" t="s">
        <v>1438</v>
      </c>
      <c r="E293" s="1" t="s">
        <v>1726</v>
      </c>
      <c r="F293" s="1" t="s">
        <v>1727</v>
      </c>
      <c r="G293" s="1" t="s">
        <v>1110</v>
      </c>
      <c r="H293" s="1">
        <v>210</v>
      </c>
      <c r="I293" s="78">
        <v>46084</v>
      </c>
    </row>
    <row r="294" spans="1:9" x14ac:dyDescent="0.25">
      <c r="A294" s="1" t="s">
        <v>1725</v>
      </c>
      <c r="B294" s="1" t="s">
        <v>1442</v>
      </c>
      <c r="C294" s="1" t="s">
        <v>1440</v>
      </c>
      <c r="D294" s="1" t="s">
        <v>1438</v>
      </c>
      <c r="E294" s="1" t="s">
        <v>1726</v>
      </c>
      <c r="F294" s="1" t="s">
        <v>1727</v>
      </c>
      <c r="G294" s="1" t="s">
        <v>1110</v>
      </c>
      <c r="H294" s="1">
        <v>210</v>
      </c>
      <c r="I294" s="78">
        <v>46084</v>
      </c>
    </row>
    <row r="295" spans="1:9" x14ac:dyDescent="0.25">
      <c r="A295" s="1" t="s">
        <v>1725</v>
      </c>
      <c r="B295" s="1" t="s">
        <v>1436</v>
      </c>
      <c r="C295" s="1" t="s">
        <v>1437</v>
      </c>
      <c r="D295" s="1" t="s">
        <v>1438</v>
      </c>
      <c r="E295" s="1" t="s">
        <v>1726</v>
      </c>
      <c r="F295" s="1" t="s">
        <v>1729</v>
      </c>
      <c r="G295" s="1" t="s">
        <v>1110</v>
      </c>
      <c r="H295" s="1">
        <v>1649</v>
      </c>
      <c r="I295" s="78">
        <v>46084</v>
      </c>
    </row>
    <row r="296" spans="1:9" x14ac:dyDescent="0.25">
      <c r="A296" s="1" t="s">
        <v>1725</v>
      </c>
      <c r="B296" s="1" t="s">
        <v>1439</v>
      </c>
      <c r="C296" s="1" t="s">
        <v>1440</v>
      </c>
      <c r="D296" s="1" t="s">
        <v>1438</v>
      </c>
      <c r="E296" s="1" t="s">
        <v>1726</v>
      </c>
      <c r="F296" s="1" t="s">
        <v>1729</v>
      </c>
      <c r="G296" s="1" t="s">
        <v>1110</v>
      </c>
      <c r="H296" s="1">
        <v>1649</v>
      </c>
      <c r="I296" s="78">
        <v>46084</v>
      </c>
    </row>
    <row r="297" spans="1:9" x14ac:dyDescent="0.25">
      <c r="A297" s="1" t="s">
        <v>1725</v>
      </c>
      <c r="B297" s="1" t="s">
        <v>1441</v>
      </c>
      <c r="C297" s="1" t="s">
        <v>1437</v>
      </c>
      <c r="D297" s="1" t="s">
        <v>1438</v>
      </c>
      <c r="E297" s="1" t="s">
        <v>1726</v>
      </c>
      <c r="F297" s="1" t="s">
        <v>1729</v>
      </c>
      <c r="G297" s="1" t="s">
        <v>1110</v>
      </c>
      <c r="H297" s="1">
        <v>804</v>
      </c>
      <c r="I297" s="78">
        <v>46084</v>
      </c>
    </row>
    <row r="298" spans="1:9" x14ac:dyDescent="0.25">
      <c r="A298" s="1" t="s">
        <v>1725</v>
      </c>
      <c r="B298" s="1" t="s">
        <v>1442</v>
      </c>
      <c r="C298" s="1" t="s">
        <v>1440</v>
      </c>
      <c r="D298" s="1" t="s">
        <v>1438</v>
      </c>
      <c r="E298" s="1" t="s">
        <v>1726</v>
      </c>
      <c r="F298" s="1" t="s">
        <v>1729</v>
      </c>
      <c r="G298" s="1" t="s">
        <v>1110</v>
      </c>
      <c r="H298" s="1">
        <v>804</v>
      </c>
      <c r="I298" s="78">
        <v>46084</v>
      </c>
    </row>
    <row r="299" spans="1:9" x14ac:dyDescent="0.25">
      <c r="A299" s="1" t="s">
        <v>1725</v>
      </c>
      <c r="B299" s="1" t="s">
        <v>1436</v>
      </c>
      <c r="C299" s="1" t="s">
        <v>1437</v>
      </c>
      <c r="D299" s="1" t="s">
        <v>1438</v>
      </c>
      <c r="E299" s="1" t="s">
        <v>1726</v>
      </c>
      <c r="F299" s="1" t="s">
        <v>1762</v>
      </c>
      <c r="G299" s="1" t="s">
        <v>1110</v>
      </c>
      <c r="H299" s="1">
        <v>415.08</v>
      </c>
      <c r="I299" s="78">
        <v>46084</v>
      </c>
    </row>
    <row r="300" spans="1:9" x14ac:dyDescent="0.25">
      <c r="A300" s="1" t="s">
        <v>1725</v>
      </c>
      <c r="B300" s="1" t="s">
        <v>1439</v>
      </c>
      <c r="C300" s="1" t="s">
        <v>1440</v>
      </c>
      <c r="D300" s="1" t="s">
        <v>1438</v>
      </c>
      <c r="E300" s="1" t="s">
        <v>1726</v>
      </c>
      <c r="F300" s="1" t="s">
        <v>1762</v>
      </c>
      <c r="G300" s="1" t="s">
        <v>1110</v>
      </c>
      <c r="H300" s="1">
        <v>415.08</v>
      </c>
      <c r="I300" s="78">
        <v>46084</v>
      </c>
    </row>
    <row r="301" spans="1:9" x14ac:dyDescent="0.25">
      <c r="A301" s="1" t="s">
        <v>1725</v>
      </c>
      <c r="B301" s="1" t="s">
        <v>1441</v>
      </c>
      <c r="C301" s="1" t="s">
        <v>1437</v>
      </c>
      <c r="D301" s="1" t="s">
        <v>1438</v>
      </c>
      <c r="E301" s="1" t="s">
        <v>1726</v>
      </c>
      <c r="F301" s="1" t="s">
        <v>1762</v>
      </c>
      <c r="G301" s="1" t="s">
        <v>1110</v>
      </c>
      <c r="H301" s="1">
        <v>182</v>
      </c>
      <c r="I301" s="78">
        <v>46084</v>
      </c>
    </row>
    <row r="302" spans="1:9" x14ac:dyDescent="0.25">
      <c r="A302" s="1" t="s">
        <v>1725</v>
      </c>
      <c r="B302" s="1" t="s">
        <v>1442</v>
      </c>
      <c r="C302" s="1" t="s">
        <v>1440</v>
      </c>
      <c r="D302" s="1" t="s">
        <v>1438</v>
      </c>
      <c r="E302" s="1" t="s">
        <v>1726</v>
      </c>
      <c r="F302" s="1" t="s">
        <v>1762</v>
      </c>
      <c r="G302" s="1" t="s">
        <v>1110</v>
      </c>
      <c r="H302" s="1">
        <v>182</v>
      </c>
      <c r="I302" s="78">
        <v>46084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99DE1-3874-4B3B-A468-FCDED96DAA9F}">
  <sheetPr>
    <tabColor theme="5" tint="-0.249977111117893"/>
  </sheetPr>
  <dimension ref="A1:F15"/>
  <sheetViews>
    <sheetView workbookViewId="0">
      <selection activeCell="B26" sqref="B26"/>
    </sheetView>
  </sheetViews>
  <sheetFormatPr baseColWidth="10" defaultRowHeight="15" x14ac:dyDescent="0.25"/>
  <cols>
    <col min="1" max="1" width="9.5703125" bestFit="1" customWidth="1"/>
    <col min="2" max="2" width="13" bestFit="1" customWidth="1"/>
    <col min="3" max="3" width="12" bestFit="1" customWidth="1"/>
    <col min="4" max="4" width="34.85546875" bestFit="1" customWidth="1"/>
    <col min="5" max="5" width="14.140625" bestFit="1" customWidth="1"/>
    <col min="6" max="6" width="12.42578125" bestFit="1" customWidth="1"/>
  </cols>
  <sheetData>
    <row r="1" spans="1:6" x14ac:dyDescent="0.25">
      <c r="A1" t="s">
        <v>1573</v>
      </c>
      <c r="B1" t="s">
        <v>2195</v>
      </c>
      <c r="C1" t="s">
        <v>1586</v>
      </c>
      <c r="D1" t="s">
        <v>2196</v>
      </c>
      <c r="E1" t="s">
        <v>2197</v>
      </c>
      <c r="F1" t="s">
        <v>2213</v>
      </c>
    </row>
    <row r="2" spans="1:6" x14ac:dyDescent="0.25">
      <c r="A2">
        <v>1</v>
      </c>
      <c r="B2" s="261" t="s">
        <v>2198</v>
      </c>
      <c r="C2" s="261" t="s">
        <v>1083</v>
      </c>
      <c r="D2" s="261" t="s">
        <v>2214</v>
      </c>
      <c r="E2">
        <v>1</v>
      </c>
      <c r="F2" s="261" t="s">
        <v>1058</v>
      </c>
    </row>
    <row r="3" spans="1:6" x14ac:dyDescent="0.25">
      <c r="A3">
        <v>2</v>
      </c>
      <c r="B3" s="261" t="s">
        <v>2199</v>
      </c>
      <c r="C3" s="261" t="s">
        <v>1174</v>
      </c>
      <c r="D3" s="261" t="s">
        <v>1040</v>
      </c>
      <c r="E3">
        <v>2</v>
      </c>
      <c r="F3" s="261" t="s">
        <v>2215</v>
      </c>
    </row>
    <row r="4" spans="1:6" x14ac:dyDescent="0.25">
      <c r="A4">
        <v>3</v>
      </c>
      <c r="B4" s="261" t="s">
        <v>2200</v>
      </c>
      <c r="C4" s="261" t="s">
        <v>1189</v>
      </c>
      <c r="D4" s="261" t="s">
        <v>2216</v>
      </c>
      <c r="E4">
        <v>3</v>
      </c>
      <c r="F4" s="261" t="s">
        <v>2215</v>
      </c>
    </row>
    <row r="5" spans="1:6" x14ac:dyDescent="0.25">
      <c r="A5">
        <v>4</v>
      </c>
      <c r="B5" s="261" t="s">
        <v>2201</v>
      </c>
      <c r="C5" s="261" t="s">
        <v>1198</v>
      </c>
      <c r="D5" s="261" t="s">
        <v>2217</v>
      </c>
      <c r="E5">
        <v>4</v>
      </c>
      <c r="F5" s="261" t="s">
        <v>2215</v>
      </c>
    </row>
    <row r="6" spans="1:6" x14ac:dyDescent="0.25">
      <c r="A6">
        <v>5</v>
      </c>
      <c r="B6" s="261" t="s">
        <v>2202</v>
      </c>
      <c r="C6" s="261" t="s">
        <v>1203</v>
      </c>
      <c r="D6" s="261" t="s">
        <v>2218</v>
      </c>
      <c r="E6">
        <v>5</v>
      </c>
      <c r="F6" s="261" t="s">
        <v>2215</v>
      </c>
    </row>
    <row r="7" spans="1:6" x14ac:dyDescent="0.25">
      <c r="A7">
        <v>6</v>
      </c>
      <c r="B7" s="261" t="s">
        <v>2203</v>
      </c>
      <c r="C7" s="261" t="s">
        <v>1216</v>
      </c>
      <c r="D7" s="261" t="s">
        <v>2207</v>
      </c>
      <c r="E7">
        <v>6</v>
      </c>
      <c r="F7" s="261" t="s">
        <v>2215</v>
      </c>
    </row>
    <row r="8" spans="1:6" x14ac:dyDescent="0.25">
      <c r="A8">
        <v>7</v>
      </c>
      <c r="B8" s="261" t="s">
        <v>2204</v>
      </c>
      <c r="C8" s="261" t="s">
        <v>1229</v>
      </c>
      <c r="D8" s="261" t="s">
        <v>2219</v>
      </c>
      <c r="E8">
        <v>7</v>
      </c>
      <c r="F8" s="261" t="s">
        <v>2220</v>
      </c>
    </row>
    <row r="9" spans="1:6" x14ac:dyDescent="0.25">
      <c r="A9">
        <v>8</v>
      </c>
      <c r="B9" s="261" t="s">
        <v>2205</v>
      </c>
      <c r="C9" s="261" t="s">
        <v>1278</v>
      </c>
      <c r="D9" s="261" t="s">
        <v>1018</v>
      </c>
      <c r="E9">
        <v>8</v>
      </c>
      <c r="F9" s="261" t="s">
        <v>2220</v>
      </c>
    </row>
    <row r="10" spans="1:6" x14ac:dyDescent="0.25">
      <c r="A10">
        <v>9</v>
      </c>
      <c r="B10" s="261" t="s">
        <v>2206</v>
      </c>
      <c r="C10" s="261" t="s">
        <v>1305</v>
      </c>
      <c r="D10" s="261" t="s">
        <v>2221</v>
      </c>
      <c r="E10">
        <v>9</v>
      </c>
      <c r="F10" s="261" t="s">
        <v>2220</v>
      </c>
    </row>
    <row r="11" spans="1:6" x14ac:dyDescent="0.25">
      <c r="A11">
        <v>10</v>
      </c>
      <c r="B11" s="261" t="s">
        <v>2208</v>
      </c>
      <c r="C11" s="261" t="s">
        <v>1350</v>
      </c>
      <c r="D11" s="261" t="s">
        <v>2222</v>
      </c>
      <c r="E11">
        <v>10</v>
      </c>
      <c r="F11" s="261" t="s">
        <v>2220</v>
      </c>
    </row>
    <row r="12" spans="1:6" x14ac:dyDescent="0.25">
      <c r="A12">
        <v>11</v>
      </c>
      <c r="B12" s="261" t="s">
        <v>2209</v>
      </c>
      <c r="C12" s="261" t="s">
        <v>1423</v>
      </c>
      <c r="D12" s="261" t="s">
        <v>2223</v>
      </c>
      <c r="E12">
        <v>11</v>
      </c>
      <c r="F12" s="261" t="s">
        <v>2215</v>
      </c>
    </row>
    <row r="13" spans="1:6" x14ac:dyDescent="0.25">
      <c r="A13">
        <v>12</v>
      </c>
      <c r="B13" s="261" t="s">
        <v>2210</v>
      </c>
      <c r="C13" s="261" t="s">
        <v>2224</v>
      </c>
      <c r="D13" s="261" t="s">
        <v>1006</v>
      </c>
      <c r="E13">
        <v>12</v>
      </c>
      <c r="F13" s="261" t="s">
        <v>1497</v>
      </c>
    </row>
    <row r="14" spans="1:6" x14ac:dyDescent="0.25">
      <c r="A14">
        <v>13</v>
      </c>
      <c r="B14" s="261" t="s">
        <v>2211</v>
      </c>
      <c r="C14" s="261" t="s">
        <v>1435</v>
      </c>
      <c r="D14" s="261" t="s">
        <v>1596</v>
      </c>
      <c r="E14">
        <v>13</v>
      </c>
      <c r="F14" s="261" t="s">
        <v>2215</v>
      </c>
    </row>
    <row r="15" spans="1:6" x14ac:dyDescent="0.25">
      <c r="A15">
        <v>14</v>
      </c>
      <c r="B15" s="261" t="s">
        <v>2212</v>
      </c>
      <c r="C15" s="261" t="s">
        <v>1438</v>
      </c>
      <c r="D15" s="261" t="s">
        <v>1003</v>
      </c>
      <c r="E15">
        <v>14</v>
      </c>
      <c r="F15" s="261" t="s">
        <v>1062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73AAA-0EDF-4608-942D-759427296790}">
  <sheetPr>
    <tabColor theme="5" tint="-0.249977111117893"/>
  </sheetPr>
  <dimension ref="A1:F15"/>
  <sheetViews>
    <sheetView workbookViewId="0"/>
  </sheetViews>
  <sheetFormatPr baseColWidth="10" defaultRowHeight="15" x14ac:dyDescent="0.25"/>
  <cols>
    <col min="1" max="1" width="9.5703125" bestFit="1" customWidth="1"/>
    <col min="2" max="2" width="13" bestFit="1" customWidth="1"/>
    <col min="3" max="3" width="12" bestFit="1" customWidth="1"/>
    <col min="4" max="4" width="34.85546875" bestFit="1" customWidth="1"/>
    <col min="5" max="5" width="14.140625" bestFit="1" customWidth="1"/>
    <col min="6" max="6" width="12.42578125" bestFit="1" customWidth="1"/>
  </cols>
  <sheetData>
    <row r="1" spans="1:6" x14ac:dyDescent="0.25">
      <c r="A1" t="s">
        <v>1573</v>
      </c>
      <c r="B1" t="s">
        <v>2195</v>
      </c>
      <c r="C1" t="s">
        <v>1586</v>
      </c>
      <c r="D1" t="s">
        <v>2196</v>
      </c>
      <c r="E1" t="s">
        <v>2197</v>
      </c>
      <c r="F1" t="s">
        <v>2213</v>
      </c>
    </row>
    <row r="2" spans="1:6" x14ac:dyDescent="0.25">
      <c r="A2">
        <v>1</v>
      </c>
      <c r="B2" s="261" t="s">
        <v>2198</v>
      </c>
      <c r="C2" s="261" t="s">
        <v>1083</v>
      </c>
      <c r="D2" s="261" t="s">
        <v>2214</v>
      </c>
      <c r="E2">
        <v>1</v>
      </c>
      <c r="F2" s="261" t="s">
        <v>1058</v>
      </c>
    </row>
    <row r="3" spans="1:6" x14ac:dyDescent="0.25">
      <c r="A3">
        <v>2</v>
      </c>
      <c r="B3" s="261" t="s">
        <v>2199</v>
      </c>
      <c r="C3" s="261" t="s">
        <v>1174</v>
      </c>
      <c r="D3" s="261" t="s">
        <v>1040</v>
      </c>
      <c r="E3">
        <v>2</v>
      </c>
      <c r="F3" s="261" t="s">
        <v>2215</v>
      </c>
    </row>
    <row r="4" spans="1:6" x14ac:dyDescent="0.25">
      <c r="A4">
        <v>3</v>
      </c>
      <c r="B4" s="261" t="s">
        <v>2200</v>
      </c>
      <c r="C4" s="261" t="s">
        <v>1189</v>
      </c>
      <c r="D4" s="261" t="s">
        <v>2216</v>
      </c>
      <c r="E4">
        <v>3</v>
      </c>
      <c r="F4" s="261" t="s">
        <v>2215</v>
      </c>
    </row>
    <row r="5" spans="1:6" x14ac:dyDescent="0.25">
      <c r="A5">
        <v>4</v>
      </c>
      <c r="B5" s="261" t="s">
        <v>2201</v>
      </c>
      <c r="C5" s="261" t="s">
        <v>1198</v>
      </c>
      <c r="D5" s="261" t="s">
        <v>2217</v>
      </c>
      <c r="E5">
        <v>4</v>
      </c>
      <c r="F5" s="261" t="s">
        <v>2215</v>
      </c>
    </row>
    <row r="6" spans="1:6" x14ac:dyDescent="0.25">
      <c r="A6">
        <v>5</v>
      </c>
      <c r="B6" s="261" t="s">
        <v>2202</v>
      </c>
      <c r="C6" s="261" t="s">
        <v>1203</v>
      </c>
      <c r="D6" s="261" t="s">
        <v>2218</v>
      </c>
      <c r="E6">
        <v>5</v>
      </c>
      <c r="F6" s="261" t="s">
        <v>2215</v>
      </c>
    </row>
    <row r="7" spans="1:6" x14ac:dyDescent="0.25">
      <c r="A7">
        <v>6</v>
      </c>
      <c r="B7" s="261" t="s">
        <v>2203</v>
      </c>
      <c r="C7" s="261" t="s">
        <v>1216</v>
      </c>
      <c r="D7" s="261" t="s">
        <v>2207</v>
      </c>
      <c r="E7">
        <v>6</v>
      </c>
      <c r="F7" s="261" t="s">
        <v>2215</v>
      </c>
    </row>
    <row r="8" spans="1:6" x14ac:dyDescent="0.25">
      <c r="A8">
        <v>7</v>
      </c>
      <c r="B8" s="261" t="s">
        <v>2204</v>
      </c>
      <c r="C8" s="261" t="s">
        <v>1229</v>
      </c>
      <c r="D8" s="261" t="s">
        <v>2219</v>
      </c>
      <c r="E8">
        <v>7</v>
      </c>
      <c r="F8" s="261" t="s">
        <v>2220</v>
      </c>
    </row>
    <row r="9" spans="1:6" x14ac:dyDescent="0.25">
      <c r="A9">
        <v>8</v>
      </c>
      <c r="B9" s="261" t="s">
        <v>2205</v>
      </c>
      <c r="C9" s="261" t="s">
        <v>1278</v>
      </c>
      <c r="D9" s="261" t="s">
        <v>1018</v>
      </c>
      <c r="E9">
        <v>8</v>
      </c>
      <c r="F9" s="261" t="s">
        <v>2220</v>
      </c>
    </row>
    <row r="10" spans="1:6" x14ac:dyDescent="0.25">
      <c r="A10">
        <v>9</v>
      </c>
      <c r="B10" s="261" t="s">
        <v>2206</v>
      </c>
      <c r="C10" s="261" t="s">
        <v>1305</v>
      </c>
      <c r="D10" s="261" t="s">
        <v>2221</v>
      </c>
      <c r="E10">
        <v>9</v>
      </c>
      <c r="F10" s="261" t="s">
        <v>2220</v>
      </c>
    </row>
    <row r="11" spans="1:6" x14ac:dyDescent="0.25">
      <c r="A11">
        <v>10</v>
      </c>
      <c r="B11" s="261" t="s">
        <v>2208</v>
      </c>
      <c r="C11" s="261" t="s">
        <v>1350</v>
      </c>
      <c r="D11" s="261" t="s">
        <v>2222</v>
      </c>
      <c r="E11">
        <v>10</v>
      </c>
      <c r="F11" s="261" t="s">
        <v>2220</v>
      </c>
    </row>
    <row r="12" spans="1:6" x14ac:dyDescent="0.25">
      <c r="A12">
        <v>11</v>
      </c>
      <c r="B12" s="261" t="s">
        <v>2209</v>
      </c>
      <c r="C12" s="261" t="s">
        <v>1423</v>
      </c>
      <c r="D12" s="261" t="s">
        <v>2223</v>
      </c>
      <c r="E12">
        <v>11</v>
      </c>
      <c r="F12" s="261" t="s">
        <v>2215</v>
      </c>
    </row>
    <row r="13" spans="1:6" x14ac:dyDescent="0.25">
      <c r="A13">
        <v>12</v>
      </c>
      <c r="B13" s="261" t="s">
        <v>2210</v>
      </c>
      <c r="C13" s="261" t="s">
        <v>2224</v>
      </c>
      <c r="D13" s="261" t="s">
        <v>1006</v>
      </c>
      <c r="E13">
        <v>12</v>
      </c>
      <c r="F13" s="261" t="s">
        <v>1497</v>
      </c>
    </row>
    <row r="14" spans="1:6" x14ac:dyDescent="0.25">
      <c r="A14">
        <v>13</v>
      </c>
      <c r="B14" s="261" t="s">
        <v>2211</v>
      </c>
      <c r="C14" s="261" t="s">
        <v>1435</v>
      </c>
      <c r="D14" s="261" t="s">
        <v>1596</v>
      </c>
      <c r="E14">
        <v>13</v>
      </c>
      <c r="F14" s="261" t="s">
        <v>2215</v>
      </c>
    </row>
    <row r="15" spans="1:6" x14ac:dyDescent="0.25">
      <c r="A15">
        <v>14</v>
      </c>
      <c r="B15" s="261" t="s">
        <v>2212</v>
      </c>
      <c r="C15" s="261" t="s">
        <v>1438</v>
      </c>
      <c r="D15" s="261" t="s">
        <v>1003</v>
      </c>
      <c r="E15">
        <v>14</v>
      </c>
      <c r="F15" s="261" t="s">
        <v>1062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10CC-81A6-4AD9-A2B5-6D92732D7848}">
  <sheetPr>
    <tabColor theme="5" tint="-0.249977111117893"/>
  </sheetPr>
  <dimension ref="A1:F15"/>
  <sheetViews>
    <sheetView workbookViewId="0">
      <selection activeCell="N15" sqref="N15"/>
    </sheetView>
  </sheetViews>
  <sheetFormatPr baseColWidth="10" defaultRowHeight="15" x14ac:dyDescent="0.25"/>
  <cols>
    <col min="1" max="1" width="9.5703125" bestFit="1" customWidth="1"/>
    <col min="2" max="2" width="13" bestFit="1" customWidth="1"/>
    <col min="3" max="3" width="12" bestFit="1" customWidth="1"/>
    <col min="4" max="4" width="34.85546875" bestFit="1" customWidth="1"/>
    <col min="5" max="5" width="14.140625" bestFit="1" customWidth="1"/>
    <col min="6" max="6" width="12.42578125" bestFit="1" customWidth="1"/>
  </cols>
  <sheetData>
    <row r="1" spans="1:6" x14ac:dyDescent="0.25">
      <c r="A1" t="s">
        <v>1573</v>
      </c>
      <c r="B1" t="s">
        <v>2195</v>
      </c>
      <c r="C1" t="s">
        <v>1586</v>
      </c>
      <c r="D1" t="s">
        <v>2196</v>
      </c>
      <c r="E1" t="s">
        <v>2197</v>
      </c>
      <c r="F1" t="s">
        <v>2213</v>
      </c>
    </row>
    <row r="2" spans="1:6" x14ac:dyDescent="0.25">
      <c r="A2">
        <v>1</v>
      </c>
      <c r="B2" s="261" t="s">
        <v>2198</v>
      </c>
      <c r="C2" s="261" t="s">
        <v>1083</v>
      </c>
      <c r="D2" s="261" t="s">
        <v>2214</v>
      </c>
      <c r="E2">
        <v>1</v>
      </c>
      <c r="F2" s="261" t="s">
        <v>1058</v>
      </c>
    </row>
    <row r="3" spans="1:6" x14ac:dyDescent="0.25">
      <c r="A3">
        <v>2</v>
      </c>
      <c r="B3" s="261" t="s">
        <v>2199</v>
      </c>
      <c r="C3" s="261" t="s">
        <v>1174</v>
      </c>
      <c r="D3" s="261" t="s">
        <v>1040</v>
      </c>
      <c r="E3">
        <v>2</v>
      </c>
      <c r="F3" s="261" t="s">
        <v>2215</v>
      </c>
    </row>
    <row r="4" spans="1:6" x14ac:dyDescent="0.25">
      <c r="A4">
        <v>3</v>
      </c>
      <c r="B4" s="261" t="s">
        <v>2200</v>
      </c>
      <c r="C4" s="261" t="s">
        <v>1189</v>
      </c>
      <c r="D4" s="261" t="s">
        <v>2216</v>
      </c>
      <c r="E4">
        <v>3</v>
      </c>
      <c r="F4" s="261" t="s">
        <v>2215</v>
      </c>
    </row>
    <row r="5" spans="1:6" x14ac:dyDescent="0.25">
      <c r="A5">
        <v>4</v>
      </c>
      <c r="B5" s="261" t="s">
        <v>2201</v>
      </c>
      <c r="C5" s="261" t="s">
        <v>1198</v>
      </c>
      <c r="D5" s="261" t="s">
        <v>2217</v>
      </c>
      <c r="E5">
        <v>4</v>
      </c>
      <c r="F5" s="261" t="s">
        <v>2215</v>
      </c>
    </row>
    <row r="6" spans="1:6" x14ac:dyDescent="0.25">
      <c r="A6">
        <v>5</v>
      </c>
      <c r="B6" s="261" t="s">
        <v>2202</v>
      </c>
      <c r="C6" s="261" t="s">
        <v>1203</v>
      </c>
      <c r="D6" s="261" t="s">
        <v>2218</v>
      </c>
      <c r="E6">
        <v>5</v>
      </c>
      <c r="F6" s="261" t="s">
        <v>2215</v>
      </c>
    </row>
    <row r="7" spans="1:6" x14ac:dyDescent="0.25">
      <c r="A7">
        <v>6</v>
      </c>
      <c r="B7" s="261" t="s">
        <v>2203</v>
      </c>
      <c r="C7" s="261" t="s">
        <v>1216</v>
      </c>
      <c r="D7" s="261" t="s">
        <v>2207</v>
      </c>
      <c r="E7">
        <v>6</v>
      </c>
      <c r="F7" s="261" t="s">
        <v>2215</v>
      </c>
    </row>
    <row r="8" spans="1:6" x14ac:dyDescent="0.25">
      <c r="A8">
        <v>7</v>
      </c>
      <c r="B8" s="261" t="s">
        <v>2204</v>
      </c>
      <c r="C8" s="261" t="s">
        <v>1229</v>
      </c>
      <c r="D8" s="261" t="s">
        <v>2219</v>
      </c>
      <c r="E8">
        <v>7</v>
      </c>
      <c r="F8" s="261" t="s">
        <v>2220</v>
      </c>
    </row>
    <row r="9" spans="1:6" x14ac:dyDescent="0.25">
      <c r="A9">
        <v>8</v>
      </c>
      <c r="B9" s="261" t="s">
        <v>2205</v>
      </c>
      <c r="C9" s="261" t="s">
        <v>1278</v>
      </c>
      <c r="D9" s="261" t="s">
        <v>1018</v>
      </c>
      <c r="E9">
        <v>8</v>
      </c>
      <c r="F9" s="261" t="s">
        <v>2220</v>
      </c>
    </row>
    <row r="10" spans="1:6" x14ac:dyDescent="0.25">
      <c r="A10">
        <v>9</v>
      </c>
      <c r="B10" s="261" t="s">
        <v>2206</v>
      </c>
      <c r="C10" s="261" t="s">
        <v>1305</v>
      </c>
      <c r="D10" s="261" t="s">
        <v>2221</v>
      </c>
      <c r="E10">
        <v>9</v>
      </c>
      <c r="F10" s="261" t="s">
        <v>2220</v>
      </c>
    </row>
    <row r="11" spans="1:6" x14ac:dyDescent="0.25">
      <c r="A11">
        <v>10</v>
      </c>
      <c r="B11" s="261" t="s">
        <v>2208</v>
      </c>
      <c r="C11" s="261" t="s">
        <v>1350</v>
      </c>
      <c r="D11" s="261" t="s">
        <v>2222</v>
      </c>
      <c r="E11">
        <v>10</v>
      </c>
      <c r="F11" s="261" t="s">
        <v>2220</v>
      </c>
    </row>
    <row r="12" spans="1:6" x14ac:dyDescent="0.25">
      <c r="A12">
        <v>11</v>
      </c>
      <c r="B12" s="261" t="s">
        <v>2209</v>
      </c>
      <c r="C12" s="261" t="s">
        <v>1423</v>
      </c>
      <c r="D12" s="261" t="s">
        <v>2223</v>
      </c>
      <c r="E12">
        <v>11</v>
      </c>
      <c r="F12" s="261" t="s">
        <v>2215</v>
      </c>
    </row>
    <row r="13" spans="1:6" x14ac:dyDescent="0.25">
      <c r="A13">
        <v>12</v>
      </c>
      <c r="B13" s="261" t="s">
        <v>2210</v>
      </c>
      <c r="C13" s="261" t="s">
        <v>2224</v>
      </c>
      <c r="D13" s="261" t="s">
        <v>1006</v>
      </c>
      <c r="E13">
        <v>12</v>
      </c>
      <c r="F13" s="261" t="s">
        <v>1497</v>
      </c>
    </row>
    <row r="14" spans="1:6" x14ac:dyDescent="0.25">
      <c r="A14">
        <v>13</v>
      </c>
      <c r="B14" s="261" t="s">
        <v>2211</v>
      </c>
      <c r="C14" s="261" t="s">
        <v>1435</v>
      </c>
      <c r="D14" s="261" t="s">
        <v>1596</v>
      </c>
      <c r="E14">
        <v>13</v>
      </c>
      <c r="F14" s="261" t="s">
        <v>2215</v>
      </c>
    </row>
    <row r="15" spans="1:6" x14ac:dyDescent="0.25">
      <c r="A15">
        <v>14</v>
      </c>
      <c r="B15" s="261" t="s">
        <v>2212</v>
      </c>
      <c r="C15" s="261" t="s">
        <v>1438</v>
      </c>
      <c r="D15" s="261" t="s">
        <v>1003</v>
      </c>
      <c r="E15">
        <v>14</v>
      </c>
      <c r="F15" s="261" t="s">
        <v>1062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5A1A-9D3E-4B0C-8BC5-4D58CD5395EE}">
  <sheetPr>
    <tabColor theme="5" tint="-0.249977111117893"/>
  </sheetPr>
  <dimension ref="A1:F15"/>
  <sheetViews>
    <sheetView workbookViewId="0">
      <selection activeCell="B3" sqref="B3"/>
    </sheetView>
  </sheetViews>
  <sheetFormatPr baseColWidth="10" defaultRowHeight="15" x14ac:dyDescent="0.25"/>
  <cols>
    <col min="2" max="2" width="18.42578125" customWidth="1"/>
    <col min="3" max="3" width="20.28515625" customWidth="1"/>
    <col min="4" max="4" width="33.5703125" customWidth="1"/>
    <col min="5" max="5" width="14" customWidth="1"/>
    <col min="6" max="6" width="11.85546875" customWidth="1"/>
  </cols>
  <sheetData>
    <row r="1" spans="1:6" ht="30" x14ac:dyDescent="0.25">
      <c r="A1" s="216" t="s">
        <v>1573</v>
      </c>
      <c r="B1" s="216" t="s">
        <v>2195</v>
      </c>
      <c r="C1" s="216" t="s">
        <v>1586</v>
      </c>
      <c r="D1" s="216" t="s">
        <v>2196</v>
      </c>
      <c r="E1" s="216" t="s">
        <v>2197</v>
      </c>
      <c r="F1" s="216" t="s">
        <v>2213</v>
      </c>
    </row>
    <row r="2" spans="1:6" x14ac:dyDescent="0.25">
      <c r="A2" s="217">
        <v>1</v>
      </c>
      <c r="B2" s="217" t="s">
        <v>2198</v>
      </c>
      <c r="C2" s="217" t="s">
        <v>1083</v>
      </c>
      <c r="D2" s="217" t="s">
        <v>2214</v>
      </c>
      <c r="E2" s="217">
        <v>1</v>
      </c>
      <c r="F2" s="217" t="s">
        <v>1058</v>
      </c>
    </row>
    <row r="3" spans="1:6" x14ac:dyDescent="0.25">
      <c r="A3" s="217">
        <v>2</v>
      </c>
      <c r="B3" s="217" t="s">
        <v>2199</v>
      </c>
      <c r="C3" s="217" t="s">
        <v>1174</v>
      </c>
      <c r="D3" s="217" t="s">
        <v>1040</v>
      </c>
      <c r="E3" s="217">
        <v>2</v>
      </c>
      <c r="F3" s="217" t="s">
        <v>2215</v>
      </c>
    </row>
    <row r="4" spans="1:6" x14ac:dyDescent="0.25">
      <c r="A4" s="217">
        <v>3</v>
      </c>
      <c r="B4" s="217" t="s">
        <v>2200</v>
      </c>
      <c r="C4" s="217" t="s">
        <v>1189</v>
      </c>
      <c r="D4" s="217" t="s">
        <v>2216</v>
      </c>
      <c r="E4" s="217">
        <v>3</v>
      </c>
      <c r="F4" s="217" t="s">
        <v>2215</v>
      </c>
    </row>
    <row r="5" spans="1:6" x14ac:dyDescent="0.25">
      <c r="A5" s="217">
        <v>4</v>
      </c>
      <c r="B5" s="217" t="s">
        <v>2201</v>
      </c>
      <c r="C5" s="217" t="s">
        <v>1198</v>
      </c>
      <c r="D5" s="217" t="s">
        <v>2217</v>
      </c>
      <c r="E5" s="217">
        <v>4</v>
      </c>
      <c r="F5" s="217" t="s">
        <v>2215</v>
      </c>
    </row>
    <row r="6" spans="1:6" x14ac:dyDescent="0.25">
      <c r="A6" s="217">
        <v>5</v>
      </c>
      <c r="B6" s="217" t="s">
        <v>2202</v>
      </c>
      <c r="C6" s="217" t="s">
        <v>1203</v>
      </c>
      <c r="D6" s="217" t="s">
        <v>2218</v>
      </c>
      <c r="E6" s="217">
        <v>5</v>
      </c>
      <c r="F6" s="217" t="s">
        <v>2215</v>
      </c>
    </row>
    <row r="7" spans="1:6" x14ac:dyDescent="0.25">
      <c r="A7" s="217">
        <v>6</v>
      </c>
      <c r="B7" s="217" t="s">
        <v>2203</v>
      </c>
      <c r="C7" s="217" t="s">
        <v>1216</v>
      </c>
      <c r="D7" s="217" t="s">
        <v>2207</v>
      </c>
      <c r="E7" s="217">
        <v>6</v>
      </c>
      <c r="F7" s="217" t="s">
        <v>2215</v>
      </c>
    </row>
    <row r="8" spans="1:6" x14ac:dyDescent="0.25">
      <c r="A8" s="217">
        <v>7</v>
      </c>
      <c r="B8" s="217" t="s">
        <v>2204</v>
      </c>
      <c r="C8" s="217" t="s">
        <v>1229</v>
      </c>
      <c r="D8" s="217" t="s">
        <v>2219</v>
      </c>
      <c r="E8" s="217">
        <v>7</v>
      </c>
      <c r="F8" s="217" t="s">
        <v>2220</v>
      </c>
    </row>
    <row r="9" spans="1:6" x14ac:dyDescent="0.25">
      <c r="A9" s="217">
        <v>8</v>
      </c>
      <c r="B9" s="217" t="s">
        <v>2205</v>
      </c>
      <c r="C9" s="217" t="s">
        <v>1278</v>
      </c>
      <c r="D9" s="217" t="s">
        <v>1018</v>
      </c>
      <c r="E9" s="217">
        <v>8</v>
      </c>
      <c r="F9" s="217" t="s">
        <v>2220</v>
      </c>
    </row>
    <row r="10" spans="1:6" ht="30" x14ac:dyDescent="0.25">
      <c r="A10" s="217">
        <v>9</v>
      </c>
      <c r="B10" s="217" t="s">
        <v>2206</v>
      </c>
      <c r="C10" s="217" t="s">
        <v>1305</v>
      </c>
      <c r="D10" s="217" t="s">
        <v>2221</v>
      </c>
      <c r="E10" s="217">
        <v>9</v>
      </c>
      <c r="F10" s="217" t="s">
        <v>2220</v>
      </c>
    </row>
    <row r="11" spans="1:6" x14ac:dyDescent="0.25">
      <c r="A11" s="217">
        <v>10</v>
      </c>
      <c r="B11" s="217" t="s">
        <v>2208</v>
      </c>
      <c r="C11" s="217" t="s">
        <v>1350</v>
      </c>
      <c r="D11" s="217" t="s">
        <v>2222</v>
      </c>
      <c r="E11" s="217">
        <v>10</v>
      </c>
      <c r="F11" s="217" t="s">
        <v>2220</v>
      </c>
    </row>
    <row r="12" spans="1:6" x14ac:dyDescent="0.25">
      <c r="A12" s="217">
        <v>11</v>
      </c>
      <c r="B12" s="217" t="s">
        <v>2209</v>
      </c>
      <c r="C12" s="217" t="s">
        <v>1423</v>
      </c>
      <c r="D12" s="217" t="s">
        <v>2223</v>
      </c>
      <c r="E12" s="217">
        <v>11</v>
      </c>
      <c r="F12" s="217" t="s">
        <v>2215</v>
      </c>
    </row>
    <row r="13" spans="1:6" ht="30" x14ac:dyDescent="0.25">
      <c r="A13" s="217">
        <v>12</v>
      </c>
      <c r="B13" s="217" t="s">
        <v>2210</v>
      </c>
      <c r="C13" s="217" t="s">
        <v>2224</v>
      </c>
      <c r="D13" s="217" t="s">
        <v>1006</v>
      </c>
      <c r="E13" s="217">
        <v>12</v>
      </c>
      <c r="F13" s="217" t="s">
        <v>1497</v>
      </c>
    </row>
    <row r="14" spans="1:6" x14ac:dyDescent="0.25">
      <c r="A14" s="217">
        <v>13</v>
      </c>
      <c r="B14" s="217" t="s">
        <v>2211</v>
      </c>
      <c r="C14" s="217" t="s">
        <v>1435</v>
      </c>
      <c r="D14" s="217" t="s">
        <v>1596</v>
      </c>
      <c r="E14" s="217">
        <v>13</v>
      </c>
      <c r="F14" s="217" t="s">
        <v>2215</v>
      </c>
    </row>
    <row r="15" spans="1:6" x14ac:dyDescent="0.25">
      <c r="A15" s="217">
        <v>14</v>
      </c>
      <c r="B15" s="217" t="s">
        <v>2212</v>
      </c>
      <c r="C15" s="217" t="s">
        <v>1438</v>
      </c>
      <c r="D15" s="217" t="s">
        <v>1003</v>
      </c>
      <c r="E15" s="217">
        <v>14</v>
      </c>
      <c r="F15" s="217" t="s">
        <v>1062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CF89-6597-4214-8C45-5AEF5ECBE904}">
  <sheetPr>
    <tabColor theme="5" tint="-0.249977111117893"/>
  </sheetPr>
  <dimension ref="A1:K189"/>
  <sheetViews>
    <sheetView topLeftCell="A161" workbookViewId="0">
      <selection activeCell="B182" sqref="B182"/>
    </sheetView>
  </sheetViews>
  <sheetFormatPr baseColWidth="10" defaultRowHeight="15" x14ac:dyDescent="0.25"/>
  <cols>
    <col min="1" max="1" width="43.140625" style="1" bestFit="1" customWidth="1"/>
    <col min="2" max="2" width="93.7109375" style="1" customWidth="1"/>
    <col min="3" max="3" width="14.7109375" style="1" customWidth="1"/>
    <col min="4" max="4" width="8.7109375" style="1" bestFit="1" customWidth="1"/>
    <col min="5" max="5" width="12.42578125" style="220" bestFit="1" customWidth="1"/>
    <col min="6" max="6" width="18.85546875" style="1" bestFit="1" customWidth="1"/>
    <col min="7" max="7" width="31.7109375" style="1" bestFit="1" customWidth="1"/>
    <col min="8" max="8" width="29.42578125" style="1" customWidth="1"/>
    <col min="9" max="9" width="12.5703125" style="1" bestFit="1" customWidth="1"/>
    <col min="10" max="10" width="18.42578125" style="1" bestFit="1" customWidth="1"/>
    <col min="11" max="11" width="13.5703125" style="1" bestFit="1" customWidth="1"/>
    <col min="12" max="12" width="8.28515625" style="1" bestFit="1" customWidth="1"/>
    <col min="13" max="16384" width="11.42578125" style="1"/>
  </cols>
  <sheetData>
    <row r="1" spans="1:11" x14ac:dyDescent="0.25">
      <c r="A1" s="1" t="s">
        <v>1072</v>
      </c>
      <c r="B1" s="1" t="s">
        <v>1073</v>
      </c>
      <c r="C1" s="1" t="s">
        <v>1074</v>
      </c>
      <c r="D1" s="1" t="s">
        <v>1075</v>
      </c>
      <c r="E1" s="220" t="s">
        <v>1076</v>
      </c>
      <c r="F1" s="1" t="s">
        <v>1077</v>
      </c>
      <c r="G1" s="1" t="s">
        <v>1078</v>
      </c>
      <c r="H1" s="1" t="s">
        <v>1053</v>
      </c>
      <c r="I1" s="1" t="s">
        <v>979</v>
      </c>
      <c r="J1" s="1" t="s">
        <v>1079</v>
      </c>
      <c r="K1" s="1" t="s">
        <v>1080</v>
      </c>
    </row>
    <row r="2" spans="1:11" x14ac:dyDescent="0.25">
      <c r="A2" s="1" t="s">
        <v>1081</v>
      </c>
      <c r="B2" s="1" t="s">
        <v>1082</v>
      </c>
      <c r="C2" s="1" t="s">
        <v>1083</v>
      </c>
      <c r="D2" s="1" t="s">
        <v>1084</v>
      </c>
      <c r="E2" s="220">
        <v>4755250</v>
      </c>
      <c r="F2" s="78">
        <v>45882</v>
      </c>
      <c r="G2" s="1" t="s">
        <v>1085</v>
      </c>
      <c r="H2" s="78"/>
      <c r="I2" s="1" t="s">
        <v>1086</v>
      </c>
      <c r="J2" s="1" t="s">
        <v>1087</v>
      </c>
      <c r="K2" s="1">
        <v>1</v>
      </c>
    </row>
    <row r="3" spans="1:11" x14ac:dyDescent="0.25">
      <c r="A3" s="1" t="s">
        <v>1088</v>
      </c>
      <c r="B3" s="1" t="s">
        <v>1089</v>
      </c>
      <c r="C3" s="1" t="s">
        <v>1083</v>
      </c>
      <c r="D3" s="1" t="s">
        <v>1084</v>
      </c>
      <c r="E3" s="220">
        <v>3758730</v>
      </c>
      <c r="F3" s="78">
        <v>45882</v>
      </c>
      <c r="G3" s="1" t="s">
        <v>1085</v>
      </c>
      <c r="H3" s="78"/>
      <c r="I3" s="1" t="s">
        <v>1086</v>
      </c>
      <c r="J3" s="1" t="s">
        <v>1087</v>
      </c>
      <c r="K3" s="1">
        <v>1</v>
      </c>
    </row>
    <row r="4" spans="1:11" x14ac:dyDescent="0.25">
      <c r="A4" s="1" t="s">
        <v>1090</v>
      </c>
      <c r="B4" s="1" t="s">
        <v>1091</v>
      </c>
      <c r="C4" s="1" t="s">
        <v>1083</v>
      </c>
      <c r="D4" s="1" t="s">
        <v>1084</v>
      </c>
      <c r="E4" s="220">
        <v>2507000</v>
      </c>
      <c r="F4" s="78">
        <v>45882</v>
      </c>
      <c r="G4" s="1" t="s">
        <v>1085</v>
      </c>
      <c r="H4" s="78"/>
      <c r="I4" s="1" t="s">
        <v>1086</v>
      </c>
      <c r="J4" s="1" t="s">
        <v>1087</v>
      </c>
      <c r="K4" s="1">
        <v>1</v>
      </c>
    </row>
    <row r="5" spans="1:11" x14ac:dyDescent="0.25">
      <c r="A5" s="1" t="s">
        <v>1092</v>
      </c>
      <c r="B5" s="1" t="s">
        <v>1093</v>
      </c>
      <c r="C5" s="1" t="s">
        <v>1083</v>
      </c>
      <c r="D5" s="1" t="s">
        <v>1084</v>
      </c>
      <c r="E5" s="220">
        <v>4213438</v>
      </c>
      <c r="F5" s="78">
        <v>45882</v>
      </c>
      <c r="G5" s="1" t="s">
        <v>1085</v>
      </c>
      <c r="H5" s="78"/>
      <c r="I5" s="1" t="s">
        <v>1086</v>
      </c>
      <c r="J5" s="1" t="s">
        <v>1087</v>
      </c>
      <c r="K5" s="1">
        <v>1</v>
      </c>
    </row>
    <row r="6" spans="1:11" x14ac:dyDescent="0.25">
      <c r="A6" s="1" t="s">
        <v>1094</v>
      </c>
      <c r="B6" s="1" t="s">
        <v>1095</v>
      </c>
      <c r="C6" s="1" t="s">
        <v>1083</v>
      </c>
      <c r="D6" s="1" t="s">
        <v>1084</v>
      </c>
      <c r="E6" s="220">
        <v>4945000</v>
      </c>
      <c r="F6" s="78">
        <v>45882</v>
      </c>
      <c r="G6" s="1" t="s">
        <v>1085</v>
      </c>
      <c r="H6" s="78"/>
      <c r="I6" s="1" t="s">
        <v>1086</v>
      </c>
      <c r="J6" s="1" t="s">
        <v>1087</v>
      </c>
      <c r="K6" s="1">
        <v>1</v>
      </c>
    </row>
    <row r="7" spans="1:11" x14ac:dyDescent="0.25">
      <c r="A7" s="1" t="s">
        <v>1096</v>
      </c>
      <c r="B7" s="1" t="s">
        <v>1097</v>
      </c>
      <c r="C7" s="1" t="s">
        <v>1083</v>
      </c>
      <c r="D7" s="1" t="s">
        <v>1084</v>
      </c>
      <c r="E7" s="220">
        <v>4795500</v>
      </c>
      <c r="F7" s="78">
        <v>45882</v>
      </c>
      <c r="G7" s="1" t="s">
        <v>1085</v>
      </c>
      <c r="H7" s="78"/>
      <c r="I7" s="1" t="s">
        <v>1086</v>
      </c>
      <c r="J7" s="1" t="s">
        <v>1087</v>
      </c>
      <c r="K7" s="1">
        <v>1</v>
      </c>
    </row>
    <row r="8" spans="1:11" x14ac:dyDescent="0.25">
      <c r="A8" s="1" t="s">
        <v>1098</v>
      </c>
      <c r="B8" s="1" t="s">
        <v>1099</v>
      </c>
      <c r="C8" s="1" t="s">
        <v>1083</v>
      </c>
      <c r="D8" s="1" t="s">
        <v>1084</v>
      </c>
      <c r="E8" s="220">
        <v>1265000</v>
      </c>
      <c r="F8" s="78">
        <v>45882</v>
      </c>
      <c r="G8" s="1" t="s">
        <v>1085</v>
      </c>
      <c r="H8" s="78"/>
      <c r="I8" s="1" t="s">
        <v>1086</v>
      </c>
      <c r="J8" s="1" t="s">
        <v>1087</v>
      </c>
      <c r="K8" s="1">
        <v>1</v>
      </c>
    </row>
    <row r="9" spans="1:11" x14ac:dyDescent="0.25">
      <c r="A9" s="1" t="s">
        <v>1100</v>
      </c>
      <c r="B9" s="1" t="s">
        <v>1101</v>
      </c>
      <c r="C9" s="1" t="s">
        <v>1083</v>
      </c>
      <c r="D9" s="1" t="s">
        <v>1084</v>
      </c>
      <c r="E9" s="220">
        <v>1725000</v>
      </c>
      <c r="F9" s="78">
        <v>45882</v>
      </c>
      <c r="G9" s="1" t="s">
        <v>1085</v>
      </c>
      <c r="H9" s="78"/>
      <c r="I9" s="1" t="s">
        <v>1086</v>
      </c>
      <c r="J9" s="1" t="s">
        <v>1087</v>
      </c>
      <c r="K9" s="1">
        <v>1</v>
      </c>
    </row>
    <row r="10" spans="1:11" x14ac:dyDescent="0.25">
      <c r="A10" s="1" t="s">
        <v>1102</v>
      </c>
      <c r="B10" s="1" t="s">
        <v>1103</v>
      </c>
      <c r="C10" s="1" t="s">
        <v>1083</v>
      </c>
      <c r="D10" s="1" t="s">
        <v>1084</v>
      </c>
      <c r="E10" s="220">
        <v>2587500</v>
      </c>
      <c r="F10" s="78">
        <v>45882</v>
      </c>
      <c r="G10" s="1" t="s">
        <v>1085</v>
      </c>
      <c r="H10" s="78"/>
      <c r="I10" s="1" t="s">
        <v>1086</v>
      </c>
      <c r="J10" s="1" t="s">
        <v>1087</v>
      </c>
      <c r="K10" s="1">
        <v>1</v>
      </c>
    </row>
    <row r="11" spans="1:11" x14ac:dyDescent="0.25">
      <c r="A11" s="1" t="s">
        <v>1104</v>
      </c>
      <c r="B11" s="1" t="s">
        <v>1105</v>
      </c>
      <c r="C11" s="1" t="s">
        <v>1083</v>
      </c>
      <c r="D11" s="1" t="s">
        <v>1084</v>
      </c>
      <c r="E11" s="220">
        <v>1725000</v>
      </c>
      <c r="F11" s="78">
        <v>45882</v>
      </c>
      <c r="G11" s="1" t="s">
        <v>1085</v>
      </c>
      <c r="H11" s="78"/>
      <c r="I11" s="1" t="s">
        <v>1086</v>
      </c>
      <c r="J11" s="1" t="s">
        <v>1087</v>
      </c>
      <c r="K11" s="1">
        <v>1</v>
      </c>
    </row>
    <row r="12" spans="1:11" x14ac:dyDescent="0.25">
      <c r="A12" s="1" t="s">
        <v>1106</v>
      </c>
      <c r="B12" s="1" t="s">
        <v>1107</v>
      </c>
      <c r="C12" s="1" t="s">
        <v>1083</v>
      </c>
      <c r="D12" s="1" t="s">
        <v>1084</v>
      </c>
      <c r="E12" s="220">
        <v>552000</v>
      </c>
      <c r="F12" s="78">
        <v>45882</v>
      </c>
      <c r="G12" s="1" t="s">
        <v>1085</v>
      </c>
      <c r="H12" s="78"/>
      <c r="I12" s="1" t="s">
        <v>1086</v>
      </c>
      <c r="J12" s="1" t="s">
        <v>1087</v>
      </c>
      <c r="K12" s="1">
        <v>1</v>
      </c>
    </row>
    <row r="13" spans="1:11" x14ac:dyDescent="0.25">
      <c r="A13" s="1" t="s">
        <v>1108</v>
      </c>
      <c r="B13" s="1" t="s">
        <v>1109</v>
      </c>
      <c r="C13" s="1" t="s">
        <v>1083</v>
      </c>
      <c r="D13" s="1" t="s">
        <v>1110</v>
      </c>
      <c r="E13" s="220">
        <v>5750</v>
      </c>
      <c r="F13" s="78">
        <v>45882</v>
      </c>
      <c r="G13" s="1" t="s">
        <v>1085</v>
      </c>
      <c r="H13" s="78"/>
      <c r="I13" s="1" t="s">
        <v>1086</v>
      </c>
      <c r="J13" s="1" t="s">
        <v>1087</v>
      </c>
      <c r="K13" s="1">
        <v>1</v>
      </c>
    </row>
    <row r="14" spans="1:11" x14ac:dyDescent="0.25">
      <c r="A14" s="1" t="s">
        <v>1111</v>
      </c>
      <c r="B14" s="1" t="s">
        <v>1112</v>
      </c>
      <c r="C14" s="1" t="s">
        <v>1083</v>
      </c>
      <c r="D14" s="1" t="s">
        <v>1113</v>
      </c>
      <c r="E14" s="220">
        <v>338720</v>
      </c>
      <c r="F14" s="78">
        <v>45882</v>
      </c>
      <c r="G14" s="1" t="s">
        <v>1085</v>
      </c>
      <c r="H14" s="78"/>
      <c r="I14" s="1" t="s">
        <v>1086</v>
      </c>
      <c r="J14" s="1" t="s">
        <v>1087</v>
      </c>
      <c r="K14" s="1">
        <v>1</v>
      </c>
    </row>
    <row r="15" spans="1:11" x14ac:dyDescent="0.25">
      <c r="A15" s="1" t="s">
        <v>1114</v>
      </c>
      <c r="B15" s="1" t="s">
        <v>1115</v>
      </c>
      <c r="C15" s="1" t="s">
        <v>1083</v>
      </c>
      <c r="D15" s="1" t="s">
        <v>1113</v>
      </c>
      <c r="E15" s="220">
        <v>189175</v>
      </c>
      <c r="F15" s="78">
        <v>45882</v>
      </c>
      <c r="G15" s="1" t="s">
        <v>1085</v>
      </c>
      <c r="H15" s="78"/>
      <c r="I15" s="1" t="s">
        <v>1086</v>
      </c>
      <c r="J15" s="1" t="s">
        <v>1087</v>
      </c>
      <c r="K15" s="1">
        <v>1</v>
      </c>
    </row>
    <row r="16" spans="1:11" x14ac:dyDescent="0.25">
      <c r="A16" s="1" t="s">
        <v>1116</v>
      </c>
      <c r="B16" s="1" t="s">
        <v>1117</v>
      </c>
      <c r="C16" s="1" t="s">
        <v>1083</v>
      </c>
      <c r="D16" s="1" t="s">
        <v>1110</v>
      </c>
      <c r="E16" s="220">
        <v>5750</v>
      </c>
      <c r="F16" s="78">
        <v>45882</v>
      </c>
      <c r="G16" s="1" t="s">
        <v>1085</v>
      </c>
      <c r="H16" s="78"/>
      <c r="I16" s="1" t="s">
        <v>1086</v>
      </c>
      <c r="J16" s="1" t="s">
        <v>1087</v>
      </c>
      <c r="K16" s="1">
        <v>1</v>
      </c>
    </row>
    <row r="17" spans="1:11" x14ac:dyDescent="0.25">
      <c r="A17" s="1" t="s">
        <v>1118</v>
      </c>
      <c r="B17" s="1" t="s">
        <v>1119</v>
      </c>
      <c r="C17" s="1" t="s">
        <v>1083</v>
      </c>
      <c r="D17" s="1" t="s">
        <v>1120</v>
      </c>
      <c r="E17" s="220">
        <v>1380</v>
      </c>
      <c r="F17" s="78">
        <v>45882</v>
      </c>
      <c r="G17" s="1" t="s">
        <v>1085</v>
      </c>
      <c r="H17" s="78"/>
      <c r="I17" s="1" t="s">
        <v>1086</v>
      </c>
      <c r="J17" s="1" t="s">
        <v>1087</v>
      </c>
      <c r="K17" s="1">
        <v>1</v>
      </c>
    </row>
    <row r="18" spans="1:11" x14ac:dyDescent="0.25">
      <c r="A18" s="1" t="s">
        <v>1121</v>
      </c>
      <c r="B18" s="1" t="s">
        <v>1115</v>
      </c>
      <c r="C18" s="1" t="s">
        <v>1083</v>
      </c>
      <c r="D18" s="1" t="s">
        <v>1113</v>
      </c>
      <c r="E18" s="220">
        <v>189175</v>
      </c>
      <c r="F18" s="78">
        <v>45882</v>
      </c>
      <c r="G18" s="1" t="s">
        <v>1085</v>
      </c>
      <c r="H18" s="78"/>
      <c r="I18" s="1" t="s">
        <v>1086</v>
      </c>
      <c r="J18" s="1" t="s">
        <v>1087</v>
      </c>
      <c r="K18" s="1">
        <v>1</v>
      </c>
    </row>
    <row r="19" spans="1:11" x14ac:dyDescent="0.25">
      <c r="A19" s="1" t="s">
        <v>1122</v>
      </c>
      <c r="B19" s="1" t="s">
        <v>1117</v>
      </c>
      <c r="C19" s="1" t="s">
        <v>1083</v>
      </c>
      <c r="D19" s="1" t="s">
        <v>1110</v>
      </c>
      <c r="E19" s="220">
        <v>5750</v>
      </c>
      <c r="F19" s="78">
        <v>45882</v>
      </c>
      <c r="G19" s="1" t="s">
        <v>1085</v>
      </c>
      <c r="H19" s="78"/>
      <c r="I19" s="1" t="s">
        <v>1086</v>
      </c>
      <c r="J19" s="1" t="s">
        <v>1087</v>
      </c>
      <c r="K19" s="1">
        <v>1</v>
      </c>
    </row>
    <row r="20" spans="1:11" x14ac:dyDescent="0.25">
      <c r="A20" s="1" t="s">
        <v>1123</v>
      </c>
      <c r="B20" s="1" t="s">
        <v>1119</v>
      </c>
      <c r="C20" s="1" t="s">
        <v>1083</v>
      </c>
      <c r="D20" s="1" t="s">
        <v>1120</v>
      </c>
      <c r="E20" s="220">
        <v>1380</v>
      </c>
      <c r="F20" s="78">
        <v>45882</v>
      </c>
      <c r="G20" s="1" t="s">
        <v>1085</v>
      </c>
      <c r="H20" s="78"/>
      <c r="I20" s="1" t="s">
        <v>1086</v>
      </c>
      <c r="J20" s="1" t="s">
        <v>1087</v>
      </c>
      <c r="K20" s="1">
        <v>1</v>
      </c>
    </row>
    <row r="21" spans="1:11" x14ac:dyDescent="0.25">
      <c r="A21" s="1" t="s">
        <v>1124</v>
      </c>
      <c r="B21" s="1" t="s">
        <v>1115</v>
      </c>
      <c r="C21" s="1" t="s">
        <v>1083</v>
      </c>
      <c r="D21" s="1" t="s">
        <v>1113</v>
      </c>
      <c r="E21" s="220">
        <v>189175</v>
      </c>
      <c r="F21" s="78">
        <v>45882</v>
      </c>
      <c r="G21" s="1" t="s">
        <v>1085</v>
      </c>
      <c r="H21" s="78"/>
      <c r="I21" s="1" t="s">
        <v>1086</v>
      </c>
      <c r="J21" s="1" t="s">
        <v>1087</v>
      </c>
      <c r="K21" s="1">
        <v>1</v>
      </c>
    </row>
    <row r="22" spans="1:11" x14ac:dyDescent="0.25">
      <c r="A22" s="1" t="s">
        <v>1125</v>
      </c>
      <c r="B22" s="1" t="s">
        <v>1117</v>
      </c>
      <c r="C22" s="1" t="s">
        <v>1083</v>
      </c>
      <c r="D22" s="1" t="s">
        <v>1110</v>
      </c>
      <c r="E22" s="220">
        <v>5750</v>
      </c>
      <c r="F22" s="78">
        <v>45882</v>
      </c>
      <c r="G22" s="1" t="s">
        <v>1085</v>
      </c>
      <c r="H22" s="78"/>
      <c r="I22" s="1" t="s">
        <v>1086</v>
      </c>
      <c r="J22" s="1" t="s">
        <v>1087</v>
      </c>
      <c r="K22" s="1">
        <v>1</v>
      </c>
    </row>
    <row r="23" spans="1:11" x14ac:dyDescent="0.25">
      <c r="A23" s="1" t="s">
        <v>1126</v>
      </c>
      <c r="B23" s="1" t="s">
        <v>1119</v>
      </c>
      <c r="C23" s="1" t="s">
        <v>1083</v>
      </c>
      <c r="D23" s="1" t="s">
        <v>1120</v>
      </c>
      <c r="E23" s="220">
        <v>1380</v>
      </c>
      <c r="F23" s="78">
        <v>45882</v>
      </c>
      <c r="G23" s="1" t="s">
        <v>1085</v>
      </c>
      <c r="H23" s="78"/>
      <c r="I23" s="1" t="s">
        <v>1086</v>
      </c>
      <c r="J23" s="1" t="s">
        <v>1087</v>
      </c>
      <c r="K23" s="1">
        <v>1</v>
      </c>
    </row>
    <row r="24" spans="1:11" x14ac:dyDescent="0.25">
      <c r="A24" s="1" t="s">
        <v>1127</v>
      </c>
      <c r="B24" s="1" t="s">
        <v>1128</v>
      </c>
      <c r="C24" s="1" t="s">
        <v>1083</v>
      </c>
      <c r="D24" s="1" t="s">
        <v>1113</v>
      </c>
      <c r="E24" s="220">
        <v>189175</v>
      </c>
      <c r="F24" s="78">
        <v>45882</v>
      </c>
      <c r="G24" s="1" t="s">
        <v>1085</v>
      </c>
      <c r="H24" s="78"/>
      <c r="I24" s="1" t="s">
        <v>1086</v>
      </c>
      <c r="J24" s="1" t="s">
        <v>1087</v>
      </c>
      <c r="K24" s="1">
        <v>1</v>
      </c>
    </row>
    <row r="25" spans="1:11" x14ac:dyDescent="0.25">
      <c r="A25" s="1" t="s">
        <v>1129</v>
      </c>
      <c r="B25" s="1" t="s">
        <v>1117</v>
      </c>
      <c r="C25" s="1" t="s">
        <v>1083</v>
      </c>
      <c r="D25" s="1" t="s">
        <v>1110</v>
      </c>
      <c r="E25" s="220">
        <v>5750</v>
      </c>
      <c r="F25" s="78">
        <v>45882</v>
      </c>
      <c r="G25" s="1" t="s">
        <v>1085</v>
      </c>
      <c r="H25" s="78"/>
      <c r="I25" s="1" t="s">
        <v>1086</v>
      </c>
      <c r="J25" s="1" t="s">
        <v>1087</v>
      </c>
      <c r="K25" s="1">
        <v>1</v>
      </c>
    </row>
    <row r="26" spans="1:11" x14ac:dyDescent="0.25">
      <c r="A26" s="1" t="s">
        <v>1130</v>
      </c>
      <c r="B26" s="1" t="s">
        <v>1119</v>
      </c>
      <c r="C26" s="1" t="s">
        <v>1083</v>
      </c>
      <c r="D26" s="1" t="s">
        <v>1120</v>
      </c>
      <c r="E26" s="220">
        <v>1380</v>
      </c>
      <c r="F26" s="78">
        <v>45882</v>
      </c>
      <c r="G26" s="1" t="s">
        <v>1085</v>
      </c>
      <c r="H26" s="78"/>
      <c r="I26" s="1" t="s">
        <v>1086</v>
      </c>
      <c r="J26" s="1" t="s">
        <v>1087</v>
      </c>
      <c r="K26" s="1">
        <v>1</v>
      </c>
    </row>
    <row r="27" spans="1:11" x14ac:dyDescent="0.25">
      <c r="A27" s="1" t="s">
        <v>1131</v>
      </c>
      <c r="B27" s="1" t="s">
        <v>1132</v>
      </c>
      <c r="C27" s="1" t="s">
        <v>1083</v>
      </c>
      <c r="D27" s="1" t="s">
        <v>1110</v>
      </c>
      <c r="E27" s="220">
        <v>12180</v>
      </c>
      <c r="F27" s="78">
        <v>45882</v>
      </c>
      <c r="G27" s="1" t="s">
        <v>1085</v>
      </c>
      <c r="H27" s="78"/>
      <c r="I27" s="1" t="s">
        <v>1086</v>
      </c>
      <c r="J27" s="1" t="s">
        <v>1087</v>
      </c>
      <c r="K27" s="1">
        <v>1</v>
      </c>
    </row>
    <row r="28" spans="1:11" x14ac:dyDescent="0.25">
      <c r="A28" s="1" t="s">
        <v>1133</v>
      </c>
      <c r="B28" s="1" t="s">
        <v>1115</v>
      </c>
      <c r="C28" s="1" t="s">
        <v>1083</v>
      </c>
      <c r="D28" s="1" t="s">
        <v>1113</v>
      </c>
      <c r="E28" s="220">
        <v>189175</v>
      </c>
      <c r="F28" s="78">
        <v>45882</v>
      </c>
      <c r="G28" s="1" t="s">
        <v>1085</v>
      </c>
      <c r="H28" s="78"/>
      <c r="I28" s="1" t="s">
        <v>1086</v>
      </c>
      <c r="J28" s="1" t="s">
        <v>1087</v>
      </c>
      <c r="K28" s="1">
        <v>1</v>
      </c>
    </row>
    <row r="29" spans="1:11" x14ac:dyDescent="0.25">
      <c r="A29" s="1" t="s">
        <v>1134</v>
      </c>
      <c r="B29" s="1" t="s">
        <v>1117</v>
      </c>
      <c r="C29" s="1" t="s">
        <v>1083</v>
      </c>
      <c r="D29" s="1" t="s">
        <v>1110</v>
      </c>
      <c r="E29" s="220">
        <v>5750</v>
      </c>
      <c r="F29" s="78">
        <v>45882</v>
      </c>
      <c r="G29" s="1" t="s">
        <v>1085</v>
      </c>
      <c r="H29" s="78"/>
      <c r="I29" s="1" t="s">
        <v>1086</v>
      </c>
      <c r="J29" s="1" t="s">
        <v>1087</v>
      </c>
      <c r="K29" s="1">
        <v>1</v>
      </c>
    </row>
    <row r="30" spans="1:11" x14ac:dyDescent="0.25">
      <c r="A30" s="1" t="s">
        <v>1135</v>
      </c>
      <c r="B30" s="1" t="s">
        <v>1119</v>
      </c>
      <c r="C30" s="1" t="s">
        <v>1083</v>
      </c>
      <c r="D30" s="1" t="s">
        <v>1120</v>
      </c>
      <c r="E30" s="220">
        <v>1380</v>
      </c>
      <c r="F30" s="78">
        <v>45882</v>
      </c>
      <c r="G30" s="1" t="s">
        <v>1085</v>
      </c>
      <c r="H30" s="78"/>
      <c r="I30" s="1" t="s">
        <v>1086</v>
      </c>
      <c r="J30" s="1" t="s">
        <v>1087</v>
      </c>
      <c r="K30" s="1">
        <v>1</v>
      </c>
    </row>
    <row r="31" spans="1:11" x14ac:dyDescent="0.25">
      <c r="A31" s="1" t="s">
        <v>1136</v>
      </c>
      <c r="B31" s="1" t="s">
        <v>1137</v>
      </c>
      <c r="C31" s="1" t="s">
        <v>1083</v>
      </c>
      <c r="D31" s="1" t="s">
        <v>1113</v>
      </c>
      <c r="E31" s="220">
        <v>189175</v>
      </c>
      <c r="F31" s="78">
        <v>45882</v>
      </c>
      <c r="G31" s="1" t="s">
        <v>1085</v>
      </c>
      <c r="H31" s="78"/>
      <c r="I31" s="1" t="s">
        <v>1086</v>
      </c>
      <c r="J31" s="1" t="s">
        <v>1087</v>
      </c>
      <c r="K31" s="1">
        <v>1</v>
      </c>
    </row>
    <row r="32" spans="1:11" x14ac:dyDescent="0.25">
      <c r="A32" s="1" t="s">
        <v>1138</v>
      </c>
      <c r="B32" s="1" t="s">
        <v>1117</v>
      </c>
      <c r="C32" s="1" t="s">
        <v>1083</v>
      </c>
      <c r="D32" s="1" t="s">
        <v>1110</v>
      </c>
      <c r="E32" s="220">
        <v>5750</v>
      </c>
      <c r="F32" s="78">
        <v>45882</v>
      </c>
      <c r="G32" s="1" t="s">
        <v>1085</v>
      </c>
      <c r="H32" s="78"/>
      <c r="I32" s="1" t="s">
        <v>1086</v>
      </c>
      <c r="J32" s="1" t="s">
        <v>1087</v>
      </c>
      <c r="K32" s="1">
        <v>1</v>
      </c>
    </row>
    <row r="33" spans="1:11" x14ac:dyDescent="0.25">
      <c r="A33" s="1" t="s">
        <v>1139</v>
      </c>
      <c r="B33" s="1" t="s">
        <v>1119</v>
      </c>
      <c r="C33" s="1" t="s">
        <v>1083</v>
      </c>
      <c r="D33" s="1" t="s">
        <v>1120</v>
      </c>
      <c r="E33" s="220">
        <v>1380</v>
      </c>
      <c r="F33" s="78">
        <v>45882</v>
      </c>
      <c r="G33" s="1" t="s">
        <v>1085</v>
      </c>
      <c r="H33" s="78"/>
      <c r="I33" s="1" t="s">
        <v>1086</v>
      </c>
      <c r="J33" s="1" t="s">
        <v>1087</v>
      </c>
      <c r="K33" s="1">
        <v>1</v>
      </c>
    </row>
    <row r="34" spans="1:11" x14ac:dyDescent="0.25">
      <c r="A34" s="1" t="s">
        <v>1140</v>
      </c>
      <c r="B34" s="1" t="s">
        <v>1137</v>
      </c>
      <c r="C34" s="1" t="s">
        <v>1083</v>
      </c>
      <c r="D34" s="1" t="s">
        <v>1113</v>
      </c>
      <c r="E34" s="220">
        <v>189175</v>
      </c>
      <c r="F34" s="78">
        <v>45882</v>
      </c>
      <c r="G34" s="1" t="s">
        <v>1085</v>
      </c>
      <c r="H34" s="78"/>
      <c r="I34" s="1" t="s">
        <v>1086</v>
      </c>
      <c r="J34" s="1" t="s">
        <v>1087</v>
      </c>
      <c r="K34" s="1">
        <v>1</v>
      </c>
    </row>
    <row r="35" spans="1:11" x14ac:dyDescent="0.25">
      <c r="A35" s="1" t="s">
        <v>1141</v>
      </c>
      <c r="B35" s="1" t="s">
        <v>1117</v>
      </c>
      <c r="C35" s="1" t="s">
        <v>1083</v>
      </c>
      <c r="D35" s="1" t="s">
        <v>1110</v>
      </c>
      <c r="E35" s="220">
        <v>5750</v>
      </c>
      <c r="F35" s="78">
        <v>45882</v>
      </c>
      <c r="G35" s="1" t="s">
        <v>1085</v>
      </c>
      <c r="H35" s="78"/>
      <c r="I35" s="1" t="s">
        <v>1086</v>
      </c>
      <c r="J35" s="1" t="s">
        <v>1087</v>
      </c>
      <c r="K35" s="1">
        <v>1</v>
      </c>
    </row>
    <row r="36" spans="1:11" x14ac:dyDescent="0.25">
      <c r="A36" s="1" t="s">
        <v>1142</v>
      </c>
      <c r="B36" s="1" t="s">
        <v>1119</v>
      </c>
      <c r="C36" s="1" t="s">
        <v>1083</v>
      </c>
      <c r="D36" s="1" t="s">
        <v>1120</v>
      </c>
      <c r="E36" s="220">
        <v>1380</v>
      </c>
      <c r="F36" s="78">
        <v>45882</v>
      </c>
      <c r="G36" s="1" t="s">
        <v>1085</v>
      </c>
      <c r="H36" s="78"/>
      <c r="I36" s="1" t="s">
        <v>1086</v>
      </c>
      <c r="J36" s="1" t="s">
        <v>1087</v>
      </c>
      <c r="K36" s="1">
        <v>1</v>
      </c>
    </row>
    <row r="37" spans="1:11" x14ac:dyDescent="0.25">
      <c r="A37" s="1" t="s">
        <v>1143</v>
      </c>
      <c r="B37" s="1" t="s">
        <v>1144</v>
      </c>
      <c r="C37" s="1" t="s">
        <v>1083</v>
      </c>
      <c r="D37" s="1" t="s">
        <v>1113</v>
      </c>
      <c r="E37" s="220">
        <v>189175</v>
      </c>
      <c r="F37" s="78">
        <v>45882</v>
      </c>
      <c r="G37" s="1" t="s">
        <v>1085</v>
      </c>
      <c r="H37" s="78"/>
      <c r="I37" s="1" t="s">
        <v>1086</v>
      </c>
      <c r="J37" s="1" t="s">
        <v>1087</v>
      </c>
      <c r="K37" s="1">
        <v>1</v>
      </c>
    </row>
    <row r="38" spans="1:11" x14ac:dyDescent="0.25">
      <c r="A38" s="1" t="s">
        <v>1145</v>
      </c>
      <c r="B38" s="1" t="s">
        <v>1117</v>
      </c>
      <c r="C38" s="1" t="s">
        <v>1083</v>
      </c>
      <c r="D38" s="1" t="s">
        <v>1110</v>
      </c>
      <c r="E38" s="220">
        <v>5750</v>
      </c>
      <c r="F38" s="78">
        <v>45882</v>
      </c>
      <c r="G38" s="1" t="s">
        <v>1085</v>
      </c>
      <c r="H38" s="78"/>
      <c r="I38" s="1" t="s">
        <v>1086</v>
      </c>
      <c r="J38" s="1" t="s">
        <v>1087</v>
      </c>
      <c r="K38" s="1">
        <v>1</v>
      </c>
    </row>
    <row r="39" spans="1:11" x14ac:dyDescent="0.25">
      <c r="A39" s="1" t="s">
        <v>1146</v>
      </c>
      <c r="B39" s="1" t="s">
        <v>1119</v>
      </c>
      <c r="C39" s="1" t="s">
        <v>1083</v>
      </c>
      <c r="D39" s="1" t="s">
        <v>1120</v>
      </c>
      <c r="E39" s="220">
        <v>1380</v>
      </c>
      <c r="F39" s="78">
        <v>45882</v>
      </c>
      <c r="G39" s="1" t="s">
        <v>1085</v>
      </c>
      <c r="H39" s="78"/>
      <c r="I39" s="1" t="s">
        <v>1086</v>
      </c>
      <c r="J39" s="1" t="s">
        <v>1087</v>
      </c>
      <c r="K39" s="1">
        <v>1</v>
      </c>
    </row>
    <row r="40" spans="1:11" x14ac:dyDescent="0.25">
      <c r="A40" s="1" t="s">
        <v>1147</v>
      </c>
      <c r="B40" s="1" t="s">
        <v>1137</v>
      </c>
      <c r="C40" s="1" t="s">
        <v>1083</v>
      </c>
      <c r="D40" s="1" t="s">
        <v>1113</v>
      </c>
      <c r="E40" s="220">
        <v>189175</v>
      </c>
      <c r="F40" s="78">
        <v>45882</v>
      </c>
      <c r="G40" s="1" t="s">
        <v>1085</v>
      </c>
      <c r="H40" s="78"/>
      <c r="I40" s="1" t="s">
        <v>1086</v>
      </c>
      <c r="J40" s="1" t="s">
        <v>1087</v>
      </c>
      <c r="K40" s="1">
        <v>1</v>
      </c>
    </row>
    <row r="41" spans="1:11" x14ac:dyDescent="0.25">
      <c r="A41" s="1" t="s">
        <v>1148</v>
      </c>
      <c r="B41" s="1" t="s">
        <v>1117</v>
      </c>
      <c r="C41" s="1" t="s">
        <v>1083</v>
      </c>
      <c r="D41" s="1" t="s">
        <v>1110</v>
      </c>
      <c r="E41" s="220">
        <v>5750</v>
      </c>
      <c r="F41" s="78">
        <v>45882</v>
      </c>
      <c r="G41" s="1" t="s">
        <v>1085</v>
      </c>
      <c r="H41" s="78"/>
      <c r="I41" s="1" t="s">
        <v>1086</v>
      </c>
      <c r="J41" s="1" t="s">
        <v>1087</v>
      </c>
      <c r="K41" s="1">
        <v>1</v>
      </c>
    </row>
    <row r="42" spans="1:11" x14ac:dyDescent="0.25">
      <c r="A42" s="1" t="s">
        <v>1149</v>
      </c>
      <c r="B42" s="1" t="s">
        <v>1119</v>
      </c>
      <c r="C42" s="1" t="s">
        <v>1083</v>
      </c>
      <c r="D42" s="1" t="s">
        <v>1120</v>
      </c>
      <c r="E42" s="220">
        <v>1380</v>
      </c>
      <c r="F42" s="78">
        <v>45882</v>
      </c>
      <c r="G42" s="1" t="s">
        <v>1085</v>
      </c>
      <c r="H42" s="78"/>
      <c r="I42" s="1" t="s">
        <v>1086</v>
      </c>
      <c r="J42" s="1" t="s">
        <v>1087</v>
      </c>
      <c r="K42" s="1">
        <v>1</v>
      </c>
    </row>
    <row r="43" spans="1:11" x14ac:dyDescent="0.25">
      <c r="A43" s="1" t="s">
        <v>1150</v>
      </c>
      <c r="B43" s="1" t="s">
        <v>1137</v>
      </c>
      <c r="C43" s="1" t="s">
        <v>1083</v>
      </c>
      <c r="D43" s="1" t="s">
        <v>1113</v>
      </c>
      <c r="E43" s="220">
        <v>189175</v>
      </c>
      <c r="F43" s="78">
        <v>45882</v>
      </c>
      <c r="G43" s="1" t="s">
        <v>1085</v>
      </c>
      <c r="H43" s="78"/>
      <c r="I43" s="1" t="s">
        <v>1086</v>
      </c>
      <c r="J43" s="1" t="s">
        <v>1087</v>
      </c>
      <c r="K43" s="1">
        <v>1</v>
      </c>
    </row>
    <row r="44" spans="1:11" x14ac:dyDescent="0.25">
      <c r="A44" s="1" t="s">
        <v>1151</v>
      </c>
      <c r="B44" s="1" t="s">
        <v>1152</v>
      </c>
      <c r="C44" s="1" t="s">
        <v>1083</v>
      </c>
      <c r="D44" s="1" t="s">
        <v>1110</v>
      </c>
      <c r="E44" s="220">
        <v>14231</v>
      </c>
      <c r="F44" s="78">
        <v>45882</v>
      </c>
      <c r="G44" s="1" t="s">
        <v>1085</v>
      </c>
      <c r="H44" s="78"/>
      <c r="I44" s="1" t="s">
        <v>1086</v>
      </c>
      <c r="J44" s="1" t="s">
        <v>1087</v>
      </c>
      <c r="K44" s="1">
        <v>1</v>
      </c>
    </row>
    <row r="45" spans="1:11" x14ac:dyDescent="0.25">
      <c r="A45" s="1" t="s">
        <v>1153</v>
      </c>
      <c r="B45" s="1" t="s">
        <v>1117</v>
      </c>
      <c r="C45" s="1" t="s">
        <v>1083</v>
      </c>
      <c r="D45" s="1" t="s">
        <v>1110</v>
      </c>
      <c r="E45" s="220">
        <v>5750</v>
      </c>
      <c r="F45" s="78">
        <v>45882</v>
      </c>
      <c r="G45" s="1" t="s">
        <v>1085</v>
      </c>
      <c r="H45" s="78"/>
      <c r="I45" s="1" t="s">
        <v>1086</v>
      </c>
      <c r="J45" s="1" t="s">
        <v>1087</v>
      </c>
      <c r="K45" s="1">
        <v>1</v>
      </c>
    </row>
    <row r="46" spans="1:11" x14ac:dyDescent="0.25">
      <c r="A46" s="1" t="s">
        <v>1154</v>
      </c>
      <c r="B46" s="1" t="s">
        <v>1119</v>
      </c>
      <c r="C46" s="1" t="s">
        <v>1083</v>
      </c>
      <c r="D46" s="1" t="s">
        <v>1120</v>
      </c>
      <c r="E46" s="220">
        <v>1380</v>
      </c>
      <c r="F46" s="78">
        <v>45882</v>
      </c>
      <c r="G46" s="1" t="s">
        <v>1085</v>
      </c>
      <c r="H46" s="78"/>
      <c r="I46" s="1" t="s">
        <v>1086</v>
      </c>
      <c r="J46" s="1" t="s">
        <v>1087</v>
      </c>
      <c r="K46" s="1">
        <v>1</v>
      </c>
    </row>
    <row r="47" spans="1:11" x14ac:dyDescent="0.25">
      <c r="A47" s="1" t="s">
        <v>1155</v>
      </c>
      <c r="B47" s="1" t="s">
        <v>1156</v>
      </c>
      <c r="C47" s="1" t="s">
        <v>1083</v>
      </c>
      <c r="D47" s="1" t="s">
        <v>1110</v>
      </c>
      <c r="E47" s="220">
        <v>11185</v>
      </c>
      <c r="F47" s="78">
        <v>45882</v>
      </c>
      <c r="G47" s="1" t="s">
        <v>1085</v>
      </c>
      <c r="H47" s="78"/>
      <c r="I47" s="1" t="s">
        <v>1086</v>
      </c>
      <c r="J47" s="1" t="s">
        <v>1087</v>
      </c>
      <c r="K47" s="1">
        <v>1</v>
      </c>
    </row>
    <row r="48" spans="1:11" x14ac:dyDescent="0.25">
      <c r="A48" s="1" t="s">
        <v>1157</v>
      </c>
      <c r="B48" s="1" t="s">
        <v>1158</v>
      </c>
      <c r="C48" s="1" t="s">
        <v>1083</v>
      </c>
      <c r="D48" s="1" t="s">
        <v>1110</v>
      </c>
      <c r="E48" s="220">
        <v>3827</v>
      </c>
      <c r="F48" s="78">
        <v>45882</v>
      </c>
      <c r="G48" s="1" t="s">
        <v>1085</v>
      </c>
      <c r="H48" s="78"/>
      <c r="I48" s="1" t="s">
        <v>1086</v>
      </c>
      <c r="J48" s="1" t="s">
        <v>1087</v>
      </c>
      <c r="K48" s="1">
        <v>1</v>
      </c>
    </row>
    <row r="49" spans="1:11" x14ac:dyDescent="0.25">
      <c r="A49" s="1" t="s">
        <v>1159</v>
      </c>
      <c r="B49" s="1" t="s">
        <v>1160</v>
      </c>
      <c r="C49" s="1" t="s">
        <v>1083</v>
      </c>
      <c r="D49" s="1" t="s">
        <v>1110</v>
      </c>
      <c r="E49" s="220">
        <v>3827</v>
      </c>
      <c r="F49" s="78">
        <v>45882</v>
      </c>
      <c r="G49" s="1" t="s">
        <v>1085</v>
      </c>
      <c r="H49" s="78"/>
      <c r="I49" s="1" t="s">
        <v>1086</v>
      </c>
      <c r="J49" s="1" t="s">
        <v>1087</v>
      </c>
      <c r="K49" s="1">
        <v>1</v>
      </c>
    </row>
    <row r="50" spans="1:11" x14ac:dyDescent="0.25">
      <c r="A50" s="1" t="s">
        <v>1161</v>
      </c>
      <c r="B50" s="1" t="s">
        <v>1162</v>
      </c>
      <c r="C50" s="1" t="s">
        <v>1083</v>
      </c>
      <c r="D50" s="1" t="s">
        <v>1084</v>
      </c>
      <c r="E50" s="220">
        <v>1</v>
      </c>
      <c r="F50" s="78">
        <v>45882</v>
      </c>
      <c r="G50" s="1" t="s">
        <v>1085</v>
      </c>
      <c r="H50" s="78"/>
      <c r="I50" s="1" t="s">
        <v>1086</v>
      </c>
      <c r="J50" s="1" t="s">
        <v>1087</v>
      </c>
      <c r="K50" s="1">
        <v>1</v>
      </c>
    </row>
    <row r="51" spans="1:11" x14ac:dyDescent="0.25">
      <c r="A51" s="1" t="s">
        <v>1163</v>
      </c>
      <c r="B51" s="1" t="s">
        <v>1164</v>
      </c>
      <c r="C51" s="1" t="s">
        <v>1083</v>
      </c>
      <c r="D51" s="1" t="s">
        <v>1084</v>
      </c>
      <c r="E51" s="220">
        <v>1</v>
      </c>
      <c r="F51" s="78">
        <v>45882</v>
      </c>
      <c r="G51" s="1" t="s">
        <v>1085</v>
      </c>
      <c r="H51" s="78"/>
      <c r="I51" s="1" t="s">
        <v>1086</v>
      </c>
      <c r="J51" s="1" t="s">
        <v>1087</v>
      </c>
      <c r="K51" s="1">
        <v>1</v>
      </c>
    </row>
    <row r="52" spans="1:11" x14ac:dyDescent="0.25">
      <c r="A52" s="1" t="s">
        <v>1165</v>
      </c>
      <c r="B52" s="1" t="s">
        <v>1137</v>
      </c>
      <c r="C52" s="1" t="s">
        <v>1083</v>
      </c>
      <c r="D52" s="1" t="s">
        <v>1113</v>
      </c>
      <c r="E52" s="220">
        <v>189175</v>
      </c>
      <c r="F52" s="78">
        <v>45882</v>
      </c>
      <c r="G52" s="1" t="s">
        <v>1085</v>
      </c>
      <c r="H52" s="78"/>
      <c r="I52" s="1" t="s">
        <v>1086</v>
      </c>
      <c r="J52" s="1" t="s">
        <v>1087</v>
      </c>
      <c r="K52" s="1">
        <v>1</v>
      </c>
    </row>
    <row r="53" spans="1:11" x14ac:dyDescent="0.25">
      <c r="A53" s="1" t="s">
        <v>1166</v>
      </c>
      <c r="B53" s="1" t="s">
        <v>1117</v>
      </c>
      <c r="C53" s="1" t="s">
        <v>1083</v>
      </c>
      <c r="D53" s="1" t="s">
        <v>1110</v>
      </c>
      <c r="E53" s="220">
        <v>5750</v>
      </c>
      <c r="F53" s="78">
        <v>45882</v>
      </c>
      <c r="G53" s="1" t="s">
        <v>1085</v>
      </c>
      <c r="H53" s="78"/>
      <c r="I53" s="1" t="s">
        <v>1086</v>
      </c>
      <c r="J53" s="1" t="s">
        <v>1087</v>
      </c>
      <c r="K53" s="1">
        <v>1</v>
      </c>
    </row>
    <row r="54" spans="1:11" x14ac:dyDescent="0.25">
      <c r="A54" s="1" t="s">
        <v>1167</v>
      </c>
      <c r="B54" s="1" t="s">
        <v>1137</v>
      </c>
      <c r="C54" s="1" t="s">
        <v>1083</v>
      </c>
      <c r="D54" s="1" t="s">
        <v>1113</v>
      </c>
      <c r="E54" s="220">
        <v>189175</v>
      </c>
      <c r="F54" s="78">
        <v>45882</v>
      </c>
      <c r="G54" s="1" t="s">
        <v>1085</v>
      </c>
      <c r="H54" s="78"/>
      <c r="I54" s="1" t="s">
        <v>1086</v>
      </c>
      <c r="J54" s="1" t="s">
        <v>1087</v>
      </c>
      <c r="K54" s="1">
        <v>1</v>
      </c>
    </row>
    <row r="55" spans="1:11" x14ac:dyDescent="0.25">
      <c r="A55" s="1" t="s">
        <v>1168</v>
      </c>
      <c r="B55" s="1" t="s">
        <v>1117</v>
      </c>
      <c r="C55" s="1" t="s">
        <v>1083</v>
      </c>
      <c r="D55" s="1" t="s">
        <v>1110</v>
      </c>
      <c r="E55" s="220">
        <v>5750</v>
      </c>
      <c r="F55" s="78">
        <v>45882</v>
      </c>
      <c r="G55" s="1" t="s">
        <v>1085</v>
      </c>
      <c r="H55" s="78"/>
      <c r="I55" s="1" t="s">
        <v>1086</v>
      </c>
      <c r="J55" s="1" t="s">
        <v>1087</v>
      </c>
      <c r="K55" s="1">
        <v>1</v>
      </c>
    </row>
    <row r="56" spans="1:11" x14ac:dyDescent="0.25">
      <c r="A56" s="1" t="s">
        <v>1169</v>
      </c>
      <c r="B56" s="1" t="s">
        <v>1119</v>
      </c>
      <c r="C56" s="1" t="s">
        <v>1083</v>
      </c>
      <c r="D56" s="1" t="s">
        <v>1120</v>
      </c>
      <c r="E56" s="220">
        <v>1380</v>
      </c>
      <c r="F56" s="78">
        <v>45882</v>
      </c>
      <c r="G56" s="1" t="s">
        <v>1085</v>
      </c>
      <c r="H56" s="78"/>
      <c r="I56" s="1" t="s">
        <v>1086</v>
      </c>
      <c r="J56" s="1" t="s">
        <v>1087</v>
      </c>
      <c r="K56" s="1">
        <v>1</v>
      </c>
    </row>
    <row r="57" spans="1:11" x14ac:dyDescent="0.25">
      <c r="A57" s="1" t="s">
        <v>1170</v>
      </c>
      <c r="B57" s="1" t="s">
        <v>1171</v>
      </c>
      <c r="C57" s="1" t="s">
        <v>1083</v>
      </c>
      <c r="D57" s="1" t="s">
        <v>1084</v>
      </c>
      <c r="E57" s="220">
        <v>2344172</v>
      </c>
      <c r="F57" s="78">
        <v>45882</v>
      </c>
      <c r="G57" s="1" t="s">
        <v>1085</v>
      </c>
      <c r="H57" s="78"/>
      <c r="I57" s="1" t="s">
        <v>1086</v>
      </c>
      <c r="J57" s="1" t="s">
        <v>1087</v>
      </c>
      <c r="K57" s="1">
        <v>1</v>
      </c>
    </row>
    <row r="58" spans="1:11" x14ac:dyDescent="0.25">
      <c r="A58" s="1" t="s">
        <v>1172</v>
      </c>
      <c r="B58" s="1" t="s">
        <v>1173</v>
      </c>
      <c r="C58" s="1" t="s">
        <v>1174</v>
      </c>
      <c r="D58" s="1" t="s">
        <v>1110</v>
      </c>
      <c r="E58" s="1">
        <v>17276</v>
      </c>
      <c r="F58" s="78">
        <v>45882</v>
      </c>
      <c r="G58" s="1" t="s">
        <v>1085</v>
      </c>
      <c r="H58" s="78"/>
      <c r="I58" s="1" t="s">
        <v>1086</v>
      </c>
      <c r="J58" s="1" t="s">
        <v>1087</v>
      </c>
      <c r="K58" s="1">
        <v>1</v>
      </c>
    </row>
    <row r="59" spans="1:11" x14ac:dyDescent="0.25">
      <c r="A59" s="1" t="s">
        <v>1175</v>
      </c>
      <c r="B59" s="1" t="s">
        <v>1176</v>
      </c>
      <c r="C59" s="1" t="s">
        <v>1174</v>
      </c>
      <c r="D59" s="1" t="s">
        <v>1177</v>
      </c>
      <c r="E59" s="1">
        <v>8641</v>
      </c>
      <c r="F59" s="78">
        <v>45882</v>
      </c>
      <c r="G59" s="1" t="s">
        <v>1085</v>
      </c>
      <c r="H59" s="78"/>
      <c r="I59" s="1" t="s">
        <v>1086</v>
      </c>
      <c r="J59" s="1" t="s">
        <v>1087</v>
      </c>
      <c r="K59" s="1">
        <v>1</v>
      </c>
    </row>
    <row r="60" spans="1:11" x14ac:dyDescent="0.25">
      <c r="A60" s="1" t="s">
        <v>1178</v>
      </c>
      <c r="B60" s="1" t="s">
        <v>1179</v>
      </c>
      <c r="C60" s="1" t="s">
        <v>1174</v>
      </c>
      <c r="D60" s="1" t="s">
        <v>1110</v>
      </c>
      <c r="E60" s="1">
        <v>11793</v>
      </c>
      <c r="F60" s="78">
        <v>45882</v>
      </c>
      <c r="G60" s="1" t="s">
        <v>1085</v>
      </c>
      <c r="H60" s="78"/>
      <c r="I60" s="1" t="s">
        <v>1086</v>
      </c>
      <c r="J60" s="1" t="s">
        <v>1087</v>
      </c>
      <c r="K60" s="1">
        <v>1</v>
      </c>
    </row>
    <row r="61" spans="1:11" x14ac:dyDescent="0.25">
      <c r="A61" s="1" t="s">
        <v>1180</v>
      </c>
      <c r="B61" s="1" t="s">
        <v>1181</v>
      </c>
      <c r="C61" s="1" t="s">
        <v>1174</v>
      </c>
      <c r="D61" s="1" t="s">
        <v>1110</v>
      </c>
      <c r="E61" s="1">
        <v>34552</v>
      </c>
      <c r="F61" s="78">
        <v>45882</v>
      </c>
      <c r="G61" s="1" t="s">
        <v>1085</v>
      </c>
      <c r="H61" s="78"/>
      <c r="I61" s="1" t="s">
        <v>1086</v>
      </c>
      <c r="J61" s="1" t="s">
        <v>1087</v>
      </c>
      <c r="K61" s="1">
        <v>1</v>
      </c>
    </row>
    <row r="62" spans="1:11" x14ac:dyDescent="0.25">
      <c r="A62" s="1" t="s">
        <v>1182</v>
      </c>
      <c r="B62" s="1" t="s">
        <v>1176</v>
      </c>
      <c r="C62" s="1" t="s">
        <v>1174</v>
      </c>
      <c r="D62" s="1" t="s">
        <v>1177</v>
      </c>
      <c r="E62" s="1">
        <v>8641</v>
      </c>
      <c r="F62" s="78">
        <v>45882</v>
      </c>
      <c r="G62" s="1" t="s">
        <v>1085</v>
      </c>
      <c r="H62" s="78"/>
      <c r="I62" s="1" t="s">
        <v>1086</v>
      </c>
      <c r="J62" s="1" t="s">
        <v>1087</v>
      </c>
      <c r="K62" s="1">
        <v>1</v>
      </c>
    </row>
    <row r="63" spans="1:11" x14ac:dyDescent="0.25">
      <c r="A63" s="1" t="s">
        <v>1183</v>
      </c>
      <c r="B63" s="1" t="s">
        <v>1179</v>
      </c>
      <c r="C63" s="1" t="s">
        <v>1174</v>
      </c>
      <c r="D63" s="1" t="s">
        <v>1110</v>
      </c>
      <c r="E63" s="1">
        <v>11793</v>
      </c>
      <c r="F63" s="78">
        <v>45882</v>
      </c>
      <c r="G63" s="1" t="s">
        <v>1085</v>
      </c>
      <c r="H63" s="78"/>
      <c r="I63" s="1" t="s">
        <v>1086</v>
      </c>
      <c r="J63" s="1" t="s">
        <v>1087</v>
      </c>
      <c r="K63" s="1">
        <v>1</v>
      </c>
    </row>
    <row r="64" spans="1:11" x14ac:dyDescent="0.25">
      <c r="A64" s="1" t="s">
        <v>1184</v>
      </c>
      <c r="B64" s="1" t="s">
        <v>1185</v>
      </c>
      <c r="C64" s="1" t="s">
        <v>1174</v>
      </c>
      <c r="D64" s="1" t="s">
        <v>1110</v>
      </c>
      <c r="E64" s="1">
        <v>17276</v>
      </c>
      <c r="F64" s="78">
        <v>45882</v>
      </c>
      <c r="G64" s="1" t="s">
        <v>1085</v>
      </c>
      <c r="H64" s="78"/>
      <c r="I64" s="1" t="s">
        <v>1086</v>
      </c>
      <c r="J64" s="1" t="s">
        <v>1087</v>
      </c>
      <c r="K64" s="1">
        <v>1</v>
      </c>
    </row>
    <row r="65" spans="1:11" x14ac:dyDescent="0.25">
      <c r="A65" s="1" t="s">
        <v>1186</v>
      </c>
      <c r="B65" s="1" t="s">
        <v>1176</v>
      </c>
      <c r="C65" s="1" t="s">
        <v>1174</v>
      </c>
      <c r="D65" s="1" t="s">
        <v>1177</v>
      </c>
      <c r="E65" s="1">
        <v>8641</v>
      </c>
      <c r="F65" s="78">
        <v>45882</v>
      </c>
      <c r="G65" s="1" t="s">
        <v>1085</v>
      </c>
      <c r="H65" s="78"/>
      <c r="I65" s="1" t="s">
        <v>1086</v>
      </c>
      <c r="J65" s="1" t="s">
        <v>1087</v>
      </c>
      <c r="K65" s="1">
        <v>1</v>
      </c>
    </row>
    <row r="66" spans="1:11" x14ac:dyDescent="0.25">
      <c r="A66" s="1" t="s">
        <v>1187</v>
      </c>
      <c r="B66" s="1" t="s">
        <v>1188</v>
      </c>
      <c r="C66" s="1" t="s">
        <v>1189</v>
      </c>
      <c r="D66" s="1" t="s">
        <v>1110</v>
      </c>
      <c r="E66" s="1">
        <v>28175</v>
      </c>
      <c r="F66" s="78">
        <v>45882</v>
      </c>
      <c r="G66" s="1" t="s">
        <v>1085</v>
      </c>
      <c r="H66" s="78"/>
      <c r="I66" s="1" t="s">
        <v>1086</v>
      </c>
      <c r="J66" s="1" t="s">
        <v>1087</v>
      </c>
      <c r="K66" s="1">
        <v>1</v>
      </c>
    </row>
    <row r="67" spans="1:11" x14ac:dyDescent="0.25">
      <c r="A67" s="1" t="s">
        <v>1190</v>
      </c>
      <c r="B67" s="1" t="s">
        <v>1191</v>
      </c>
      <c r="C67" s="1" t="s">
        <v>1189</v>
      </c>
      <c r="D67" s="1" t="s">
        <v>1110</v>
      </c>
      <c r="E67" s="1">
        <v>33925</v>
      </c>
      <c r="F67" s="78">
        <v>45882</v>
      </c>
      <c r="G67" s="1" t="s">
        <v>1085</v>
      </c>
      <c r="H67" s="78"/>
      <c r="I67" s="1" t="s">
        <v>1086</v>
      </c>
      <c r="J67" s="1" t="s">
        <v>1087</v>
      </c>
      <c r="K67" s="1">
        <v>1</v>
      </c>
    </row>
    <row r="68" spans="1:11" x14ac:dyDescent="0.25">
      <c r="A68" s="1" t="s">
        <v>1192</v>
      </c>
      <c r="B68" s="1" t="s">
        <v>1193</v>
      </c>
      <c r="C68" s="1" t="s">
        <v>1189</v>
      </c>
      <c r="D68" s="1" t="s">
        <v>1177</v>
      </c>
      <c r="E68" s="1">
        <v>5750</v>
      </c>
      <c r="F68" s="78">
        <v>45882</v>
      </c>
      <c r="G68" s="1" t="s">
        <v>1085</v>
      </c>
      <c r="H68" s="78"/>
      <c r="I68" s="1" t="s">
        <v>1086</v>
      </c>
      <c r="J68" s="1" t="s">
        <v>1087</v>
      </c>
      <c r="K68" s="1">
        <v>1</v>
      </c>
    </row>
    <row r="69" spans="1:11" x14ac:dyDescent="0.25">
      <c r="A69" s="1" t="s">
        <v>1194</v>
      </c>
      <c r="B69" s="1" t="s">
        <v>1195</v>
      </c>
      <c r="C69" s="1" t="s">
        <v>1189</v>
      </c>
      <c r="D69" s="1" t="s">
        <v>1177</v>
      </c>
      <c r="E69" s="1">
        <v>517500</v>
      </c>
      <c r="F69" s="78">
        <v>45882</v>
      </c>
      <c r="G69" s="1" t="s">
        <v>1085</v>
      </c>
      <c r="H69" s="78"/>
      <c r="I69" s="1" t="s">
        <v>1086</v>
      </c>
      <c r="J69" s="1" t="s">
        <v>1087</v>
      </c>
      <c r="K69" s="1">
        <v>1</v>
      </c>
    </row>
    <row r="70" spans="1:11" x14ac:dyDescent="0.25">
      <c r="A70" s="1" t="s">
        <v>1196</v>
      </c>
      <c r="B70" s="1" t="s">
        <v>1197</v>
      </c>
      <c r="C70" s="1" t="s">
        <v>1198</v>
      </c>
      <c r="D70" s="1" t="s">
        <v>1110</v>
      </c>
      <c r="E70" s="1">
        <v>138000</v>
      </c>
      <c r="F70" s="78">
        <v>45882</v>
      </c>
      <c r="G70" s="1" t="s">
        <v>1085</v>
      </c>
      <c r="H70" s="78"/>
      <c r="I70" s="1" t="s">
        <v>1086</v>
      </c>
      <c r="J70" s="1" t="s">
        <v>1087</v>
      </c>
      <c r="K70" s="1">
        <v>1</v>
      </c>
    </row>
    <row r="71" spans="1:11" x14ac:dyDescent="0.25">
      <c r="A71" s="1" t="s">
        <v>1199</v>
      </c>
      <c r="B71" s="1" t="s">
        <v>1200</v>
      </c>
      <c r="C71" s="1" t="s">
        <v>1198</v>
      </c>
      <c r="D71" s="1" t="s">
        <v>1110</v>
      </c>
      <c r="E71" s="1">
        <v>138000</v>
      </c>
      <c r="F71" s="78">
        <v>45882</v>
      </c>
      <c r="G71" s="1" t="s">
        <v>1085</v>
      </c>
      <c r="H71" s="78"/>
      <c r="I71" s="1" t="s">
        <v>1086</v>
      </c>
      <c r="J71" s="1" t="s">
        <v>1087</v>
      </c>
      <c r="K71" s="1">
        <v>1</v>
      </c>
    </row>
    <row r="72" spans="1:11" x14ac:dyDescent="0.25">
      <c r="A72" s="1" t="s">
        <v>1201</v>
      </c>
      <c r="B72" s="1" t="s">
        <v>1202</v>
      </c>
      <c r="C72" s="1" t="s">
        <v>1203</v>
      </c>
      <c r="D72" s="1" t="s">
        <v>1084</v>
      </c>
      <c r="E72" s="1">
        <v>345000</v>
      </c>
      <c r="F72" s="78">
        <v>45882</v>
      </c>
      <c r="G72" s="1" t="s">
        <v>1085</v>
      </c>
      <c r="H72" s="78"/>
      <c r="I72" s="1" t="s">
        <v>1086</v>
      </c>
      <c r="J72" s="1" t="s">
        <v>1087</v>
      </c>
      <c r="K72" s="1">
        <v>1</v>
      </c>
    </row>
    <row r="73" spans="1:11" x14ac:dyDescent="0.25">
      <c r="A73" s="1" t="s">
        <v>1204</v>
      </c>
      <c r="B73" s="1" t="s">
        <v>1205</v>
      </c>
      <c r="C73" s="1" t="s">
        <v>1203</v>
      </c>
      <c r="D73" s="1" t="s">
        <v>1084</v>
      </c>
      <c r="E73" s="1">
        <v>230000</v>
      </c>
      <c r="F73" s="78">
        <v>45882</v>
      </c>
      <c r="G73" s="1" t="s">
        <v>1085</v>
      </c>
      <c r="H73" s="78"/>
      <c r="I73" s="1" t="s">
        <v>1086</v>
      </c>
      <c r="J73" s="1" t="s">
        <v>1087</v>
      </c>
      <c r="K73" s="1">
        <v>1</v>
      </c>
    </row>
    <row r="74" spans="1:11" x14ac:dyDescent="0.25">
      <c r="A74" s="1" t="s">
        <v>1206</v>
      </c>
      <c r="B74" s="1" t="s">
        <v>1207</v>
      </c>
      <c r="C74" s="1" t="s">
        <v>1203</v>
      </c>
      <c r="D74" s="1" t="s">
        <v>1110</v>
      </c>
      <c r="E74" s="1">
        <v>189750</v>
      </c>
      <c r="F74" s="78">
        <v>45882</v>
      </c>
      <c r="G74" s="1" t="s">
        <v>1085</v>
      </c>
      <c r="H74" s="78"/>
      <c r="I74" s="1" t="s">
        <v>1086</v>
      </c>
      <c r="J74" s="1" t="s">
        <v>1087</v>
      </c>
      <c r="K74" s="1">
        <v>1</v>
      </c>
    </row>
    <row r="75" spans="1:11" x14ac:dyDescent="0.25">
      <c r="A75" s="1" t="s">
        <v>1208</v>
      </c>
      <c r="B75" s="1" t="s">
        <v>1209</v>
      </c>
      <c r="C75" s="1" t="s">
        <v>1203</v>
      </c>
      <c r="D75" s="1" t="s">
        <v>1084</v>
      </c>
      <c r="E75" s="1">
        <v>1092500</v>
      </c>
      <c r="F75" s="78">
        <v>45882</v>
      </c>
      <c r="G75" s="1" t="s">
        <v>1085</v>
      </c>
      <c r="H75" s="78"/>
      <c r="I75" s="1" t="s">
        <v>1086</v>
      </c>
      <c r="J75" s="1" t="s">
        <v>1087</v>
      </c>
      <c r="K75" s="1">
        <v>1</v>
      </c>
    </row>
    <row r="76" spans="1:11" x14ac:dyDescent="0.25">
      <c r="A76" s="1" t="s">
        <v>1210</v>
      </c>
      <c r="B76" s="1" t="s">
        <v>1211</v>
      </c>
      <c r="C76" s="1" t="s">
        <v>1203</v>
      </c>
      <c r="D76" s="1" t="s">
        <v>1110</v>
      </c>
      <c r="E76" s="1">
        <v>97750</v>
      </c>
      <c r="F76" s="78">
        <v>45882</v>
      </c>
      <c r="G76" s="1" t="s">
        <v>1085</v>
      </c>
      <c r="H76" s="78"/>
      <c r="I76" s="1" t="s">
        <v>1086</v>
      </c>
      <c r="J76" s="1" t="s">
        <v>1087</v>
      </c>
      <c r="K76" s="1">
        <v>1</v>
      </c>
    </row>
    <row r="77" spans="1:11" x14ac:dyDescent="0.25">
      <c r="A77" s="1" t="s">
        <v>1212</v>
      </c>
      <c r="B77" s="1" t="s">
        <v>1213</v>
      </c>
      <c r="C77" s="1" t="s">
        <v>1203</v>
      </c>
      <c r="D77" s="1" t="s">
        <v>1110</v>
      </c>
      <c r="E77" s="1">
        <v>97750</v>
      </c>
      <c r="F77" s="78">
        <v>45882</v>
      </c>
      <c r="G77" s="1" t="s">
        <v>1085</v>
      </c>
      <c r="H77" s="78"/>
      <c r="I77" s="1" t="s">
        <v>1086</v>
      </c>
      <c r="J77" s="1" t="s">
        <v>1087</v>
      </c>
      <c r="K77" s="1">
        <v>1</v>
      </c>
    </row>
    <row r="78" spans="1:11" x14ac:dyDescent="0.25">
      <c r="A78" s="1" t="s">
        <v>1214</v>
      </c>
      <c r="B78" s="1" t="s">
        <v>1215</v>
      </c>
      <c r="C78" s="1" t="s">
        <v>1216</v>
      </c>
      <c r="D78" s="1" t="s">
        <v>1084</v>
      </c>
      <c r="E78" s="1">
        <v>759000</v>
      </c>
      <c r="F78" s="78">
        <v>45882</v>
      </c>
      <c r="G78" s="1" t="s">
        <v>1085</v>
      </c>
      <c r="H78" s="78"/>
      <c r="I78" s="1" t="s">
        <v>1086</v>
      </c>
      <c r="J78" s="1" t="s">
        <v>1087</v>
      </c>
      <c r="K78" s="1">
        <v>1</v>
      </c>
    </row>
    <row r="79" spans="1:11" x14ac:dyDescent="0.25">
      <c r="A79" s="1" t="s">
        <v>1217</v>
      </c>
      <c r="B79" s="1" t="s">
        <v>1218</v>
      </c>
      <c r="C79" s="1" t="s">
        <v>1216</v>
      </c>
      <c r="D79" s="1" t="s">
        <v>1084</v>
      </c>
      <c r="E79" s="1">
        <v>341550</v>
      </c>
      <c r="F79" s="78">
        <v>45882</v>
      </c>
      <c r="G79" s="1" t="s">
        <v>1085</v>
      </c>
      <c r="H79" s="78"/>
      <c r="I79" s="1" t="s">
        <v>1086</v>
      </c>
      <c r="J79" s="1" t="s">
        <v>1087</v>
      </c>
      <c r="K79" s="1">
        <v>1</v>
      </c>
    </row>
    <row r="80" spans="1:11" x14ac:dyDescent="0.25">
      <c r="A80" s="1" t="s">
        <v>1219</v>
      </c>
      <c r="B80" s="1" t="s">
        <v>1220</v>
      </c>
      <c r="C80" s="1" t="s">
        <v>1216</v>
      </c>
      <c r="D80" s="1" t="s">
        <v>1177</v>
      </c>
      <c r="E80" s="1">
        <v>345000</v>
      </c>
      <c r="F80" s="78">
        <v>45882</v>
      </c>
      <c r="G80" s="1" t="s">
        <v>1085</v>
      </c>
      <c r="H80" s="78"/>
      <c r="I80" s="1" t="s">
        <v>1086</v>
      </c>
      <c r="J80" s="1" t="s">
        <v>1087</v>
      </c>
      <c r="K80" s="1">
        <v>1</v>
      </c>
    </row>
    <row r="81" spans="1:11" x14ac:dyDescent="0.25">
      <c r="A81" s="1" t="s">
        <v>1221</v>
      </c>
      <c r="B81" s="1" t="s">
        <v>1222</v>
      </c>
      <c r="C81" s="1" t="s">
        <v>1216</v>
      </c>
      <c r="D81" s="1" t="s">
        <v>1177</v>
      </c>
      <c r="E81" s="1">
        <v>402500</v>
      </c>
      <c r="F81" s="78">
        <v>45882</v>
      </c>
      <c r="G81" s="1" t="s">
        <v>1085</v>
      </c>
      <c r="H81" s="78"/>
      <c r="I81" s="1" t="s">
        <v>1086</v>
      </c>
      <c r="J81" s="1" t="s">
        <v>1087</v>
      </c>
      <c r="K81" s="1">
        <v>1</v>
      </c>
    </row>
    <row r="82" spans="1:11" x14ac:dyDescent="0.25">
      <c r="A82" s="1" t="s">
        <v>1223</v>
      </c>
      <c r="B82" s="1" t="s">
        <v>1224</v>
      </c>
      <c r="C82" s="1" t="s">
        <v>1216</v>
      </c>
      <c r="D82" s="1" t="s">
        <v>1177</v>
      </c>
      <c r="E82" s="1">
        <v>402500</v>
      </c>
      <c r="F82" s="78">
        <v>45882</v>
      </c>
      <c r="G82" s="1" t="s">
        <v>1085</v>
      </c>
      <c r="H82" s="78"/>
      <c r="I82" s="1" t="s">
        <v>1086</v>
      </c>
      <c r="J82" s="1" t="s">
        <v>1087</v>
      </c>
      <c r="K82" s="1">
        <v>1</v>
      </c>
    </row>
    <row r="83" spans="1:11" x14ac:dyDescent="0.25">
      <c r="A83" s="1" t="s">
        <v>1225</v>
      </c>
      <c r="B83" s="1" t="s">
        <v>1226</v>
      </c>
      <c r="C83" s="1" t="s">
        <v>1216</v>
      </c>
      <c r="D83" s="1" t="s">
        <v>1177</v>
      </c>
      <c r="E83" s="1">
        <v>402500</v>
      </c>
      <c r="F83" s="78">
        <v>45882</v>
      </c>
      <c r="G83" s="1" t="s">
        <v>1085</v>
      </c>
      <c r="H83" s="78"/>
      <c r="I83" s="1" t="s">
        <v>1086</v>
      </c>
      <c r="J83" s="1" t="s">
        <v>1087</v>
      </c>
      <c r="K83" s="1">
        <v>1</v>
      </c>
    </row>
    <row r="84" spans="1:11" x14ac:dyDescent="0.25">
      <c r="A84" s="1" t="s">
        <v>1227</v>
      </c>
      <c r="B84" s="1" t="s">
        <v>1228</v>
      </c>
      <c r="C84" s="1" t="s">
        <v>1229</v>
      </c>
      <c r="D84" s="1" t="s">
        <v>1084</v>
      </c>
      <c r="E84" s="1">
        <v>40250</v>
      </c>
      <c r="F84" s="78">
        <v>45882</v>
      </c>
      <c r="G84" s="1" t="s">
        <v>1085</v>
      </c>
      <c r="H84" s="78"/>
      <c r="I84" s="1" t="s">
        <v>1086</v>
      </c>
      <c r="J84" s="1" t="s">
        <v>1087</v>
      </c>
      <c r="K84" s="1">
        <v>1</v>
      </c>
    </row>
    <row r="85" spans="1:11" x14ac:dyDescent="0.25">
      <c r="A85" s="1" t="s">
        <v>1230</v>
      </c>
      <c r="B85" s="1" t="s">
        <v>1231</v>
      </c>
      <c r="C85" s="1" t="s">
        <v>1229</v>
      </c>
      <c r="D85" s="1" t="s">
        <v>1084</v>
      </c>
      <c r="E85" s="1">
        <v>4750</v>
      </c>
      <c r="F85" s="78">
        <v>45882</v>
      </c>
      <c r="G85" s="1" t="s">
        <v>1085</v>
      </c>
      <c r="H85" s="78"/>
      <c r="I85" s="1" t="s">
        <v>1086</v>
      </c>
      <c r="J85" s="1" t="s">
        <v>1087</v>
      </c>
      <c r="K85" s="1">
        <v>1</v>
      </c>
    </row>
    <row r="86" spans="1:11" x14ac:dyDescent="0.25">
      <c r="A86" s="1" t="s">
        <v>1232</v>
      </c>
      <c r="B86" s="1" t="s">
        <v>1233</v>
      </c>
      <c r="C86" s="1" t="s">
        <v>1229</v>
      </c>
      <c r="D86" s="1" t="s">
        <v>1084</v>
      </c>
      <c r="E86" s="1">
        <v>40250</v>
      </c>
      <c r="F86" s="78">
        <v>45882</v>
      </c>
      <c r="G86" s="1" t="s">
        <v>1085</v>
      </c>
      <c r="H86" s="78"/>
      <c r="I86" s="1" t="s">
        <v>1086</v>
      </c>
      <c r="J86" s="1" t="s">
        <v>1087</v>
      </c>
      <c r="K86" s="1">
        <v>1</v>
      </c>
    </row>
    <row r="87" spans="1:11" x14ac:dyDescent="0.25">
      <c r="A87" s="1" t="s">
        <v>1234</v>
      </c>
      <c r="B87" s="1" t="s">
        <v>1235</v>
      </c>
      <c r="C87" s="1" t="s">
        <v>1229</v>
      </c>
      <c r="D87" s="1" t="s">
        <v>1084</v>
      </c>
      <c r="E87" s="1">
        <v>4750</v>
      </c>
      <c r="F87" s="78">
        <v>45882</v>
      </c>
      <c r="G87" s="1" t="s">
        <v>1085</v>
      </c>
      <c r="H87" s="78"/>
      <c r="I87" s="1" t="s">
        <v>1086</v>
      </c>
      <c r="J87" s="1" t="s">
        <v>1087</v>
      </c>
      <c r="K87" s="1">
        <v>1</v>
      </c>
    </row>
    <row r="88" spans="1:11" x14ac:dyDescent="0.25">
      <c r="A88" s="1" t="s">
        <v>1236</v>
      </c>
      <c r="B88" s="1" t="s">
        <v>1237</v>
      </c>
      <c r="C88" s="1" t="s">
        <v>1229</v>
      </c>
      <c r="D88" s="1" t="s">
        <v>1084</v>
      </c>
      <c r="E88" s="1">
        <v>10350</v>
      </c>
      <c r="F88" s="78">
        <v>45882</v>
      </c>
      <c r="G88" s="1" t="s">
        <v>1085</v>
      </c>
      <c r="H88" s="78"/>
      <c r="I88" s="1" t="s">
        <v>1086</v>
      </c>
      <c r="J88" s="1" t="s">
        <v>1087</v>
      </c>
      <c r="K88" s="1">
        <v>1</v>
      </c>
    </row>
    <row r="89" spans="1:11" x14ac:dyDescent="0.25">
      <c r="A89" s="1" t="s">
        <v>1238</v>
      </c>
      <c r="B89" s="1" t="s">
        <v>1239</v>
      </c>
      <c r="C89" s="1" t="s">
        <v>1229</v>
      </c>
      <c r="D89" s="1" t="s">
        <v>1084</v>
      </c>
      <c r="E89" s="1">
        <v>13800</v>
      </c>
      <c r="F89" s="78">
        <v>45882</v>
      </c>
      <c r="G89" s="1" t="s">
        <v>1085</v>
      </c>
      <c r="H89" s="78"/>
      <c r="I89" s="1" t="s">
        <v>1086</v>
      </c>
      <c r="J89" s="1" t="s">
        <v>1087</v>
      </c>
      <c r="K89" s="1">
        <v>1</v>
      </c>
    </row>
    <row r="90" spans="1:11" x14ac:dyDescent="0.25">
      <c r="A90" s="1" t="s">
        <v>1240</v>
      </c>
      <c r="B90" s="1" t="s">
        <v>1241</v>
      </c>
      <c r="C90" s="1" t="s">
        <v>1229</v>
      </c>
      <c r="D90" s="1" t="s">
        <v>1084</v>
      </c>
      <c r="E90" s="1">
        <v>20700</v>
      </c>
      <c r="F90" s="78">
        <v>45882</v>
      </c>
      <c r="G90" s="1" t="s">
        <v>1085</v>
      </c>
      <c r="H90" s="78"/>
      <c r="I90" s="1" t="s">
        <v>1086</v>
      </c>
      <c r="J90" s="1" t="s">
        <v>1087</v>
      </c>
      <c r="K90" s="1">
        <v>1</v>
      </c>
    </row>
    <row r="91" spans="1:11" x14ac:dyDescent="0.25">
      <c r="A91" s="1" t="s">
        <v>1242</v>
      </c>
      <c r="B91" s="1" t="s">
        <v>1243</v>
      </c>
      <c r="C91" s="1" t="s">
        <v>1229</v>
      </c>
      <c r="D91" s="1" t="s">
        <v>1084</v>
      </c>
      <c r="E91" s="1">
        <v>34500</v>
      </c>
      <c r="F91" s="78">
        <v>45882</v>
      </c>
      <c r="G91" s="1" t="s">
        <v>1085</v>
      </c>
      <c r="H91" s="78"/>
      <c r="I91" s="1" t="s">
        <v>1086</v>
      </c>
      <c r="J91" s="1" t="s">
        <v>1087</v>
      </c>
      <c r="K91" s="1">
        <v>1</v>
      </c>
    </row>
    <row r="92" spans="1:11" x14ac:dyDescent="0.25">
      <c r="A92" s="1" t="s">
        <v>1244</v>
      </c>
      <c r="B92" s="1" t="s">
        <v>1245</v>
      </c>
      <c r="C92" s="1" t="s">
        <v>1229</v>
      </c>
      <c r="D92" s="1" t="s">
        <v>1084</v>
      </c>
      <c r="E92" s="1">
        <v>18400</v>
      </c>
      <c r="F92" s="78">
        <v>45882</v>
      </c>
      <c r="G92" s="1" t="s">
        <v>1085</v>
      </c>
      <c r="H92" s="78"/>
      <c r="I92" s="1" t="s">
        <v>1086</v>
      </c>
      <c r="J92" s="1" t="s">
        <v>1087</v>
      </c>
      <c r="K92" s="1">
        <v>1</v>
      </c>
    </row>
    <row r="93" spans="1:11" x14ac:dyDescent="0.25">
      <c r="A93" s="1" t="s">
        <v>1246</v>
      </c>
      <c r="B93" s="1" t="s">
        <v>1247</v>
      </c>
      <c r="C93" s="1" t="s">
        <v>1229</v>
      </c>
      <c r="D93" s="1" t="s">
        <v>1084</v>
      </c>
      <c r="E93" s="1">
        <v>20700</v>
      </c>
      <c r="F93" s="78">
        <v>45882</v>
      </c>
      <c r="G93" s="1" t="s">
        <v>1085</v>
      </c>
      <c r="H93" s="78"/>
      <c r="I93" s="1" t="s">
        <v>1086</v>
      </c>
      <c r="J93" s="1" t="s">
        <v>1087</v>
      </c>
      <c r="K93" s="1">
        <v>1</v>
      </c>
    </row>
    <row r="94" spans="1:11" x14ac:dyDescent="0.25">
      <c r="A94" s="1" t="s">
        <v>1248</v>
      </c>
      <c r="B94" s="1" t="s">
        <v>1249</v>
      </c>
      <c r="C94" s="1" t="s">
        <v>1229</v>
      </c>
      <c r="D94" s="1" t="s">
        <v>1084</v>
      </c>
      <c r="E94" s="1">
        <v>6900</v>
      </c>
      <c r="F94" s="78">
        <v>45882</v>
      </c>
      <c r="G94" s="1" t="s">
        <v>1085</v>
      </c>
      <c r="H94" s="78"/>
      <c r="I94" s="1" t="s">
        <v>1086</v>
      </c>
      <c r="J94" s="1" t="s">
        <v>1087</v>
      </c>
      <c r="K94" s="1">
        <v>1</v>
      </c>
    </row>
    <row r="95" spans="1:11" x14ac:dyDescent="0.25">
      <c r="A95" s="1" t="s">
        <v>1250</v>
      </c>
      <c r="B95" s="1" t="s">
        <v>1251</v>
      </c>
      <c r="C95" s="1" t="s">
        <v>1229</v>
      </c>
      <c r="D95" s="1" t="s">
        <v>1084</v>
      </c>
      <c r="E95" s="1">
        <v>67275</v>
      </c>
      <c r="F95" s="78">
        <v>45882</v>
      </c>
      <c r="G95" s="1" t="s">
        <v>1085</v>
      </c>
      <c r="H95" s="78"/>
      <c r="I95" s="1" t="s">
        <v>1086</v>
      </c>
      <c r="J95" s="1" t="s">
        <v>1087</v>
      </c>
      <c r="K95" s="1">
        <v>1</v>
      </c>
    </row>
    <row r="96" spans="1:11" x14ac:dyDescent="0.25">
      <c r="A96" s="1" t="s">
        <v>1252</v>
      </c>
      <c r="B96" s="1" t="s">
        <v>1253</v>
      </c>
      <c r="C96" s="1" t="s">
        <v>1229</v>
      </c>
      <c r="D96" s="1" t="s">
        <v>1084</v>
      </c>
      <c r="E96" s="1">
        <v>43125</v>
      </c>
      <c r="F96" s="78">
        <v>45882</v>
      </c>
      <c r="G96" s="1" t="s">
        <v>1085</v>
      </c>
      <c r="H96" s="78"/>
      <c r="I96" s="1" t="s">
        <v>1086</v>
      </c>
      <c r="J96" s="1" t="s">
        <v>1087</v>
      </c>
      <c r="K96" s="1">
        <v>1</v>
      </c>
    </row>
    <row r="97" spans="1:11" x14ac:dyDescent="0.25">
      <c r="A97" s="1" t="s">
        <v>1254</v>
      </c>
      <c r="B97" s="1" t="s">
        <v>1255</v>
      </c>
      <c r="C97" s="1" t="s">
        <v>1229</v>
      </c>
      <c r="D97" s="1" t="s">
        <v>1084</v>
      </c>
      <c r="E97" s="1">
        <v>8050</v>
      </c>
      <c r="F97" s="78">
        <v>45882</v>
      </c>
      <c r="G97" s="1" t="s">
        <v>1085</v>
      </c>
      <c r="H97" s="78"/>
      <c r="I97" s="1" t="s">
        <v>1086</v>
      </c>
      <c r="J97" s="1" t="s">
        <v>1087</v>
      </c>
      <c r="K97" s="1">
        <v>1</v>
      </c>
    </row>
    <row r="98" spans="1:11" x14ac:dyDescent="0.25">
      <c r="A98" s="1" t="s">
        <v>1256</v>
      </c>
      <c r="B98" s="1" t="s">
        <v>1257</v>
      </c>
      <c r="C98" s="1" t="s">
        <v>1229</v>
      </c>
      <c r="D98" s="1" t="s">
        <v>1084</v>
      </c>
      <c r="E98" s="1">
        <v>8050</v>
      </c>
      <c r="F98" s="78">
        <v>45882</v>
      </c>
      <c r="G98" s="1" t="s">
        <v>1085</v>
      </c>
      <c r="H98" s="78"/>
      <c r="I98" s="1" t="s">
        <v>1086</v>
      </c>
      <c r="J98" s="1" t="s">
        <v>1087</v>
      </c>
      <c r="K98" s="1">
        <v>1</v>
      </c>
    </row>
    <row r="99" spans="1:11" x14ac:dyDescent="0.25">
      <c r="A99" s="1" t="s">
        <v>1258</v>
      </c>
      <c r="B99" s="1" t="s">
        <v>1259</v>
      </c>
      <c r="C99" s="1" t="s">
        <v>1229</v>
      </c>
      <c r="D99" s="1" t="s">
        <v>1084</v>
      </c>
      <c r="E99" s="1">
        <v>10350</v>
      </c>
      <c r="F99" s="78">
        <v>45882</v>
      </c>
      <c r="G99" s="1" t="s">
        <v>1085</v>
      </c>
      <c r="H99" s="78"/>
      <c r="I99" s="1" t="s">
        <v>1086</v>
      </c>
      <c r="J99" s="1" t="s">
        <v>1087</v>
      </c>
      <c r="K99" s="1">
        <v>1</v>
      </c>
    </row>
    <row r="100" spans="1:11" x14ac:dyDescent="0.25">
      <c r="A100" s="1" t="s">
        <v>1260</v>
      </c>
      <c r="B100" s="1" t="s">
        <v>1261</v>
      </c>
      <c r="C100" s="1" t="s">
        <v>1229</v>
      </c>
      <c r="D100" s="1" t="s">
        <v>1084</v>
      </c>
      <c r="E100" s="1">
        <v>46000</v>
      </c>
      <c r="F100" s="78">
        <v>45882</v>
      </c>
      <c r="G100" s="1" t="s">
        <v>1085</v>
      </c>
      <c r="H100" s="78"/>
      <c r="I100" s="1" t="s">
        <v>1086</v>
      </c>
      <c r="J100" s="1" t="s">
        <v>1087</v>
      </c>
      <c r="K100" s="1">
        <v>1</v>
      </c>
    </row>
    <row r="101" spans="1:11" x14ac:dyDescent="0.25">
      <c r="A101" s="1" t="s">
        <v>1262</v>
      </c>
      <c r="B101" s="1" t="s">
        <v>1263</v>
      </c>
      <c r="C101" s="1" t="s">
        <v>1229</v>
      </c>
      <c r="D101" s="1" t="s">
        <v>1084</v>
      </c>
      <c r="E101" s="1">
        <v>4197500</v>
      </c>
      <c r="F101" s="78">
        <v>45882</v>
      </c>
      <c r="G101" s="1" t="s">
        <v>1085</v>
      </c>
      <c r="H101" s="78"/>
      <c r="I101" s="1" t="s">
        <v>1086</v>
      </c>
      <c r="J101" s="1" t="s">
        <v>1087</v>
      </c>
      <c r="K101" s="1">
        <v>1</v>
      </c>
    </row>
    <row r="102" spans="1:11" x14ac:dyDescent="0.25">
      <c r="A102" s="1" t="s">
        <v>1264</v>
      </c>
      <c r="B102" s="1" t="s">
        <v>1265</v>
      </c>
      <c r="C102" s="1" t="s">
        <v>1229</v>
      </c>
      <c r="D102" s="1" t="s">
        <v>1084</v>
      </c>
      <c r="E102" s="1">
        <v>5750</v>
      </c>
      <c r="F102" s="78">
        <v>45882</v>
      </c>
      <c r="G102" s="1" t="s">
        <v>1085</v>
      </c>
      <c r="H102" s="78"/>
      <c r="I102" s="1" t="s">
        <v>1086</v>
      </c>
      <c r="J102" s="1" t="s">
        <v>1087</v>
      </c>
      <c r="K102" s="1">
        <v>1</v>
      </c>
    </row>
    <row r="103" spans="1:11" x14ac:dyDescent="0.25">
      <c r="A103" s="1" t="s">
        <v>1266</v>
      </c>
      <c r="B103" s="1" t="s">
        <v>1267</v>
      </c>
      <c r="C103" s="1" t="s">
        <v>1229</v>
      </c>
      <c r="D103" s="1" t="s">
        <v>1084</v>
      </c>
      <c r="E103" s="1">
        <v>8050</v>
      </c>
      <c r="F103" s="78">
        <v>45882</v>
      </c>
      <c r="G103" s="1" t="s">
        <v>1085</v>
      </c>
      <c r="H103" s="78"/>
      <c r="I103" s="1" t="s">
        <v>1086</v>
      </c>
      <c r="J103" s="1" t="s">
        <v>1087</v>
      </c>
      <c r="K103" s="1">
        <v>1</v>
      </c>
    </row>
    <row r="104" spans="1:11" x14ac:dyDescent="0.25">
      <c r="A104" s="1" t="s">
        <v>1268</v>
      </c>
      <c r="B104" s="1" t="s">
        <v>1269</v>
      </c>
      <c r="C104" s="1" t="s">
        <v>1229</v>
      </c>
      <c r="D104" s="1" t="s">
        <v>1084</v>
      </c>
      <c r="E104" s="1">
        <v>5750</v>
      </c>
      <c r="F104" s="78">
        <v>45882</v>
      </c>
      <c r="G104" s="1" t="s">
        <v>1085</v>
      </c>
      <c r="H104" s="78"/>
      <c r="I104" s="1" t="s">
        <v>1086</v>
      </c>
      <c r="J104" s="1" t="s">
        <v>1087</v>
      </c>
      <c r="K104" s="1">
        <v>1</v>
      </c>
    </row>
    <row r="105" spans="1:11" x14ac:dyDescent="0.25">
      <c r="A105" s="1" t="s">
        <v>1270</v>
      </c>
      <c r="B105" s="1" t="s">
        <v>1271</v>
      </c>
      <c r="C105" s="1" t="s">
        <v>1229</v>
      </c>
      <c r="D105" s="1" t="s">
        <v>1084</v>
      </c>
      <c r="E105" s="1">
        <v>5750</v>
      </c>
      <c r="F105" s="78">
        <v>45882</v>
      </c>
      <c r="G105" s="1" t="s">
        <v>1085</v>
      </c>
      <c r="H105" s="78"/>
      <c r="I105" s="1" t="s">
        <v>1086</v>
      </c>
      <c r="J105" s="1" t="s">
        <v>1087</v>
      </c>
      <c r="K105" s="1">
        <v>1</v>
      </c>
    </row>
    <row r="106" spans="1:11" x14ac:dyDescent="0.25">
      <c r="A106" s="1" t="s">
        <v>1272</v>
      </c>
      <c r="B106" s="1" t="s">
        <v>1273</v>
      </c>
      <c r="C106" s="1" t="s">
        <v>1229</v>
      </c>
      <c r="D106" s="1" t="s">
        <v>1084</v>
      </c>
      <c r="E106" s="1">
        <v>5750</v>
      </c>
      <c r="F106" s="78">
        <v>45882</v>
      </c>
      <c r="G106" s="1" t="s">
        <v>1085</v>
      </c>
      <c r="H106" s="78"/>
      <c r="I106" s="1" t="s">
        <v>1086</v>
      </c>
      <c r="J106" s="1" t="s">
        <v>1087</v>
      </c>
      <c r="K106" s="1">
        <v>1</v>
      </c>
    </row>
    <row r="107" spans="1:11" x14ac:dyDescent="0.25">
      <c r="A107" s="1" t="s">
        <v>1274</v>
      </c>
      <c r="B107" s="1" t="s">
        <v>1275</v>
      </c>
      <c r="C107" s="1" t="s">
        <v>1229</v>
      </c>
      <c r="D107" s="1" t="s">
        <v>1084</v>
      </c>
      <c r="E107" s="1">
        <v>8050</v>
      </c>
      <c r="F107" s="78">
        <v>45882</v>
      </c>
      <c r="G107" s="1" t="s">
        <v>1085</v>
      </c>
      <c r="H107" s="78"/>
      <c r="I107" s="1" t="s">
        <v>1086</v>
      </c>
      <c r="J107" s="1" t="s">
        <v>1087</v>
      </c>
      <c r="K107" s="1">
        <v>1</v>
      </c>
    </row>
    <row r="108" spans="1:11" x14ac:dyDescent="0.25">
      <c r="A108" s="1" t="s">
        <v>1276</v>
      </c>
      <c r="B108" s="1" t="s">
        <v>1277</v>
      </c>
      <c r="C108" s="1" t="s">
        <v>1278</v>
      </c>
      <c r="D108" s="1" t="s">
        <v>1084</v>
      </c>
      <c r="E108" s="1">
        <v>2300000</v>
      </c>
      <c r="F108" s="78">
        <v>45882</v>
      </c>
      <c r="G108" s="1" t="s">
        <v>1085</v>
      </c>
      <c r="H108" s="78"/>
      <c r="I108" s="1" t="s">
        <v>1086</v>
      </c>
      <c r="J108" s="1" t="s">
        <v>1087</v>
      </c>
      <c r="K108" s="1">
        <v>1</v>
      </c>
    </row>
    <row r="109" spans="1:11" x14ac:dyDescent="0.25">
      <c r="A109" s="1" t="s">
        <v>1279</v>
      </c>
      <c r="B109" s="1" t="s">
        <v>1280</v>
      </c>
      <c r="C109" s="1" t="s">
        <v>1278</v>
      </c>
      <c r="D109" s="1" t="s">
        <v>1084</v>
      </c>
      <c r="E109" s="1">
        <v>345000</v>
      </c>
      <c r="F109" s="78">
        <v>45882</v>
      </c>
      <c r="G109" s="1" t="s">
        <v>1085</v>
      </c>
      <c r="H109" s="78"/>
      <c r="I109" s="1" t="s">
        <v>1086</v>
      </c>
      <c r="J109" s="1" t="s">
        <v>1087</v>
      </c>
      <c r="K109" s="1">
        <v>1</v>
      </c>
    </row>
    <row r="110" spans="1:11" x14ac:dyDescent="0.25">
      <c r="A110" s="1" t="s">
        <v>1281</v>
      </c>
      <c r="B110" s="1" t="s">
        <v>1282</v>
      </c>
      <c r="C110" s="1" t="s">
        <v>1278</v>
      </c>
      <c r="D110" s="1" t="s">
        <v>1084</v>
      </c>
      <c r="E110" s="1">
        <v>460000</v>
      </c>
      <c r="F110" s="78">
        <v>45882</v>
      </c>
      <c r="G110" s="1" t="s">
        <v>1085</v>
      </c>
      <c r="H110" s="78"/>
      <c r="I110" s="1" t="s">
        <v>1086</v>
      </c>
      <c r="J110" s="1" t="s">
        <v>1087</v>
      </c>
      <c r="K110" s="1">
        <v>1</v>
      </c>
    </row>
    <row r="111" spans="1:11" x14ac:dyDescent="0.25">
      <c r="A111" s="1" t="s">
        <v>1283</v>
      </c>
      <c r="B111" s="1" t="s">
        <v>1284</v>
      </c>
      <c r="C111" s="1" t="s">
        <v>1278</v>
      </c>
      <c r="D111" s="1" t="s">
        <v>1084</v>
      </c>
      <c r="E111" s="1">
        <v>575000</v>
      </c>
      <c r="F111" s="78">
        <v>45882</v>
      </c>
      <c r="G111" s="1" t="s">
        <v>1085</v>
      </c>
      <c r="H111" s="78"/>
      <c r="I111" s="1" t="s">
        <v>1086</v>
      </c>
      <c r="J111" s="1" t="s">
        <v>1087</v>
      </c>
      <c r="K111" s="1">
        <v>1</v>
      </c>
    </row>
    <row r="112" spans="1:11" x14ac:dyDescent="0.25">
      <c r="A112" s="1" t="s">
        <v>1285</v>
      </c>
      <c r="B112" s="1" t="s">
        <v>1286</v>
      </c>
      <c r="C112" s="1" t="s">
        <v>1278</v>
      </c>
      <c r="D112" s="1" t="s">
        <v>1084</v>
      </c>
      <c r="E112" s="1">
        <v>690000</v>
      </c>
      <c r="F112" s="78">
        <v>45882</v>
      </c>
      <c r="G112" s="1" t="s">
        <v>1085</v>
      </c>
      <c r="H112" s="78"/>
      <c r="I112" s="1" t="s">
        <v>1086</v>
      </c>
      <c r="J112" s="1" t="s">
        <v>1087</v>
      </c>
      <c r="K112" s="1">
        <v>1</v>
      </c>
    </row>
    <row r="113" spans="1:11" x14ac:dyDescent="0.25">
      <c r="A113" s="1" t="s">
        <v>1287</v>
      </c>
      <c r="B113" s="1" t="s">
        <v>1288</v>
      </c>
      <c r="C113" s="1" t="s">
        <v>1278</v>
      </c>
      <c r="D113" s="1" t="s">
        <v>1084</v>
      </c>
      <c r="E113" s="1">
        <v>126500</v>
      </c>
      <c r="F113" s="78">
        <v>45882</v>
      </c>
      <c r="G113" s="1" t="s">
        <v>1085</v>
      </c>
      <c r="H113" s="78"/>
      <c r="I113" s="1" t="s">
        <v>1086</v>
      </c>
      <c r="J113" s="1" t="s">
        <v>1087</v>
      </c>
      <c r="K113" s="1">
        <v>1</v>
      </c>
    </row>
    <row r="114" spans="1:11" x14ac:dyDescent="0.25">
      <c r="A114" s="1" t="s">
        <v>1289</v>
      </c>
      <c r="B114" s="1" t="s">
        <v>1290</v>
      </c>
      <c r="C114" s="1" t="s">
        <v>1278</v>
      </c>
      <c r="D114" s="1" t="s">
        <v>1084</v>
      </c>
      <c r="E114" s="1">
        <v>1035000</v>
      </c>
      <c r="F114" s="78">
        <v>45882</v>
      </c>
      <c r="G114" s="1" t="s">
        <v>1085</v>
      </c>
      <c r="H114" s="78"/>
      <c r="I114" s="1" t="s">
        <v>1086</v>
      </c>
      <c r="J114" s="1" t="s">
        <v>1087</v>
      </c>
      <c r="K114" s="1">
        <v>1</v>
      </c>
    </row>
    <row r="115" spans="1:11" x14ac:dyDescent="0.25">
      <c r="A115" s="1" t="s">
        <v>1291</v>
      </c>
      <c r="B115" s="1" t="s">
        <v>1292</v>
      </c>
      <c r="C115" s="1" t="s">
        <v>1278</v>
      </c>
      <c r="D115" s="1" t="s">
        <v>1084</v>
      </c>
      <c r="E115" s="1">
        <v>1265000</v>
      </c>
      <c r="F115" s="78">
        <v>45882</v>
      </c>
      <c r="G115" s="1" t="s">
        <v>1085</v>
      </c>
      <c r="H115" s="78"/>
      <c r="I115" s="1" t="s">
        <v>1086</v>
      </c>
      <c r="J115" s="1" t="s">
        <v>1087</v>
      </c>
      <c r="K115" s="1">
        <v>1</v>
      </c>
    </row>
    <row r="116" spans="1:11" x14ac:dyDescent="0.25">
      <c r="A116" s="1" t="s">
        <v>1293</v>
      </c>
      <c r="B116" s="1" t="s">
        <v>1294</v>
      </c>
      <c r="C116" s="1" t="s">
        <v>1278</v>
      </c>
      <c r="D116" s="1" t="s">
        <v>1084</v>
      </c>
      <c r="E116" s="1">
        <v>1437500</v>
      </c>
      <c r="F116" s="78">
        <v>45882</v>
      </c>
      <c r="G116" s="1" t="s">
        <v>1085</v>
      </c>
      <c r="H116" s="78"/>
      <c r="I116" s="1" t="s">
        <v>1086</v>
      </c>
      <c r="J116" s="1" t="s">
        <v>1087</v>
      </c>
      <c r="K116" s="1">
        <v>1</v>
      </c>
    </row>
    <row r="117" spans="1:11" x14ac:dyDescent="0.25">
      <c r="A117" s="1" t="s">
        <v>1295</v>
      </c>
      <c r="B117" s="1" t="s">
        <v>1296</v>
      </c>
      <c r="C117" s="1" t="s">
        <v>1278</v>
      </c>
      <c r="D117" s="1" t="s">
        <v>1084</v>
      </c>
      <c r="E117" s="1">
        <v>13800000</v>
      </c>
      <c r="F117" s="78">
        <v>45882</v>
      </c>
      <c r="G117" s="1" t="s">
        <v>1085</v>
      </c>
      <c r="H117" s="78"/>
      <c r="I117" s="1" t="s">
        <v>1086</v>
      </c>
      <c r="J117" s="1" t="s">
        <v>1087</v>
      </c>
      <c r="K117" s="1">
        <v>1</v>
      </c>
    </row>
    <row r="118" spans="1:11" x14ac:dyDescent="0.25">
      <c r="A118" s="1" t="s">
        <v>1297</v>
      </c>
      <c r="B118" s="1" t="s">
        <v>1298</v>
      </c>
      <c r="C118" s="1" t="s">
        <v>1278</v>
      </c>
      <c r="D118" s="1" t="s">
        <v>1084</v>
      </c>
      <c r="E118" s="1">
        <v>80500</v>
      </c>
      <c r="F118" s="78">
        <v>45882</v>
      </c>
      <c r="G118" s="1" t="s">
        <v>1085</v>
      </c>
      <c r="H118" s="78"/>
      <c r="I118" s="1" t="s">
        <v>1086</v>
      </c>
      <c r="J118" s="1" t="s">
        <v>1087</v>
      </c>
      <c r="K118" s="1">
        <v>1</v>
      </c>
    </row>
    <row r="119" spans="1:11" x14ac:dyDescent="0.25">
      <c r="A119" s="1" t="s">
        <v>1299</v>
      </c>
      <c r="B119" s="1" t="s">
        <v>1300</v>
      </c>
      <c r="C119" s="1" t="s">
        <v>1278</v>
      </c>
      <c r="D119" s="1" t="s">
        <v>1084</v>
      </c>
      <c r="E119" s="1">
        <v>97750</v>
      </c>
      <c r="F119" s="78">
        <v>45882</v>
      </c>
      <c r="G119" s="1" t="s">
        <v>1085</v>
      </c>
      <c r="H119" s="78"/>
      <c r="I119" s="1" t="s">
        <v>1086</v>
      </c>
      <c r="J119" s="1" t="s">
        <v>1087</v>
      </c>
      <c r="K119" s="1">
        <v>1</v>
      </c>
    </row>
    <row r="120" spans="1:11" x14ac:dyDescent="0.25">
      <c r="A120" s="1" t="s">
        <v>1301</v>
      </c>
      <c r="B120" s="1" t="s">
        <v>1302</v>
      </c>
      <c r="C120" s="1" t="s">
        <v>1278</v>
      </c>
      <c r="D120" s="1" t="s">
        <v>1084</v>
      </c>
      <c r="E120" s="1">
        <v>138000</v>
      </c>
      <c r="F120" s="78">
        <v>45882</v>
      </c>
      <c r="G120" s="1" t="s">
        <v>1085</v>
      </c>
      <c r="H120" s="78"/>
      <c r="I120" s="1" t="s">
        <v>1086</v>
      </c>
      <c r="J120" s="1" t="s">
        <v>1087</v>
      </c>
      <c r="K120" s="1">
        <v>1</v>
      </c>
    </row>
    <row r="121" spans="1:11" x14ac:dyDescent="0.25">
      <c r="A121" s="1" t="s">
        <v>1303</v>
      </c>
      <c r="B121" s="1" t="s">
        <v>1304</v>
      </c>
      <c r="C121" s="1" t="s">
        <v>1305</v>
      </c>
      <c r="D121" s="1" t="s">
        <v>1084</v>
      </c>
      <c r="E121" s="1">
        <v>86250</v>
      </c>
      <c r="F121" s="78">
        <v>45882</v>
      </c>
      <c r="G121" s="1" t="s">
        <v>1085</v>
      </c>
      <c r="H121" s="78"/>
      <c r="I121" s="1" t="s">
        <v>1086</v>
      </c>
      <c r="J121" s="1" t="s">
        <v>1087</v>
      </c>
      <c r="K121" s="1">
        <v>1</v>
      </c>
    </row>
    <row r="122" spans="1:11" x14ac:dyDescent="0.25">
      <c r="A122" s="1" t="s">
        <v>1306</v>
      </c>
      <c r="B122" s="1" t="s">
        <v>1307</v>
      </c>
      <c r="C122" s="1" t="s">
        <v>1305</v>
      </c>
      <c r="D122" s="1" t="s">
        <v>1084</v>
      </c>
      <c r="E122" s="1">
        <v>86250</v>
      </c>
      <c r="F122" s="78">
        <v>45882</v>
      </c>
      <c r="G122" s="1" t="s">
        <v>1085</v>
      </c>
      <c r="H122" s="78"/>
      <c r="I122" s="1" t="s">
        <v>1086</v>
      </c>
      <c r="J122" s="1" t="s">
        <v>1087</v>
      </c>
      <c r="K122" s="1">
        <v>1</v>
      </c>
    </row>
    <row r="123" spans="1:11" x14ac:dyDescent="0.25">
      <c r="A123" s="1" t="s">
        <v>1308</v>
      </c>
      <c r="B123" s="1" t="s">
        <v>1309</v>
      </c>
      <c r="C123" s="1" t="s">
        <v>1305</v>
      </c>
      <c r="D123" s="1" t="s">
        <v>1084</v>
      </c>
      <c r="E123" s="1">
        <v>172500</v>
      </c>
      <c r="F123" s="78">
        <v>45882</v>
      </c>
      <c r="G123" s="1" t="s">
        <v>1085</v>
      </c>
      <c r="H123" s="78"/>
      <c r="I123" s="1" t="s">
        <v>1086</v>
      </c>
      <c r="J123" s="1" t="s">
        <v>1087</v>
      </c>
      <c r="K123" s="1">
        <v>1</v>
      </c>
    </row>
    <row r="124" spans="1:11" x14ac:dyDescent="0.25">
      <c r="A124" s="1" t="s">
        <v>1310</v>
      </c>
      <c r="B124" s="1" t="s">
        <v>1311</v>
      </c>
      <c r="C124" s="1" t="s">
        <v>1305</v>
      </c>
      <c r="D124" s="1" t="s">
        <v>1084</v>
      </c>
      <c r="E124" s="1">
        <v>12650</v>
      </c>
      <c r="F124" s="78">
        <v>45882</v>
      </c>
      <c r="G124" s="1" t="s">
        <v>1085</v>
      </c>
      <c r="H124" s="78"/>
      <c r="I124" s="1" t="s">
        <v>1086</v>
      </c>
      <c r="J124" s="1" t="s">
        <v>1087</v>
      </c>
      <c r="K124" s="1">
        <v>1</v>
      </c>
    </row>
    <row r="125" spans="1:11" x14ac:dyDescent="0.25">
      <c r="A125" s="1" t="s">
        <v>1312</v>
      </c>
      <c r="B125" s="1" t="s">
        <v>1313</v>
      </c>
      <c r="C125" s="1" t="s">
        <v>1305</v>
      </c>
      <c r="D125" s="1" t="s">
        <v>1084</v>
      </c>
      <c r="E125" s="1">
        <v>63250</v>
      </c>
      <c r="F125" s="78">
        <v>45882</v>
      </c>
      <c r="G125" s="1" t="s">
        <v>1085</v>
      </c>
      <c r="H125" s="78"/>
      <c r="I125" s="1" t="s">
        <v>1086</v>
      </c>
      <c r="J125" s="1" t="s">
        <v>1087</v>
      </c>
      <c r="K125" s="1">
        <v>1</v>
      </c>
    </row>
    <row r="126" spans="1:11" x14ac:dyDescent="0.25">
      <c r="A126" s="1" t="s">
        <v>1314</v>
      </c>
      <c r="B126" s="1" t="s">
        <v>1315</v>
      </c>
      <c r="C126" s="1" t="s">
        <v>1305</v>
      </c>
      <c r="D126" s="1" t="s">
        <v>1084</v>
      </c>
      <c r="E126" s="1">
        <v>74750</v>
      </c>
      <c r="F126" s="78">
        <v>45882</v>
      </c>
      <c r="G126" s="1" t="s">
        <v>1085</v>
      </c>
      <c r="H126" s="78"/>
      <c r="I126" s="1" t="s">
        <v>1086</v>
      </c>
      <c r="J126" s="1" t="s">
        <v>1087</v>
      </c>
      <c r="K126" s="1">
        <v>1</v>
      </c>
    </row>
    <row r="127" spans="1:11" x14ac:dyDescent="0.25">
      <c r="A127" s="1" t="s">
        <v>1316</v>
      </c>
      <c r="B127" s="1" t="s">
        <v>1317</v>
      </c>
      <c r="C127" s="1" t="s">
        <v>1305</v>
      </c>
      <c r="D127" s="1" t="s">
        <v>1084</v>
      </c>
      <c r="E127" s="1">
        <v>1035000</v>
      </c>
      <c r="F127" s="78">
        <v>45882</v>
      </c>
      <c r="G127" s="1" t="s">
        <v>1085</v>
      </c>
      <c r="H127" s="78"/>
      <c r="I127" s="1" t="s">
        <v>1086</v>
      </c>
      <c r="J127" s="1" t="s">
        <v>1087</v>
      </c>
      <c r="K127" s="1">
        <v>1</v>
      </c>
    </row>
    <row r="128" spans="1:11" x14ac:dyDescent="0.25">
      <c r="A128" s="1" t="s">
        <v>1318</v>
      </c>
      <c r="B128" s="1" t="s">
        <v>1319</v>
      </c>
      <c r="C128" s="1" t="s">
        <v>1305</v>
      </c>
      <c r="D128" s="1" t="s">
        <v>1084</v>
      </c>
      <c r="E128" s="1">
        <v>575000</v>
      </c>
      <c r="F128" s="78">
        <v>45882</v>
      </c>
      <c r="G128" s="1" t="s">
        <v>1085</v>
      </c>
      <c r="H128" s="78"/>
      <c r="I128" s="1" t="s">
        <v>1086</v>
      </c>
      <c r="J128" s="1" t="s">
        <v>1087</v>
      </c>
      <c r="K128" s="1">
        <v>1</v>
      </c>
    </row>
    <row r="129" spans="1:11" x14ac:dyDescent="0.25">
      <c r="A129" s="1" t="s">
        <v>1320</v>
      </c>
      <c r="B129" s="1" t="s">
        <v>1321</v>
      </c>
      <c r="C129" s="1" t="s">
        <v>1305</v>
      </c>
      <c r="D129" s="1" t="s">
        <v>1084</v>
      </c>
      <c r="E129" s="1">
        <v>74750</v>
      </c>
      <c r="F129" s="78">
        <v>45882</v>
      </c>
      <c r="G129" s="1" t="s">
        <v>1085</v>
      </c>
      <c r="H129" s="78"/>
      <c r="I129" s="1" t="s">
        <v>1086</v>
      </c>
      <c r="J129" s="1" t="s">
        <v>1087</v>
      </c>
      <c r="K129" s="1">
        <v>1</v>
      </c>
    </row>
    <row r="130" spans="1:11" x14ac:dyDescent="0.25">
      <c r="A130" s="1" t="s">
        <v>1322</v>
      </c>
      <c r="B130" s="1" t="s">
        <v>1323</v>
      </c>
      <c r="C130" s="1" t="s">
        <v>1305</v>
      </c>
      <c r="D130" s="1" t="s">
        <v>1084</v>
      </c>
      <c r="E130" s="1">
        <v>71300</v>
      </c>
      <c r="F130" s="78">
        <v>45882</v>
      </c>
      <c r="G130" s="1" t="s">
        <v>1085</v>
      </c>
      <c r="H130" s="78"/>
      <c r="I130" s="1" t="s">
        <v>1086</v>
      </c>
      <c r="J130" s="1" t="s">
        <v>1087</v>
      </c>
      <c r="K130" s="1">
        <v>1</v>
      </c>
    </row>
    <row r="131" spans="1:11" x14ac:dyDescent="0.25">
      <c r="A131" s="1" t="s">
        <v>1324</v>
      </c>
      <c r="B131" s="1" t="s">
        <v>1325</v>
      </c>
      <c r="C131" s="1" t="s">
        <v>1305</v>
      </c>
      <c r="D131" s="1" t="s">
        <v>1084</v>
      </c>
      <c r="E131" s="1">
        <v>120750</v>
      </c>
      <c r="F131" s="78">
        <v>45882</v>
      </c>
      <c r="G131" s="1" t="s">
        <v>1085</v>
      </c>
      <c r="H131" s="78"/>
      <c r="I131" s="1" t="s">
        <v>1086</v>
      </c>
      <c r="J131" s="1" t="s">
        <v>1087</v>
      </c>
      <c r="K131" s="1">
        <v>1</v>
      </c>
    </row>
    <row r="132" spans="1:11" x14ac:dyDescent="0.25">
      <c r="A132" s="1" t="s">
        <v>1326</v>
      </c>
      <c r="B132" s="1" t="s">
        <v>1327</v>
      </c>
      <c r="C132" s="1" t="s">
        <v>1305</v>
      </c>
      <c r="D132" s="1" t="s">
        <v>1084</v>
      </c>
      <c r="E132" s="1">
        <v>141450</v>
      </c>
      <c r="F132" s="78">
        <v>45882</v>
      </c>
      <c r="G132" s="1" t="s">
        <v>1085</v>
      </c>
      <c r="H132" s="78"/>
      <c r="I132" s="1" t="s">
        <v>1086</v>
      </c>
      <c r="J132" s="1" t="s">
        <v>1087</v>
      </c>
      <c r="K132" s="1">
        <v>1</v>
      </c>
    </row>
    <row r="133" spans="1:11" x14ac:dyDescent="0.25">
      <c r="A133" s="1" t="s">
        <v>1328</v>
      </c>
      <c r="B133" s="1" t="s">
        <v>1329</v>
      </c>
      <c r="C133" s="1" t="s">
        <v>1305</v>
      </c>
      <c r="D133" s="1" t="s">
        <v>1084</v>
      </c>
      <c r="E133" s="1">
        <v>11500</v>
      </c>
      <c r="F133" s="78">
        <v>45882</v>
      </c>
      <c r="G133" s="1" t="s">
        <v>1085</v>
      </c>
      <c r="H133" s="78"/>
      <c r="I133" s="1" t="s">
        <v>1086</v>
      </c>
      <c r="J133" s="1" t="s">
        <v>1087</v>
      </c>
      <c r="K133" s="1">
        <v>1</v>
      </c>
    </row>
    <row r="134" spans="1:11" x14ac:dyDescent="0.25">
      <c r="A134" s="1" t="s">
        <v>1330</v>
      </c>
      <c r="B134" s="1" t="s">
        <v>1331</v>
      </c>
      <c r="C134" s="1" t="s">
        <v>1305</v>
      </c>
      <c r="D134" s="1" t="s">
        <v>1084</v>
      </c>
      <c r="E134" s="1">
        <v>747500</v>
      </c>
      <c r="F134" s="78">
        <v>45882</v>
      </c>
      <c r="G134" s="1" t="s">
        <v>1085</v>
      </c>
      <c r="H134" s="78"/>
      <c r="I134" s="1" t="s">
        <v>1086</v>
      </c>
      <c r="J134" s="1" t="s">
        <v>1087</v>
      </c>
      <c r="K134" s="1">
        <v>1</v>
      </c>
    </row>
    <row r="135" spans="1:11" x14ac:dyDescent="0.25">
      <c r="A135" s="1" t="s">
        <v>1332</v>
      </c>
      <c r="B135" s="1" t="s">
        <v>1333</v>
      </c>
      <c r="C135" s="1" t="s">
        <v>1305</v>
      </c>
      <c r="D135" s="1" t="s">
        <v>1084</v>
      </c>
      <c r="E135" s="1">
        <v>805000</v>
      </c>
      <c r="F135" s="78">
        <v>45882</v>
      </c>
      <c r="G135" s="1" t="s">
        <v>1085</v>
      </c>
      <c r="H135" s="78"/>
      <c r="I135" s="1" t="s">
        <v>1086</v>
      </c>
      <c r="J135" s="1" t="s">
        <v>1087</v>
      </c>
      <c r="K135" s="1">
        <v>1</v>
      </c>
    </row>
    <row r="136" spans="1:11" x14ac:dyDescent="0.25">
      <c r="A136" s="1" t="s">
        <v>1334</v>
      </c>
      <c r="B136" s="1" t="s">
        <v>1335</v>
      </c>
      <c r="C136" s="1" t="s">
        <v>1305</v>
      </c>
      <c r="D136" s="1" t="s">
        <v>1084</v>
      </c>
      <c r="E136" s="1">
        <v>575000</v>
      </c>
      <c r="F136" s="78">
        <v>45882</v>
      </c>
      <c r="G136" s="1" t="s">
        <v>1085</v>
      </c>
      <c r="H136" s="78"/>
      <c r="I136" s="1" t="s">
        <v>1086</v>
      </c>
      <c r="J136" s="1" t="s">
        <v>1087</v>
      </c>
      <c r="K136" s="1">
        <v>1</v>
      </c>
    </row>
    <row r="137" spans="1:11" x14ac:dyDescent="0.25">
      <c r="A137" s="1" t="s">
        <v>1336</v>
      </c>
      <c r="B137" s="1" t="s">
        <v>1337</v>
      </c>
      <c r="C137" s="1" t="s">
        <v>1305</v>
      </c>
      <c r="D137" s="1" t="s">
        <v>1084</v>
      </c>
      <c r="E137" s="1">
        <v>272320</v>
      </c>
      <c r="F137" s="78">
        <v>45882</v>
      </c>
      <c r="G137" s="1" t="s">
        <v>1085</v>
      </c>
      <c r="H137" s="78"/>
      <c r="I137" s="1" t="s">
        <v>1086</v>
      </c>
      <c r="J137" s="1" t="s">
        <v>1087</v>
      </c>
      <c r="K137" s="1">
        <v>1</v>
      </c>
    </row>
    <row r="138" spans="1:11" x14ac:dyDescent="0.25">
      <c r="A138" s="1" t="s">
        <v>1338</v>
      </c>
      <c r="B138" s="1" t="s">
        <v>1339</v>
      </c>
      <c r="C138" s="1" t="s">
        <v>1305</v>
      </c>
      <c r="D138" s="1" t="s">
        <v>1084</v>
      </c>
      <c r="E138" s="1">
        <v>224250</v>
      </c>
      <c r="F138" s="78">
        <v>45882</v>
      </c>
      <c r="G138" s="1" t="s">
        <v>1085</v>
      </c>
      <c r="H138" s="78"/>
      <c r="I138" s="1" t="s">
        <v>1086</v>
      </c>
      <c r="J138" s="1" t="s">
        <v>1087</v>
      </c>
      <c r="K138" s="1">
        <v>1</v>
      </c>
    </row>
    <row r="139" spans="1:11" x14ac:dyDescent="0.25">
      <c r="A139" s="1" t="s">
        <v>1340</v>
      </c>
      <c r="B139" s="1" t="s">
        <v>1341</v>
      </c>
      <c r="C139" s="1" t="s">
        <v>1305</v>
      </c>
      <c r="D139" s="1" t="s">
        <v>1084</v>
      </c>
      <c r="E139" s="1">
        <v>1092500</v>
      </c>
      <c r="F139" s="78">
        <v>45882</v>
      </c>
      <c r="G139" s="1" t="s">
        <v>1085</v>
      </c>
      <c r="H139" s="78"/>
      <c r="I139" s="1" t="s">
        <v>1086</v>
      </c>
      <c r="J139" s="1" t="s">
        <v>1087</v>
      </c>
      <c r="K139" s="1">
        <v>1</v>
      </c>
    </row>
    <row r="140" spans="1:11" x14ac:dyDescent="0.25">
      <c r="A140" s="1" t="s">
        <v>1342</v>
      </c>
      <c r="B140" s="1" t="s">
        <v>1343</v>
      </c>
      <c r="C140" s="1" t="s">
        <v>1305</v>
      </c>
      <c r="D140" s="1" t="s">
        <v>1084</v>
      </c>
      <c r="E140" s="1">
        <v>184000</v>
      </c>
      <c r="F140" s="78">
        <v>45882</v>
      </c>
      <c r="G140" s="1" t="s">
        <v>1085</v>
      </c>
      <c r="H140" s="78"/>
      <c r="I140" s="1" t="s">
        <v>1086</v>
      </c>
      <c r="J140" s="1" t="s">
        <v>1087</v>
      </c>
      <c r="K140" s="1">
        <v>1</v>
      </c>
    </row>
    <row r="141" spans="1:11" x14ac:dyDescent="0.25">
      <c r="A141" s="1" t="s">
        <v>1344</v>
      </c>
      <c r="B141" s="1" t="s">
        <v>1345</v>
      </c>
      <c r="C141" s="1" t="s">
        <v>1305</v>
      </c>
      <c r="D141" s="1" t="s">
        <v>1084</v>
      </c>
      <c r="E141" s="1">
        <v>575000</v>
      </c>
      <c r="F141" s="78">
        <v>45882</v>
      </c>
      <c r="G141" s="1" t="s">
        <v>1085</v>
      </c>
      <c r="H141" s="78"/>
      <c r="I141" s="1" t="s">
        <v>1086</v>
      </c>
      <c r="J141" s="1" t="s">
        <v>1087</v>
      </c>
      <c r="K141" s="1">
        <v>1</v>
      </c>
    </row>
    <row r="142" spans="1:11" x14ac:dyDescent="0.25">
      <c r="A142" s="1" t="s">
        <v>1346</v>
      </c>
      <c r="B142" s="1" t="s">
        <v>1347</v>
      </c>
      <c r="C142" s="1" t="s">
        <v>1305</v>
      </c>
      <c r="D142" s="1" t="s">
        <v>1084</v>
      </c>
      <c r="E142" s="1">
        <v>230000</v>
      </c>
      <c r="F142" s="78">
        <v>45882</v>
      </c>
      <c r="G142" s="1" t="s">
        <v>1085</v>
      </c>
      <c r="H142" s="78"/>
      <c r="I142" s="1" t="s">
        <v>1086</v>
      </c>
      <c r="J142" s="1" t="s">
        <v>1087</v>
      </c>
      <c r="K142" s="1">
        <v>1</v>
      </c>
    </row>
    <row r="143" spans="1:11" x14ac:dyDescent="0.25">
      <c r="A143" s="1" t="s">
        <v>1348</v>
      </c>
      <c r="B143" s="1" t="s">
        <v>1349</v>
      </c>
      <c r="C143" s="1" t="s">
        <v>1350</v>
      </c>
      <c r="D143" s="1" t="s">
        <v>1084</v>
      </c>
      <c r="E143" s="1">
        <v>264500</v>
      </c>
      <c r="F143" s="78">
        <v>45882</v>
      </c>
      <c r="G143" s="1" t="s">
        <v>1085</v>
      </c>
      <c r="H143" s="78"/>
      <c r="I143" s="1" t="s">
        <v>1086</v>
      </c>
      <c r="J143" s="1" t="s">
        <v>1087</v>
      </c>
      <c r="K143" s="1">
        <v>1</v>
      </c>
    </row>
    <row r="144" spans="1:11" x14ac:dyDescent="0.25">
      <c r="A144" s="1" t="s">
        <v>1351</v>
      </c>
      <c r="B144" s="1" t="s">
        <v>1352</v>
      </c>
      <c r="C144" s="1" t="s">
        <v>1350</v>
      </c>
      <c r="D144" s="1" t="s">
        <v>1084</v>
      </c>
      <c r="E144" s="1">
        <v>517500</v>
      </c>
      <c r="F144" s="78">
        <v>45882</v>
      </c>
      <c r="G144" s="1" t="s">
        <v>1085</v>
      </c>
      <c r="H144" s="78"/>
      <c r="I144" s="1" t="s">
        <v>1086</v>
      </c>
      <c r="J144" s="1" t="s">
        <v>1087</v>
      </c>
      <c r="K144" s="1">
        <v>1</v>
      </c>
    </row>
    <row r="145" spans="1:11" x14ac:dyDescent="0.25">
      <c r="A145" s="1" t="s">
        <v>1353</v>
      </c>
      <c r="B145" s="1" t="s">
        <v>1354</v>
      </c>
      <c r="C145" s="1" t="s">
        <v>1350</v>
      </c>
      <c r="D145" s="1" t="s">
        <v>1084</v>
      </c>
      <c r="E145" s="1">
        <v>126500</v>
      </c>
      <c r="F145" s="78">
        <v>45882</v>
      </c>
      <c r="G145" s="1" t="s">
        <v>1085</v>
      </c>
      <c r="H145" s="78"/>
      <c r="I145" s="1" t="s">
        <v>1086</v>
      </c>
      <c r="J145" s="1" t="s">
        <v>1087</v>
      </c>
      <c r="K145" s="1">
        <v>1</v>
      </c>
    </row>
    <row r="146" spans="1:11" x14ac:dyDescent="0.25">
      <c r="A146" s="1" t="s">
        <v>1355</v>
      </c>
      <c r="B146" s="1" t="s">
        <v>1356</v>
      </c>
      <c r="C146" s="1" t="s">
        <v>1350</v>
      </c>
      <c r="D146" s="1" t="s">
        <v>1084</v>
      </c>
      <c r="E146" s="1">
        <v>109250</v>
      </c>
      <c r="F146" s="78">
        <v>45882</v>
      </c>
      <c r="G146" s="1" t="s">
        <v>1085</v>
      </c>
      <c r="H146" s="78"/>
      <c r="I146" s="1" t="s">
        <v>1086</v>
      </c>
      <c r="J146" s="1" t="s">
        <v>1087</v>
      </c>
      <c r="K146" s="1">
        <v>1</v>
      </c>
    </row>
    <row r="147" spans="1:11" x14ac:dyDescent="0.25">
      <c r="A147" s="1" t="s">
        <v>1357</v>
      </c>
      <c r="B147" s="1" t="s">
        <v>1358</v>
      </c>
      <c r="C147" s="1" t="s">
        <v>1350</v>
      </c>
      <c r="D147" s="1" t="s">
        <v>1084</v>
      </c>
      <c r="E147" s="1">
        <v>201250</v>
      </c>
      <c r="F147" s="78">
        <v>45882</v>
      </c>
      <c r="G147" s="1" t="s">
        <v>1085</v>
      </c>
      <c r="H147" s="78"/>
      <c r="I147" s="1" t="s">
        <v>1086</v>
      </c>
      <c r="J147" s="1" t="s">
        <v>1087</v>
      </c>
      <c r="K147" s="1">
        <v>1</v>
      </c>
    </row>
    <row r="148" spans="1:11" x14ac:dyDescent="0.25">
      <c r="A148" s="1" t="s">
        <v>1359</v>
      </c>
      <c r="B148" s="1" t="s">
        <v>1360</v>
      </c>
      <c r="C148" s="1" t="s">
        <v>1350</v>
      </c>
      <c r="D148" s="1" t="s">
        <v>1084</v>
      </c>
      <c r="E148" s="1">
        <v>247250</v>
      </c>
      <c r="F148" s="78">
        <v>45882</v>
      </c>
      <c r="G148" s="1" t="s">
        <v>1085</v>
      </c>
      <c r="H148" s="78"/>
      <c r="I148" s="1" t="s">
        <v>1086</v>
      </c>
      <c r="J148" s="1" t="s">
        <v>1087</v>
      </c>
      <c r="K148" s="1">
        <v>1</v>
      </c>
    </row>
    <row r="149" spans="1:11" x14ac:dyDescent="0.25">
      <c r="A149" s="1" t="s">
        <v>1361</v>
      </c>
      <c r="B149" s="1" t="s">
        <v>1362</v>
      </c>
      <c r="C149" s="1" t="s">
        <v>1350</v>
      </c>
      <c r="D149" s="1" t="s">
        <v>1084</v>
      </c>
      <c r="E149" s="1">
        <v>316250</v>
      </c>
      <c r="F149" s="78">
        <v>45882</v>
      </c>
      <c r="G149" s="1" t="s">
        <v>1085</v>
      </c>
      <c r="H149" s="78"/>
      <c r="I149" s="1" t="s">
        <v>1086</v>
      </c>
      <c r="J149" s="1" t="s">
        <v>1087</v>
      </c>
      <c r="K149" s="1">
        <v>1</v>
      </c>
    </row>
    <row r="150" spans="1:11" x14ac:dyDescent="0.25">
      <c r="A150" s="1" t="s">
        <v>1363</v>
      </c>
      <c r="B150" s="1" t="s">
        <v>1364</v>
      </c>
      <c r="C150" s="1" t="s">
        <v>1350</v>
      </c>
      <c r="D150" s="1" t="s">
        <v>1177</v>
      </c>
      <c r="E150" s="1">
        <v>4255</v>
      </c>
      <c r="F150" s="78">
        <v>45882</v>
      </c>
      <c r="G150" s="1" t="s">
        <v>1085</v>
      </c>
      <c r="H150" s="78"/>
      <c r="I150" s="1" t="s">
        <v>1086</v>
      </c>
      <c r="J150" s="1" t="s">
        <v>1087</v>
      </c>
      <c r="K150" s="1">
        <v>1</v>
      </c>
    </row>
    <row r="151" spans="1:11" x14ac:dyDescent="0.25">
      <c r="A151" s="1" t="s">
        <v>1365</v>
      </c>
      <c r="B151" s="1" t="s">
        <v>1366</v>
      </c>
      <c r="C151" s="1" t="s">
        <v>1350</v>
      </c>
      <c r="D151" s="1" t="s">
        <v>1177</v>
      </c>
      <c r="E151" s="1">
        <v>5635</v>
      </c>
      <c r="F151" s="78">
        <v>45882</v>
      </c>
      <c r="G151" s="1" t="s">
        <v>1085</v>
      </c>
      <c r="H151" s="78"/>
      <c r="I151" s="1" t="s">
        <v>1086</v>
      </c>
      <c r="J151" s="1" t="s">
        <v>1087</v>
      </c>
      <c r="K151" s="1">
        <v>1</v>
      </c>
    </row>
    <row r="152" spans="1:11" x14ac:dyDescent="0.25">
      <c r="A152" s="1" t="s">
        <v>1367</v>
      </c>
      <c r="B152" s="1" t="s">
        <v>1368</v>
      </c>
      <c r="C152" s="1" t="s">
        <v>1350</v>
      </c>
      <c r="D152" s="1" t="s">
        <v>1177</v>
      </c>
      <c r="E152" s="1">
        <v>5980</v>
      </c>
      <c r="F152" s="78">
        <v>45882</v>
      </c>
      <c r="G152" s="1" t="s">
        <v>1085</v>
      </c>
      <c r="H152" s="78"/>
      <c r="I152" s="1" t="s">
        <v>1086</v>
      </c>
      <c r="J152" s="1" t="s">
        <v>1087</v>
      </c>
      <c r="K152" s="1">
        <v>1</v>
      </c>
    </row>
    <row r="153" spans="1:11" x14ac:dyDescent="0.25">
      <c r="A153" s="1" t="s">
        <v>1369</v>
      </c>
      <c r="B153" s="1" t="s">
        <v>1370</v>
      </c>
      <c r="C153" s="1" t="s">
        <v>1350</v>
      </c>
      <c r="D153" s="1" t="s">
        <v>1177</v>
      </c>
      <c r="E153" s="1">
        <v>8050</v>
      </c>
      <c r="F153" s="78">
        <v>45882</v>
      </c>
      <c r="G153" s="1" t="s">
        <v>1085</v>
      </c>
      <c r="H153" s="78"/>
      <c r="I153" s="1" t="s">
        <v>1086</v>
      </c>
      <c r="J153" s="1" t="s">
        <v>1087</v>
      </c>
      <c r="K153" s="1">
        <v>1</v>
      </c>
    </row>
    <row r="154" spans="1:11" x14ac:dyDescent="0.25">
      <c r="A154" s="1" t="s">
        <v>1371</v>
      </c>
      <c r="B154" s="1" t="s">
        <v>1372</v>
      </c>
      <c r="C154" s="1" t="s">
        <v>1350</v>
      </c>
      <c r="D154" s="1" t="s">
        <v>1177</v>
      </c>
      <c r="E154" s="1">
        <v>9545</v>
      </c>
      <c r="F154" s="78">
        <v>45882</v>
      </c>
      <c r="G154" s="1" t="s">
        <v>1085</v>
      </c>
      <c r="H154" s="78"/>
      <c r="I154" s="1" t="s">
        <v>1086</v>
      </c>
      <c r="J154" s="1" t="s">
        <v>1087</v>
      </c>
      <c r="K154" s="1">
        <v>1</v>
      </c>
    </row>
    <row r="155" spans="1:11" x14ac:dyDescent="0.25">
      <c r="A155" s="1" t="s">
        <v>1373</v>
      </c>
      <c r="B155" s="1" t="s">
        <v>1374</v>
      </c>
      <c r="C155" s="1" t="s">
        <v>1350</v>
      </c>
      <c r="D155" s="1" t="s">
        <v>1177</v>
      </c>
      <c r="E155" s="1">
        <v>11224</v>
      </c>
      <c r="F155" s="78">
        <v>45882</v>
      </c>
      <c r="G155" s="1" t="s">
        <v>1085</v>
      </c>
      <c r="H155" s="78"/>
      <c r="I155" s="1" t="s">
        <v>1086</v>
      </c>
      <c r="J155" s="1" t="s">
        <v>1087</v>
      </c>
      <c r="K155" s="1">
        <v>1</v>
      </c>
    </row>
    <row r="156" spans="1:11" x14ac:dyDescent="0.25">
      <c r="A156" s="1" t="s">
        <v>1375</v>
      </c>
      <c r="B156" s="1" t="s">
        <v>1376</v>
      </c>
      <c r="C156" s="1" t="s">
        <v>1350</v>
      </c>
      <c r="D156" s="1" t="s">
        <v>1177</v>
      </c>
      <c r="E156" s="1">
        <v>13915</v>
      </c>
      <c r="F156" s="78">
        <v>45882</v>
      </c>
      <c r="G156" s="1" t="s">
        <v>1085</v>
      </c>
      <c r="H156" s="78"/>
      <c r="I156" s="1" t="s">
        <v>1086</v>
      </c>
      <c r="J156" s="1" t="s">
        <v>1087</v>
      </c>
      <c r="K156" s="1">
        <v>1</v>
      </c>
    </row>
    <row r="157" spans="1:11" x14ac:dyDescent="0.25">
      <c r="A157" s="1" t="s">
        <v>1377</v>
      </c>
      <c r="B157" s="1" t="s">
        <v>1378</v>
      </c>
      <c r="C157" s="1" t="s">
        <v>1350</v>
      </c>
      <c r="D157" s="1" t="s">
        <v>1177</v>
      </c>
      <c r="E157" s="1">
        <v>21327</v>
      </c>
      <c r="F157" s="78">
        <v>45882</v>
      </c>
      <c r="G157" s="1" t="s">
        <v>1085</v>
      </c>
      <c r="H157" s="78"/>
      <c r="I157" s="1" t="s">
        <v>1086</v>
      </c>
      <c r="J157" s="1" t="s">
        <v>1087</v>
      </c>
      <c r="K157" s="1">
        <v>1</v>
      </c>
    </row>
    <row r="158" spans="1:11" x14ac:dyDescent="0.25">
      <c r="A158" s="1" t="s">
        <v>1379</v>
      </c>
      <c r="B158" s="1" t="s">
        <v>1380</v>
      </c>
      <c r="C158" s="1" t="s">
        <v>1350</v>
      </c>
      <c r="D158" s="1" t="s">
        <v>1177</v>
      </c>
      <c r="E158" s="1">
        <v>23575</v>
      </c>
      <c r="F158" s="78">
        <v>45882</v>
      </c>
      <c r="G158" s="1" t="s">
        <v>1085</v>
      </c>
      <c r="H158" s="78"/>
      <c r="I158" s="1" t="s">
        <v>1086</v>
      </c>
      <c r="J158" s="1" t="s">
        <v>1087</v>
      </c>
      <c r="K158" s="1">
        <v>1</v>
      </c>
    </row>
    <row r="159" spans="1:11" x14ac:dyDescent="0.25">
      <c r="A159" s="1" t="s">
        <v>1381</v>
      </c>
      <c r="B159" s="1" t="s">
        <v>1382</v>
      </c>
      <c r="C159" s="1" t="s">
        <v>1350</v>
      </c>
      <c r="D159" s="1" t="s">
        <v>1177</v>
      </c>
      <c r="E159" s="1">
        <v>5980</v>
      </c>
      <c r="F159" s="78">
        <v>45882</v>
      </c>
      <c r="G159" s="1" t="s">
        <v>1085</v>
      </c>
      <c r="H159" s="78"/>
      <c r="I159" s="1" t="s">
        <v>1086</v>
      </c>
      <c r="J159" s="1" t="s">
        <v>1087</v>
      </c>
      <c r="K159" s="1">
        <v>1</v>
      </c>
    </row>
    <row r="160" spans="1:11" x14ac:dyDescent="0.25">
      <c r="A160" s="1" t="s">
        <v>1383</v>
      </c>
      <c r="B160" s="1" t="s">
        <v>1384</v>
      </c>
      <c r="C160" s="1" t="s">
        <v>1350</v>
      </c>
      <c r="D160" s="1" t="s">
        <v>1177</v>
      </c>
      <c r="E160" s="1">
        <v>5405</v>
      </c>
      <c r="F160" s="78">
        <v>45882</v>
      </c>
      <c r="G160" s="1" t="s">
        <v>1085</v>
      </c>
      <c r="H160" s="78"/>
      <c r="I160" s="1" t="s">
        <v>1086</v>
      </c>
      <c r="J160" s="1" t="s">
        <v>1087</v>
      </c>
      <c r="K160" s="1">
        <v>1</v>
      </c>
    </row>
    <row r="161" spans="1:11" x14ac:dyDescent="0.25">
      <c r="A161" s="1" t="s">
        <v>1385</v>
      </c>
      <c r="B161" s="1" t="s">
        <v>1386</v>
      </c>
      <c r="C161" s="1" t="s">
        <v>1350</v>
      </c>
      <c r="D161" s="1" t="s">
        <v>1177</v>
      </c>
      <c r="E161" s="1">
        <v>4830</v>
      </c>
      <c r="F161" s="78">
        <v>45882</v>
      </c>
      <c r="G161" s="1" t="s">
        <v>1085</v>
      </c>
      <c r="H161" s="78"/>
      <c r="I161" s="1" t="s">
        <v>1086</v>
      </c>
      <c r="J161" s="1" t="s">
        <v>1087</v>
      </c>
      <c r="K161" s="1">
        <v>1</v>
      </c>
    </row>
    <row r="162" spans="1:11" x14ac:dyDescent="0.25">
      <c r="A162" s="1" t="s">
        <v>1387</v>
      </c>
      <c r="B162" s="1" t="s">
        <v>1388</v>
      </c>
      <c r="C162" s="1" t="s">
        <v>1350</v>
      </c>
      <c r="D162" s="1" t="s">
        <v>1177</v>
      </c>
      <c r="E162" s="1">
        <v>4255</v>
      </c>
      <c r="F162" s="78">
        <v>45882</v>
      </c>
      <c r="G162" s="1" t="s">
        <v>1085</v>
      </c>
      <c r="H162" s="78"/>
      <c r="I162" s="1" t="s">
        <v>1086</v>
      </c>
      <c r="J162" s="1" t="s">
        <v>1087</v>
      </c>
      <c r="K162" s="1">
        <v>1</v>
      </c>
    </row>
    <row r="163" spans="1:11" x14ac:dyDescent="0.25">
      <c r="A163" s="1" t="s">
        <v>1389</v>
      </c>
      <c r="B163" s="1" t="s">
        <v>1390</v>
      </c>
      <c r="C163" s="1" t="s">
        <v>1350</v>
      </c>
      <c r="D163" s="1" t="s">
        <v>1177</v>
      </c>
      <c r="E163" s="1">
        <v>3450</v>
      </c>
      <c r="F163" s="78">
        <v>45882</v>
      </c>
      <c r="G163" s="1" t="s">
        <v>1085</v>
      </c>
      <c r="H163" s="78"/>
      <c r="I163" s="1" t="s">
        <v>1086</v>
      </c>
      <c r="J163" s="1" t="s">
        <v>1087</v>
      </c>
      <c r="K163" s="1">
        <v>1</v>
      </c>
    </row>
    <row r="164" spans="1:11" x14ac:dyDescent="0.25">
      <c r="A164" s="1" t="s">
        <v>1391</v>
      </c>
      <c r="B164" s="1" t="s">
        <v>1392</v>
      </c>
      <c r="C164" s="1" t="s">
        <v>1350</v>
      </c>
      <c r="D164" s="1" t="s">
        <v>1177</v>
      </c>
      <c r="E164" s="1">
        <v>4255</v>
      </c>
      <c r="F164" s="78">
        <v>45882</v>
      </c>
      <c r="G164" s="1" t="s">
        <v>1085</v>
      </c>
      <c r="H164" s="78"/>
      <c r="I164" s="1" t="s">
        <v>1086</v>
      </c>
      <c r="J164" s="1" t="s">
        <v>1087</v>
      </c>
      <c r="K164" s="1">
        <v>1</v>
      </c>
    </row>
    <row r="165" spans="1:11" x14ac:dyDescent="0.25">
      <c r="A165" s="1" t="s">
        <v>1393</v>
      </c>
      <c r="B165" s="1" t="s">
        <v>1394</v>
      </c>
      <c r="C165" s="1" t="s">
        <v>1350</v>
      </c>
      <c r="D165" s="1" t="s">
        <v>1177</v>
      </c>
      <c r="E165" s="1">
        <v>4830</v>
      </c>
      <c r="F165" s="78">
        <v>45882</v>
      </c>
      <c r="G165" s="1" t="s">
        <v>1085</v>
      </c>
      <c r="H165" s="78"/>
      <c r="I165" s="1" t="s">
        <v>1086</v>
      </c>
      <c r="J165" s="1" t="s">
        <v>1087</v>
      </c>
      <c r="K165" s="1">
        <v>1</v>
      </c>
    </row>
    <row r="166" spans="1:11" x14ac:dyDescent="0.25">
      <c r="A166" s="1" t="s">
        <v>1395</v>
      </c>
      <c r="B166" s="1" t="s">
        <v>1396</v>
      </c>
      <c r="C166" s="1" t="s">
        <v>1350</v>
      </c>
      <c r="D166" s="1" t="s">
        <v>1177</v>
      </c>
      <c r="E166" s="1">
        <v>7475</v>
      </c>
      <c r="F166" s="78">
        <v>45882</v>
      </c>
      <c r="G166" s="1" t="s">
        <v>1085</v>
      </c>
      <c r="H166" s="78"/>
      <c r="I166" s="1" t="s">
        <v>1086</v>
      </c>
      <c r="J166" s="1" t="s">
        <v>1087</v>
      </c>
      <c r="K166" s="1">
        <v>1</v>
      </c>
    </row>
    <row r="167" spans="1:11" x14ac:dyDescent="0.25">
      <c r="A167" s="1" t="s">
        <v>1397</v>
      </c>
      <c r="B167" s="1" t="s">
        <v>1398</v>
      </c>
      <c r="C167" s="1" t="s">
        <v>1350</v>
      </c>
      <c r="D167" s="1" t="s">
        <v>1084</v>
      </c>
      <c r="E167" s="1">
        <v>550600</v>
      </c>
      <c r="F167" s="78">
        <v>45882</v>
      </c>
      <c r="G167" s="1" t="s">
        <v>1085</v>
      </c>
      <c r="H167" s="78"/>
      <c r="I167" s="1" t="s">
        <v>1086</v>
      </c>
      <c r="J167" s="1" t="s">
        <v>1087</v>
      </c>
      <c r="K167" s="1">
        <v>1</v>
      </c>
    </row>
    <row r="168" spans="1:11" x14ac:dyDescent="0.25">
      <c r="A168" s="1" t="s">
        <v>1399</v>
      </c>
      <c r="B168" s="1" t="s">
        <v>1400</v>
      </c>
      <c r="C168" s="1" t="s">
        <v>1350</v>
      </c>
      <c r="D168" s="1" t="s">
        <v>1084</v>
      </c>
      <c r="E168" s="1">
        <v>1725000</v>
      </c>
      <c r="F168" s="78">
        <v>45882</v>
      </c>
      <c r="G168" s="1" t="s">
        <v>1085</v>
      </c>
      <c r="H168" s="78"/>
      <c r="I168" s="1" t="s">
        <v>1086</v>
      </c>
      <c r="J168" s="1" t="s">
        <v>1087</v>
      </c>
      <c r="K168" s="1">
        <v>1</v>
      </c>
    </row>
    <row r="169" spans="1:11" x14ac:dyDescent="0.25">
      <c r="A169" s="1" t="s">
        <v>1401</v>
      </c>
      <c r="B169" s="1" t="s">
        <v>1402</v>
      </c>
      <c r="C169" s="1" t="s">
        <v>1423</v>
      </c>
      <c r="D169" s="1" t="s">
        <v>1084</v>
      </c>
      <c r="E169" s="1">
        <v>402500</v>
      </c>
      <c r="F169" s="78">
        <v>45883</v>
      </c>
      <c r="G169" s="1" t="s">
        <v>1850</v>
      </c>
      <c r="H169" s="78">
        <v>45882</v>
      </c>
      <c r="I169" s="1" t="s">
        <v>1086</v>
      </c>
      <c r="J169" s="1" t="s">
        <v>1087</v>
      </c>
      <c r="K169" s="1">
        <v>1</v>
      </c>
    </row>
    <row r="170" spans="1:11" x14ac:dyDescent="0.25">
      <c r="A170" s="1" t="s">
        <v>1403</v>
      </c>
      <c r="B170" s="1" t="s">
        <v>1404</v>
      </c>
      <c r="C170" s="1" t="s">
        <v>1350</v>
      </c>
      <c r="D170" s="1" t="s">
        <v>1084</v>
      </c>
      <c r="E170" s="1">
        <v>402500</v>
      </c>
      <c r="F170" s="78">
        <v>45882</v>
      </c>
      <c r="G170" s="1" t="s">
        <v>1085</v>
      </c>
      <c r="H170" s="78"/>
      <c r="I170" s="1" t="s">
        <v>1086</v>
      </c>
      <c r="J170" s="1" t="s">
        <v>1087</v>
      </c>
      <c r="K170" s="1">
        <v>1</v>
      </c>
    </row>
    <row r="171" spans="1:11" x14ac:dyDescent="0.25">
      <c r="A171" s="1" t="s">
        <v>1405</v>
      </c>
      <c r="B171" s="1" t="s">
        <v>1406</v>
      </c>
      <c r="C171" s="1" t="s">
        <v>1350</v>
      </c>
      <c r="D171" s="1" t="s">
        <v>1084</v>
      </c>
      <c r="E171" s="1">
        <v>11500</v>
      </c>
      <c r="F171" s="78">
        <v>45882</v>
      </c>
      <c r="G171" s="1" t="s">
        <v>1085</v>
      </c>
      <c r="H171" s="78"/>
      <c r="I171" s="1" t="s">
        <v>1086</v>
      </c>
      <c r="J171" s="1" t="s">
        <v>1087</v>
      </c>
      <c r="K171" s="1">
        <v>1</v>
      </c>
    </row>
    <row r="172" spans="1:11" x14ac:dyDescent="0.25">
      <c r="A172" s="1" t="s">
        <v>1407</v>
      </c>
      <c r="B172" s="1" t="s">
        <v>1408</v>
      </c>
      <c r="C172" s="1" t="s">
        <v>1350</v>
      </c>
      <c r="D172" s="1" t="s">
        <v>1084</v>
      </c>
      <c r="E172" s="1">
        <v>862500</v>
      </c>
      <c r="F172" s="78">
        <v>45882</v>
      </c>
      <c r="G172" s="1" t="s">
        <v>1085</v>
      </c>
      <c r="H172" s="78"/>
      <c r="I172" s="1" t="s">
        <v>1086</v>
      </c>
      <c r="J172" s="1" t="s">
        <v>1087</v>
      </c>
      <c r="K172" s="1">
        <v>1</v>
      </c>
    </row>
    <row r="173" spans="1:11" x14ac:dyDescent="0.25">
      <c r="A173" s="1" t="s">
        <v>1409</v>
      </c>
      <c r="B173" s="1" t="s">
        <v>1410</v>
      </c>
      <c r="C173" s="1" t="s">
        <v>1350</v>
      </c>
      <c r="D173" s="1" t="s">
        <v>1084</v>
      </c>
      <c r="E173" s="1">
        <v>575000</v>
      </c>
      <c r="F173" s="78">
        <v>45882</v>
      </c>
      <c r="G173" s="1" t="s">
        <v>1085</v>
      </c>
      <c r="H173" s="78"/>
      <c r="I173" s="1" t="s">
        <v>1086</v>
      </c>
      <c r="J173" s="1" t="s">
        <v>1087</v>
      </c>
      <c r="K173" s="1">
        <v>1</v>
      </c>
    </row>
    <row r="174" spans="1:11" x14ac:dyDescent="0.25">
      <c r="A174" s="1" t="s">
        <v>1411</v>
      </c>
      <c r="B174" s="1" t="s">
        <v>1410</v>
      </c>
      <c r="C174" s="1" t="s">
        <v>1350</v>
      </c>
      <c r="D174" s="1" t="s">
        <v>1084</v>
      </c>
      <c r="E174" s="1">
        <v>402500</v>
      </c>
      <c r="F174" s="78">
        <v>45882</v>
      </c>
      <c r="G174" s="1" t="s">
        <v>1085</v>
      </c>
      <c r="H174" s="78"/>
      <c r="I174" s="1" t="s">
        <v>1086</v>
      </c>
      <c r="J174" s="1" t="s">
        <v>1087</v>
      </c>
      <c r="K174" s="1">
        <v>1</v>
      </c>
    </row>
    <row r="175" spans="1:11" x14ac:dyDescent="0.25">
      <c r="A175" s="1" t="s">
        <v>1412</v>
      </c>
      <c r="B175" s="1" t="s">
        <v>1413</v>
      </c>
      <c r="C175" s="1" t="s">
        <v>1350</v>
      </c>
      <c r="D175" s="1" t="s">
        <v>1084</v>
      </c>
      <c r="E175" s="1">
        <v>26450</v>
      </c>
      <c r="F175" s="78">
        <v>45882</v>
      </c>
      <c r="G175" s="1" t="s">
        <v>1085</v>
      </c>
      <c r="H175" s="78"/>
      <c r="I175" s="1" t="s">
        <v>1086</v>
      </c>
      <c r="J175" s="1" t="s">
        <v>1087</v>
      </c>
      <c r="K175" s="1">
        <v>1</v>
      </c>
    </row>
    <row r="176" spans="1:11" x14ac:dyDescent="0.25">
      <c r="A176" s="1" t="s">
        <v>1414</v>
      </c>
      <c r="B176" s="1" t="s">
        <v>1413</v>
      </c>
      <c r="C176" s="1" t="s">
        <v>1350</v>
      </c>
      <c r="D176" s="1" t="s">
        <v>1084</v>
      </c>
      <c r="E176" s="1">
        <v>28750</v>
      </c>
      <c r="F176" s="78">
        <v>45882</v>
      </c>
      <c r="G176" s="1" t="s">
        <v>1085</v>
      </c>
      <c r="H176" s="78"/>
      <c r="I176" s="1" t="s">
        <v>1086</v>
      </c>
      <c r="J176" s="1" t="s">
        <v>1087</v>
      </c>
      <c r="K176" s="1">
        <v>1</v>
      </c>
    </row>
    <row r="177" spans="1:11" x14ac:dyDescent="0.25">
      <c r="A177" s="1" t="s">
        <v>1415</v>
      </c>
      <c r="B177" s="1" t="s">
        <v>1416</v>
      </c>
      <c r="C177" s="1" t="s">
        <v>1350</v>
      </c>
      <c r="D177" s="1" t="s">
        <v>1177</v>
      </c>
      <c r="E177" s="1">
        <v>14375</v>
      </c>
      <c r="F177" s="78">
        <v>45882</v>
      </c>
      <c r="G177" s="1" t="s">
        <v>1085</v>
      </c>
      <c r="H177" s="78"/>
      <c r="I177" s="1" t="s">
        <v>1086</v>
      </c>
      <c r="J177" s="1" t="s">
        <v>1087</v>
      </c>
      <c r="K177" s="1">
        <v>1</v>
      </c>
    </row>
    <row r="178" spans="1:11" x14ac:dyDescent="0.25">
      <c r="A178" s="1" t="s">
        <v>1417</v>
      </c>
      <c r="B178" s="1" t="s">
        <v>1418</v>
      </c>
      <c r="C178" s="1" t="s">
        <v>1350</v>
      </c>
      <c r="D178" s="1" t="s">
        <v>1177</v>
      </c>
      <c r="E178" s="1">
        <v>19550</v>
      </c>
      <c r="F178" s="78">
        <v>45882</v>
      </c>
      <c r="G178" s="1" t="s">
        <v>1085</v>
      </c>
      <c r="H178" s="78"/>
      <c r="I178" s="1" t="s">
        <v>1086</v>
      </c>
      <c r="J178" s="1" t="s">
        <v>1087</v>
      </c>
      <c r="K178" s="1">
        <v>1</v>
      </c>
    </row>
    <row r="179" spans="1:11" x14ac:dyDescent="0.25">
      <c r="A179" s="1" t="s">
        <v>1419</v>
      </c>
      <c r="B179" s="1" t="s">
        <v>1420</v>
      </c>
      <c r="C179" s="1" t="s">
        <v>1350</v>
      </c>
      <c r="D179" s="1" t="s">
        <v>1177</v>
      </c>
      <c r="E179" s="1">
        <v>29210</v>
      </c>
      <c r="F179" s="78">
        <v>45882</v>
      </c>
      <c r="G179" s="1" t="s">
        <v>1085</v>
      </c>
      <c r="H179" s="78"/>
      <c r="I179" s="1" t="s">
        <v>1086</v>
      </c>
      <c r="J179" s="1" t="s">
        <v>1087</v>
      </c>
      <c r="K179" s="1">
        <v>1</v>
      </c>
    </row>
    <row r="180" spans="1:11" x14ac:dyDescent="0.25">
      <c r="A180" s="1" t="s">
        <v>1421</v>
      </c>
      <c r="B180" s="1" t="s">
        <v>1422</v>
      </c>
      <c r="C180" s="1" t="s">
        <v>1423</v>
      </c>
      <c r="D180" s="1" t="s">
        <v>1110</v>
      </c>
      <c r="E180" s="1">
        <v>26450</v>
      </c>
      <c r="F180" s="78">
        <v>45882</v>
      </c>
      <c r="G180" s="1" t="s">
        <v>1085</v>
      </c>
      <c r="H180" s="78"/>
      <c r="I180" s="1" t="s">
        <v>1086</v>
      </c>
      <c r="J180" s="1" t="s">
        <v>1087</v>
      </c>
      <c r="K180" s="1">
        <v>1</v>
      </c>
    </row>
    <row r="181" spans="1:11" x14ac:dyDescent="0.25">
      <c r="A181" s="1" t="s">
        <v>1424</v>
      </c>
      <c r="B181" s="1" t="s">
        <v>1425</v>
      </c>
      <c r="C181" s="1" t="s">
        <v>1423</v>
      </c>
      <c r="D181" s="1" t="s">
        <v>1110</v>
      </c>
      <c r="E181" s="1">
        <v>39100</v>
      </c>
      <c r="F181" s="78">
        <v>45882</v>
      </c>
      <c r="G181" s="1" t="s">
        <v>1085</v>
      </c>
      <c r="H181" s="78"/>
      <c r="I181" s="1" t="s">
        <v>1086</v>
      </c>
      <c r="J181" s="1" t="s">
        <v>1087</v>
      </c>
      <c r="K181" s="1">
        <v>1</v>
      </c>
    </row>
    <row r="182" spans="1:11" x14ac:dyDescent="0.25">
      <c r="A182" s="1" t="s">
        <v>1426</v>
      </c>
      <c r="B182" s="1" t="s">
        <v>1427</v>
      </c>
      <c r="C182" s="1" t="s">
        <v>1423</v>
      </c>
      <c r="D182" s="1" t="s">
        <v>1110</v>
      </c>
      <c r="E182" s="1">
        <v>23000</v>
      </c>
      <c r="F182" s="78">
        <v>45882</v>
      </c>
      <c r="G182" s="1" t="s">
        <v>1085</v>
      </c>
      <c r="H182" s="78"/>
      <c r="I182" s="1" t="s">
        <v>1086</v>
      </c>
      <c r="J182" s="1" t="s">
        <v>1087</v>
      </c>
      <c r="K182" s="1">
        <v>1</v>
      </c>
    </row>
    <row r="183" spans="1:11" x14ac:dyDescent="0.25">
      <c r="A183" s="1" t="s">
        <v>1428</v>
      </c>
      <c r="B183" s="1" t="s">
        <v>1429</v>
      </c>
      <c r="C183" s="1" t="s">
        <v>1423</v>
      </c>
      <c r="D183" s="1" t="s">
        <v>1177</v>
      </c>
      <c r="E183" s="1">
        <v>5750</v>
      </c>
      <c r="F183" s="78">
        <v>45882</v>
      </c>
      <c r="G183" s="1" t="s">
        <v>1085</v>
      </c>
      <c r="H183" s="78"/>
      <c r="I183" s="1" t="s">
        <v>1086</v>
      </c>
      <c r="J183" s="1" t="s">
        <v>1087</v>
      </c>
      <c r="K183" s="1">
        <v>1</v>
      </c>
    </row>
    <row r="184" spans="1:11" x14ac:dyDescent="0.25">
      <c r="A184" s="1" t="s">
        <v>1430</v>
      </c>
      <c r="B184" s="1" t="s">
        <v>1431</v>
      </c>
      <c r="C184" s="1" t="s">
        <v>1432</v>
      </c>
      <c r="D184" s="1" t="s">
        <v>1084</v>
      </c>
      <c r="E184" s="1">
        <v>25300000</v>
      </c>
      <c r="F184" s="78">
        <v>45882</v>
      </c>
      <c r="G184" s="1" t="s">
        <v>1085</v>
      </c>
      <c r="H184" s="78"/>
      <c r="I184" s="1" t="s">
        <v>1086</v>
      </c>
      <c r="J184" s="1" t="s">
        <v>1087</v>
      </c>
      <c r="K184" s="1">
        <v>1</v>
      </c>
    </row>
    <row r="185" spans="1:11" x14ac:dyDescent="0.25">
      <c r="A185" s="1" t="s">
        <v>1433</v>
      </c>
      <c r="B185" s="1" t="s">
        <v>1434</v>
      </c>
      <c r="C185" s="1" t="s">
        <v>1435</v>
      </c>
      <c r="D185" s="1" t="s">
        <v>1110</v>
      </c>
      <c r="E185" s="1">
        <v>174750</v>
      </c>
      <c r="F185" s="78">
        <v>45882</v>
      </c>
      <c r="G185" s="1" t="s">
        <v>1085</v>
      </c>
      <c r="H185" s="78"/>
      <c r="I185" s="1" t="s">
        <v>1086</v>
      </c>
      <c r="J185" s="1" t="s">
        <v>1087</v>
      </c>
      <c r="K185" s="1">
        <v>1</v>
      </c>
    </row>
    <row r="186" spans="1:11" x14ac:dyDescent="0.25">
      <c r="A186" s="1" t="s">
        <v>1436</v>
      </c>
      <c r="B186" s="1" t="s">
        <v>1437</v>
      </c>
      <c r="C186" s="1" t="s">
        <v>1438</v>
      </c>
      <c r="D186" s="1" t="s">
        <v>1110</v>
      </c>
      <c r="E186" s="1">
        <v>575</v>
      </c>
      <c r="F186" s="78">
        <v>45882</v>
      </c>
      <c r="G186" s="1" t="s">
        <v>1085</v>
      </c>
      <c r="H186" s="78"/>
      <c r="I186" s="1" t="s">
        <v>1086</v>
      </c>
      <c r="J186" s="1" t="s">
        <v>1087</v>
      </c>
      <c r="K186" s="1">
        <v>1</v>
      </c>
    </row>
    <row r="187" spans="1:11" x14ac:dyDescent="0.25">
      <c r="A187" s="1" t="s">
        <v>1439</v>
      </c>
      <c r="B187" s="1" t="s">
        <v>1440</v>
      </c>
      <c r="C187" s="1" t="s">
        <v>1438</v>
      </c>
      <c r="D187" s="1" t="s">
        <v>1110</v>
      </c>
      <c r="E187" s="1">
        <v>6325</v>
      </c>
      <c r="F187" s="78">
        <v>45882</v>
      </c>
      <c r="G187" s="1" t="s">
        <v>1085</v>
      </c>
      <c r="H187" s="78"/>
      <c r="I187" s="1" t="s">
        <v>1086</v>
      </c>
      <c r="J187" s="1" t="s">
        <v>1087</v>
      </c>
      <c r="K187" s="1">
        <v>1</v>
      </c>
    </row>
    <row r="188" spans="1:11" x14ac:dyDescent="0.25">
      <c r="A188" s="1" t="s">
        <v>1441</v>
      </c>
      <c r="B188" s="1" t="s">
        <v>1437</v>
      </c>
      <c r="C188" s="1" t="s">
        <v>1438</v>
      </c>
      <c r="D188" s="1" t="s">
        <v>1110</v>
      </c>
      <c r="E188" s="1">
        <v>575</v>
      </c>
      <c r="F188" s="78">
        <v>45882</v>
      </c>
      <c r="G188" s="1" t="s">
        <v>1085</v>
      </c>
      <c r="H188" s="78"/>
      <c r="I188" s="1" t="s">
        <v>1086</v>
      </c>
      <c r="J188" s="1" t="s">
        <v>1087</v>
      </c>
      <c r="K188" s="1">
        <v>1</v>
      </c>
    </row>
    <row r="189" spans="1:11" x14ac:dyDescent="0.25">
      <c r="A189" s="1" t="s">
        <v>1442</v>
      </c>
      <c r="B189" s="1" t="s">
        <v>1440</v>
      </c>
      <c r="C189" s="1" t="s">
        <v>1438</v>
      </c>
      <c r="D189" s="1" t="s">
        <v>1110</v>
      </c>
      <c r="E189" s="1">
        <v>6325</v>
      </c>
      <c r="F189" s="78">
        <v>45882</v>
      </c>
      <c r="G189" s="1" t="s">
        <v>1085</v>
      </c>
      <c r="H189" s="78"/>
      <c r="I189" s="1" t="s">
        <v>1086</v>
      </c>
      <c r="J189" s="1" t="s">
        <v>1087</v>
      </c>
      <c r="K189" s="1">
        <v>1</v>
      </c>
    </row>
  </sheetData>
  <phoneticPr fontId="38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C59C-4BA3-4BC0-A643-5140843850E5}">
  <sheetPr>
    <tabColor theme="5" tint="-0.249977111117893"/>
  </sheetPr>
  <dimension ref="A1:M302"/>
  <sheetViews>
    <sheetView workbookViewId="0">
      <selection activeCell="C23" sqref="C23"/>
    </sheetView>
  </sheetViews>
  <sheetFormatPr baseColWidth="10" defaultRowHeight="15" x14ac:dyDescent="0.25"/>
  <cols>
    <col min="1" max="1" width="42.5703125" bestFit="1" customWidth="1"/>
    <col min="2" max="2" width="81.140625" bestFit="1" customWidth="1"/>
    <col min="3" max="3" width="6.7109375" bestFit="1" customWidth="1"/>
    <col min="4" max="4" width="15.140625" bestFit="1" customWidth="1"/>
    <col min="5" max="5" width="12.85546875" bestFit="1" customWidth="1"/>
    <col min="6" max="6" width="8.7109375" bestFit="1" customWidth="1"/>
    <col min="7" max="7" width="7" bestFit="1" customWidth="1"/>
    <col min="8" max="8" width="12.28515625" bestFit="1" customWidth="1"/>
    <col min="9" max="9" width="20.85546875" bestFit="1" customWidth="1"/>
    <col min="10" max="11" width="12.5703125" bestFit="1" customWidth="1"/>
    <col min="12" max="13" width="17.7109375" bestFit="1" customWidth="1"/>
  </cols>
  <sheetData>
    <row r="1" spans="1:13" x14ac:dyDescent="0.25">
      <c r="A1" t="s">
        <v>1072</v>
      </c>
      <c r="B1" t="s">
        <v>1073</v>
      </c>
      <c r="C1" t="s">
        <v>1074</v>
      </c>
      <c r="D1" t="s">
        <v>1066</v>
      </c>
      <c r="E1" t="s">
        <v>1538</v>
      </c>
      <c r="F1" t="s">
        <v>1075</v>
      </c>
      <c r="G1" t="s">
        <v>1539</v>
      </c>
      <c r="H1" t="s">
        <v>1540</v>
      </c>
      <c r="I1" t="s">
        <v>979</v>
      </c>
      <c r="J1" t="s">
        <v>1076</v>
      </c>
      <c r="K1" t="s">
        <v>1847</v>
      </c>
      <c r="L1" t="s">
        <v>1848</v>
      </c>
      <c r="M1" t="s">
        <v>1849</v>
      </c>
    </row>
    <row r="2" spans="1:13" x14ac:dyDescent="0.25">
      <c r="A2" t="s">
        <v>1081</v>
      </c>
      <c r="B2" t="s">
        <v>1082</v>
      </c>
      <c r="C2" t="s">
        <v>1083</v>
      </c>
      <c r="D2" t="s">
        <v>1068</v>
      </c>
      <c r="E2" t="s">
        <v>1542</v>
      </c>
      <c r="F2" t="s">
        <v>1084</v>
      </c>
      <c r="G2">
        <v>1</v>
      </c>
      <c r="H2" s="215">
        <v>46084</v>
      </c>
      <c r="I2" t="s">
        <v>987</v>
      </c>
      <c r="J2">
        <v>4755250</v>
      </c>
      <c r="K2">
        <v>4755250</v>
      </c>
      <c r="L2">
        <v>1</v>
      </c>
      <c r="M2">
        <v>1</v>
      </c>
    </row>
    <row r="3" spans="1:13" x14ac:dyDescent="0.25">
      <c r="A3" t="s">
        <v>1088</v>
      </c>
      <c r="B3" t="s">
        <v>1089</v>
      </c>
      <c r="C3" t="s">
        <v>1083</v>
      </c>
      <c r="D3" t="s">
        <v>1068</v>
      </c>
      <c r="E3" t="s">
        <v>1542</v>
      </c>
      <c r="F3" t="s">
        <v>1084</v>
      </c>
      <c r="G3">
        <v>1</v>
      </c>
      <c r="H3" s="215">
        <v>46084</v>
      </c>
      <c r="I3" t="s">
        <v>987</v>
      </c>
      <c r="J3">
        <v>3758730</v>
      </c>
      <c r="K3">
        <v>3758730</v>
      </c>
      <c r="L3">
        <v>1</v>
      </c>
      <c r="M3">
        <v>1</v>
      </c>
    </row>
    <row r="4" spans="1:13" x14ac:dyDescent="0.25">
      <c r="A4" t="s">
        <v>1090</v>
      </c>
      <c r="B4" t="s">
        <v>1091</v>
      </c>
      <c r="C4" t="s">
        <v>1083</v>
      </c>
      <c r="D4" t="s">
        <v>1068</v>
      </c>
      <c r="E4" t="s">
        <v>1542</v>
      </c>
      <c r="F4" t="s">
        <v>1084</v>
      </c>
      <c r="G4">
        <v>1</v>
      </c>
      <c r="H4" s="215">
        <v>46084</v>
      </c>
      <c r="I4" t="s">
        <v>987</v>
      </c>
      <c r="J4">
        <v>2507000</v>
      </c>
      <c r="K4">
        <v>2507000</v>
      </c>
      <c r="L4">
        <v>1</v>
      </c>
      <c r="M4">
        <v>1</v>
      </c>
    </row>
    <row r="5" spans="1:13" x14ac:dyDescent="0.25">
      <c r="A5" t="s">
        <v>1092</v>
      </c>
      <c r="B5" t="s">
        <v>1093</v>
      </c>
      <c r="C5" t="s">
        <v>1083</v>
      </c>
      <c r="D5" t="s">
        <v>1068</v>
      </c>
      <c r="E5" t="s">
        <v>1542</v>
      </c>
      <c r="F5" t="s">
        <v>1084</v>
      </c>
      <c r="G5">
        <v>1</v>
      </c>
      <c r="H5" s="215">
        <v>46084</v>
      </c>
      <c r="I5" t="s">
        <v>987</v>
      </c>
      <c r="J5">
        <v>4213438</v>
      </c>
      <c r="K5">
        <v>4213438</v>
      </c>
      <c r="L5">
        <v>1</v>
      </c>
      <c r="M5">
        <v>1</v>
      </c>
    </row>
    <row r="6" spans="1:13" x14ac:dyDescent="0.25">
      <c r="A6" t="s">
        <v>1094</v>
      </c>
      <c r="B6" t="s">
        <v>1095</v>
      </c>
      <c r="C6" t="s">
        <v>1083</v>
      </c>
      <c r="D6" t="s">
        <v>1068</v>
      </c>
      <c r="E6" t="s">
        <v>1542</v>
      </c>
      <c r="F6" t="s">
        <v>1084</v>
      </c>
      <c r="G6">
        <v>1</v>
      </c>
      <c r="H6" s="215">
        <v>46084</v>
      </c>
      <c r="I6" t="s">
        <v>987</v>
      </c>
      <c r="J6">
        <v>4945000</v>
      </c>
      <c r="K6">
        <v>4945000</v>
      </c>
      <c r="L6">
        <v>1</v>
      </c>
      <c r="M6">
        <v>1</v>
      </c>
    </row>
    <row r="7" spans="1:13" x14ac:dyDescent="0.25">
      <c r="A7" t="s">
        <v>1096</v>
      </c>
      <c r="B7" t="s">
        <v>1097</v>
      </c>
      <c r="C7" t="s">
        <v>1083</v>
      </c>
      <c r="D7" t="s">
        <v>1068</v>
      </c>
      <c r="E7" t="s">
        <v>1542</v>
      </c>
      <c r="F7" t="s">
        <v>1084</v>
      </c>
      <c r="G7">
        <v>1</v>
      </c>
      <c r="H7" s="215">
        <v>46084</v>
      </c>
      <c r="I7" t="s">
        <v>987</v>
      </c>
      <c r="J7">
        <v>4795500</v>
      </c>
      <c r="K7">
        <v>4795500</v>
      </c>
      <c r="L7">
        <v>1</v>
      </c>
      <c r="M7">
        <v>1</v>
      </c>
    </row>
    <row r="8" spans="1:13" x14ac:dyDescent="0.25">
      <c r="A8" t="s">
        <v>1098</v>
      </c>
      <c r="B8" t="s">
        <v>1099</v>
      </c>
      <c r="C8" t="s">
        <v>1083</v>
      </c>
      <c r="D8" t="s">
        <v>1068</v>
      </c>
      <c r="E8" t="s">
        <v>1542</v>
      </c>
      <c r="F8" t="s">
        <v>1084</v>
      </c>
      <c r="G8">
        <v>1</v>
      </c>
      <c r="H8" s="215">
        <v>46084</v>
      </c>
      <c r="I8" t="s">
        <v>987</v>
      </c>
      <c r="J8">
        <v>1265000</v>
      </c>
      <c r="K8">
        <v>1265000</v>
      </c>
      <c r="L8">
        <v>1</v>
      </c>
      <c r="M8">
        <v>1</v>
      </c>
    </row>
    <row r="9" spans="1:13" x14ac:dyDescent="0.25">
      <c r="A9" t="s">
        <v>1100</v>
      </c>
      <c r="B9" t="s">
        <v>1101</v>
      </c>
      <c r="C9" t="s">
        <v>1083</v>
      </c>
      <c r="D9" t="s">
        <v>1068</v>
      </c>
      <c r="E9" t="s">
        <v>1727</v>
      </c>
      <c r="F9" t="s">
        <v>1084</v>
      </c>
      <c r="G9">
        <v>1</v>
      </c>
      <c r="H9" s="215">
        <v>46084</v>
      </c>
      <c r="I9" t="s">
        <v>987</v>
      </c>
      <c r="J9">
        <v>1725000</v>
      </c>
      <c r="K9">
        <v>1725000</v>
      </c>
      <c r="L9">
        <v>1</v>
      </c>
      <c r="M9">
        <v>1</v>
      </c>
    </row>
    <row r="10" spans="1:13" x14ac:dyDescent="0.25">
      <c r="A10" t="s">
        <v>1102</v>
      </c>
      <c r="B10" t="s">
        <v>1103</v>
      </c>
      <c r="C10" t="s">
        <v>1083</v>
      </c>
      <c r="D10" t="s">
        <v>1070</v>
      </c>
      <c r="E10" t="s">
        <v>1729</v>
      </c>
      <c r="F10" t="s">
        <v>1084</v>
      </c>
      <c r="G10">
        <v>1</v>
      </c>
      <c r="H10" s="215">
        <v>46084</v>
      </c>
      <c r="I10" t="s">
        <v>987</v>
      </c>
      <c r="J10">
        <v>2587500</v>
      </c>
      <c r="K10">
        <v>2587500</v>
      </c>
      <c r="L10">
        <v>1</v>
      </c>
      <c r="M10">
        <v>1</v>
      </c>
    </row>
    <row r="11" spans="1:13" x14ac:dyDescent="0.25">
      <c r="A11" t="s">
        <v>1104</v>
      </c>
      <c r="B11" t="s">
        <v>1105</v>
      </c>
      <c r="C11" t="s">
        <v>1083</v>
      </c>
      <c r="D11" t="s">
        <v>1068</v>
      </c>
      <c r="E11" t="s">
        <v>1730</v>
      </c>
      <c r="F11" t="s">
        <v>1084</v>
      </c>
      <c r="G11">
        <v>1</v>
      </c>
      <c r="H11" s="215">
        <v>46084</v>
      </c>
      <c r="I11" t="s">
        <v>987</v>
      </c>
      <c r="J11">
        <v>1725000</v>
      </c>
      <c r="K11">
        <v>1725000</v>
      </c>
      <c r="L11">
        <v>1</v>
      </c>
      <c r="M11">
        <v>1</v>
      </c>
    </row>
    <row r="12" spans="1:13" x14ac:dyDescent="0.25">
      <c r="A12" t="s">
        <v>1106</v>
      </c>
      <c r="B12" t="s">
        <v>1107</v>
      </c>
      <c r="C12" t="s">
        <v>1083</v>
      </c>
      <c r="D12" t="s">
        <v>1068</v>
      </c>
      <c r="E12" t="s">
        <v>1542</v>
      </c>
      <c r="F12" t="s">
        <v>1084</v>
      </c>
      <c r="G12">
        <v>1</v>
      </c>
      <c r="H12" s="215">
        <v>46084</v>
      </c>
      <c r="I12" t="s">
        <v>987</v>
      </c>
      <c r="J12">
        <v>552000</v>
      </c>
      <c r="K12">
        <v>552000</v>
      </c>
      <c r="L12">
        <v>1</v>
      </c>
      <c r="M12">
        <v>1</v>
      </c>
    </row>
    <row r="13" spans="1:13" x14ac:dyDescent="0.25">
      <c r="A13" t="s">
        <v>1108</v>
      </c>
      <c r="B13" t="s">
        <v>1109</v>
      </c>
      <c r="C13" t="s">
        <v>1083</v>
      </c>
      <c r="D13" t="s">
        <v>1068</v>
      </c>
      <c r="E13" t="s">
        <v>1727</v>
      </c>
      <c r="F13" t="s">
        <v>1110</v>
      </c>
      <c r="G13">
        <v>460</v>
      </c>
      <c r="H13" s="215">
        <v>46084</v>
      </c>
      <c r="I13" t="s">
        <v>987</v>
      </c>
      <c r="J13">
        <v>5750</v>
      </c>
      <c r="L13">
        <v>1</v>
      </c>
      <c r="M13">
        <v>0</v>
      </c>
    </row>
    <row r="14" spans="1:13" x14ac:dyDescent="0.25">
      <c r="A14" t="s">
        <v>1111</v>
      </c>
      <c r="B14" t="s">
        <v>1112</v>
      </c>
      <c r="C14" t="s">
        <v>1083</v>
      </c>
      <c r="D14" t="s">
        <v>1068</v>
      </c>
      <c r="E14" t="s">
        <v>1731</v>
      </c>
      <c r="F14" t="s">
        <v>1113</v>
      </c>
      <c r="G14">
        <v>3.07</v>
      </c>
      <c r="H14" s="215">
        <v>46084</v>
      </c>
      <c r="I14" t="s">
        <v>987</v>
      </c>
      <c r="J14">
        <v>338720</v>
      </c>
      <c r="K14">
        <v>338720</v>
      </c>
      <c r="L14">
        <v>1</v>
      </c>
      <c r="M14">
        <v>1</v>
      </c>
    </row>
    <row r="15" spans="1:13" x14ac:dyDescent="0.25">
      <c r="A15" t="s">
        <v>1114</v>
      </c>
      <c r="B15" t="s">
        <v>1115</v>
      </c>
      <c r="C15" t="s">
        <v>1083</v>
      </c>
      <c r="D15" t="s">
        <v>1068</v>
      </c>
      <c r="E15" t="s">
        <v>1731</v>
      </c>
      <c r="F15" t="s">
        <v>1113</v>
      </c>
      <c r="G15">
        <v>4.3600000000000003</v>
      </c>
      <c r="H15" s="215">
        <v>46084</v>
      </c>
      <c r="I15" t="s">
        <v>987</v>
      </c>
      <c r="J15">
        <v>189175</v>
      </c>
      <c r="K15">
        <v>189175</v>
      </c>
      <c r="L15">
        <v>1</v>
      </c>
      <c r="M15">
        <v>1</v>
      </c>
    </row>
    <row r="16" spans="1:13" x14ac:dyDescent="0.25">
      <c r="A16" t="s">
        <v>1116</v>
      </c>
      <c r="B16" t="s">
        <v>1117</v>
      </c>
      <c r="C16" t="s">
        <v>1083</v>
      </c>
      <c r="D16" t="s">
        <v>1068</v>
      </c>
      <c r="E16" t="s">
        <v>1731</v>
      </c>
      <c r="F16" t="s">
        <v>1110</v>
      </c>
      <c r="G16">
        <v>15.84</v>
      </c>
      <c r="H16" s="215">
        <v>46084</v>
      </c>
      <c r="I16" t="s">
        <v>987</v>
      </c>
      <c r="J16">
        <v>5750</v>
      </c>
      <c r="K16">
        <v>3350</v>
      </c>
      <c r="L16">
        <v>1</v>
      </c>
      <c r="M16">
        <v>1</v>
      </c>
    </row>
    <row r="17" spans="1:13" x14ac:dyDescent="0.25">
      <c r="A17" t="s">
        <v>1118</v>
      </c>
      <c r="B17" t="s">
        <v>1119</v>
      </c>
      <c r="C17" t="s">
        <v>1083</v>
      </c>
      <c r="D17" t="s">
        <v>1068</v>
      </c>
      <c r="E17" t="s">
        <v>1731</v>
      </c>
      <c r="F17" t="s">
        <v>1120</v>
      </c>
      <c r="G17">
        <v>436</v>
      </c>
      <c r="H17" s="215">
        <v>46084</v>
      </c>
      <c r="I17" t="s">
        <v>987</v>
      </c>
      <c r="J17">
        <v>1380</v>
      </c>
      <c r="K17">
        <v>370</v>
      </c>
      <c r="L17">
        <v>1</v>
      </c>
      <c r="M17">
        <v>1</v>
      </c>
    </row>
    <row r="18" spans="1:13" x14ac:dyDescent="0.25">
      <c r="A18" t="s">
        <v>1131</v>
      </c>
      <c r="B18" t="s">
        <v>1132</v>
      </c>
      <c r="C18" t="s">
        <v>1083</v>
      </c>
      <c r="D18" t="s">
        <v>1068</v>
      </c>
      <c r="E18" t="s">
        <v>1731</v>
      </c>
      <c r="F18" t="s">
        <v>1110</v>
      </c>
      <c r="G18">
        <v>78.98</v>
      </c>
      <c r="H18" s="215">
        <v>46084</v>
      </c>
      <c r="I18" t="s">
        <v>987</v>
      </c>
      <c r="J18">
        <v>12180</v>
      </c>
      <c r="K18">
        <v>12180</v>
      </c>
      <c r="L18">
        <v>1</v>
      </c>
      <c r="M18">
        <v>1</v>
      </c>
    </row>
    <row r="19" spans="1:13" x14ac:dyDescent="0.25">
      <c r="A19" t="s">
        <v>1121</v>
      </c>
      <c r="B19" t="s">
        <v>1732</v>
      </c>
      <c r="C19" t="s">
        <v>1083</v>
      </c>
      <c r="D19" t="s">
        <v>1068</v>
      </c>
      <c r="E19" t="s">
        <v>1731</v>
      </c>
      <c r="F19" t="s">
        <v>1113</v>
      </c>
      <c r="G19">
        <v>1.65</v>
      </c>
      <c r="H19" s="215">
        <v>46084</v>
      </c>
      <c r="I19" t="s">
        <v>987</v>
      </c>
      <c r="J19">
        <v>189175</v>
      </c>
      <c r="L19">
        <v>1</v>
      </c>
      <c r="M19">
        <v>0</v>
      </c>
    </row>
    <row r="20" spans="1:13" x14ac:dyDescent="0.25">
      <c r="A20" t="s">
        <v>1155</v>
      </c>
      <c r="B20" t="s">
        <v>1156</v>
      </c>
      <c r="C20" t="s">
        <v>1083</v>
      </c>
      <c r="D20" t="s">
        <v>1068</v>
      </c>
      <c r="E20" t="s">
        <v>1727</v>
      </c>
      <c r="F20" t="s">
        <v>1110</v>
      </c>
      <c r="G20">
        <v>1</v>
      </c>
      <c r="H20" s="215">
        <v>46084</v>
      </c>
      <c r="I20" t="s">
        <v>987</v>
      </c>
      <c r="J20">
        <v>11185</v>
      </c>
      <c r="K20">
        <v>11185</v>
      </c>
      <c r="L20">
        <v>1</v>
      </c>
      <c r="M20">
        <v>1</v>
      </c>
    </row>
    <row r="21" spans="1:13" x14ac:dyDescent="0.25">
      <c r="A21" t="s">
        <v>1122</v>
      </c>
      <c r="B21" t="s">
        <v>1733</v>
      </c>
      <c r="C21" t="s">
        <v>1083</v>
      </c>
      <c r="D21" t="s">
        <v>1068</v>
      </c>
      <c r="E21" t="s">
        <v>1731</v>
      </c>
      <c r="F21" t="s">
        <v>1110</v>
      </c>
      <c r="G21">
        <v>26.4</v>
      </c>
      <c r="H21" s="215">
        <v>46084</v>
      </c>
      <c r="I21" t="s">
        <v>987</v>
      </c>
      <c r="J21">
        <v>5750</v>
      </c>
      <c r="L21">
        <v>1</v>
      </c>
      <c r="M21">
        <v>0</v>
      </c>
    </row>
    <row r="22" spans="1:13" x14ac:dyDescent="0.25">
      <c r="A22" t="s">
        <v>1157</v>
      </c>
      <c r="B22" t="s">
        <v>1158</v>
      </c>
      <c r="C22" t="s">
        <v>1083</v>
      </c>
      <c r="D22" t="s">
        <v>1068</v>
      </c>
      <c r="E22" t="s">
        <v>1727</v>
      </c>
      <c r="F22" t="s">
        <v>1110</v>
      </c>
      <c r="G22">
        <v>1</v>
      </c>
      <c r="H22" s="215">
        <v>46084</v>
      </c>
      <c r="I22" t="s">
        <v>987</v>
      </c>
      <c r="J22">
        <v>3827</v>
      </c>
      <c r="K22">
        <v>3827</v>
      </c>
      <c r="L22">
        <v>1</v>
      </c>
      <c r="M22">
        <v>1</v>
      </c>
    </row>
    <row r="23" spans="1:13" x14ac:dyDescent="0.25">
      <c r="A23" t="s">
        <v>1123</v>
      </c>
      <c r="B23" t="s">
        <v>1734</v>
      </c>
      <c r="C23" t="s">
        <v>1083</v>
      </c>
      <c r="D23" t="s">
        <v>1068</v>
      </c>
      <c r="E23" t="s">
        <v>1731</v>
      </c>
      <c r="F23" t="s">
        <v>1120</v>
      </c>
      <c r="G23">
        <v>198</v>
      </c>
      <c r="H23" s="215">
        <v>46084</v>
      </c>
      <c r="I23" t="s">
        <v>987</v>
      </c>
      <c r="J23">
        <v>1380</v>
      </c>
      <c r="L23">
        <v>1</v>
      </c>
      <c r="M23">
        <v>0</v>
      </c>
    </row>
    <row r="24" spans="1:13" x14ac:dyDescent="0.25">
      <c r="A24" t="s">
        <v>1159</v>
      </c>
      <c r="B24" t="s">
        <v>1160</v>
      </c>
      <c r="C24" t="s">
        <v>1083</v>
      </c>
      <c r="D24" t="s">
        <v>1068</v>
      </c>
      <c r="E24" t="s">
        <v>1727</v>
      </c>
      <c r="F24" t="s">
        <v>1110</v>
      </c>
      <c r="G24">
        <v>1</v>
      </c>
      <c r="H24" s="215">
        <v>46084</v>
      </c>
      <c r="I24" t="s">
        <v>987</v>
      </c>
      <c r="J24">
        <v>3827</v>
      </c>
      <c r="K24">
        <v>3827</v>
      </c>
      <c r="L24">
        <v>1</v>
      </c>
      <c r="M24">
        <v>1</v>
      </c>
    </row>
    <row r="25" spans="1:13" x14ac:dyDescent="0.25">
      <c r="A25" t="s">
        <v>1124</v>
      </c>
      <c r="B25" t="s">
        <v>1735</v>
      </c>
      <c r="C25" t="s">
        <v>1083</v>
      </c>
      <c r="D25" t="s">
        <v>1068</v>
      </c>
      <c r="E25" t="s">
        <v>1731</v>
      </c>
      <c r="F25" t="s">
        <v>1113</v>
      </c>
      <c r="G25">
        <v>3.72</v>
      </c>
      <c r="H25" s="215">
        <v>46084</v>
      </c>
      <c r="I25" t="s">
        <v>987</v>
      </c>
      <c r="J25">
        <v>189175</v>
      </c>
      <c r="L25">
        <v>1</v>
      </c>
      <c r="M25">
        <v>0</v>
      </c>
    </row>
    <row r="26" spans="1:13" x14ac:dyDescent="0.25">
      <c r="A26" t="s">
        <v>1178</v>
      </c>
      <c r="B26" t="s">
        <v>1179</v>
      </c>
      <c r="C26" t="s">
        <v>1174</v>
      </c>
      <c r="D26" t="s">
        <v>1068</v>
      </c>
      <c r="E26" t="s">
        <v>1762</v>
      </c>
      <c r="F26" t="s">
        <v>1110</v>
      </c>
      <c r="G26">
        <v>320</v>
      </c>
      <c r="H26" s="215">
        <v>46084</v>
      </c>
      <c r="I26" t="s">
        <v>987</v>
      </c>
      <c r="J26">
        <v>11793</v>
      </c>
      <c r="K26">
        <v>11793</v>
      </c>
      <c r="L26">
        <v>1</v>
      </c>
      <c r="M26">
        <v>1</v>
      </c>
    </row>
    <row r="27" spans="1:13" x14ac:dyDescent="0.25">
      <c r="A27" t="s">
        <v>1125</v>
      </c>
      <c r="B27" t="s">
        <v>1736</v>
      </c>
      <c r="C27" t="s">
        <v>1083</v>
      </c>
      <c r="D27" t="s">
        <v>1068</v>
      </c>
      <c r="E27" t="s">
        <v>1731</v>
      </c>
      <c r="F27" t="s">
        <v>1110</v>
      </c>
      <c r="G27">
        <v>37.33</v>
      </c>
      <c r="H27" s="215">
        <v>46084</v>
      </c>
      <c r="I27" t="s">
        <v>987</v>
      </c>
      <c r="J27">
        <v>5750</v>
      </c>
      <c r="L27">
        <v>1</v>
      </c>
      <c r="M27">
        <v>0</v>
      </c>
    </row>
    <row r="28" spans="1:13" x14ac:dyDescent="0.25">
      <c r="A28" t="s">
        <v>1180</v>
      </c>
      <c r="B28" t="s">
        <v>1181</v>
      </c>
      <c r="C28" t="s">
        <v>1174</v>
      </c>
      <c r="D28" t="s">
        <v>1068</v>
      </c>
      <c r="E28" t="s">
        <v>1762</v>
      </c>
      <c r="F28" t="s">
        <v>1110</v>
      </c>
      <c r="G28">
        <v>320</v>
      </c>
      <c r="H28" s="215">
        <v>46084</v>
      </c>
      <c r="I28" t="s">
        <v>987</v>
      </c>
      <c r="J28">
        <v>34552</v>
      </c>
      <c r="K28">
        <v>6100</v>
      </c>
      <c r="L28">
        <v>1</v>
      </c>
      <c r="M28">
        <v>1</v>
      </c>
    </row>
    <row r="29" spans="1:13" x14ac:dyDescent="0.25">
      <c r="A29" t="s">
        <v>1126</v>
      </c>
      <c r="B29" t="s">
        <v>1737</v>
      </c>
      <c r="C29" t="s">
        <v>1083</v>
      </c>
      <c r="D29" t="s">
        <v>1068</v>
      </c>
      <c r="E29" t="s">
        <v>1731</v>
      </c>
      <c r="F29" t="s">
        <v>1120</v>
      </c>
      <c r="G29">
        <v>484</v>
      </c>
      <c r="H29" s="215">
        <v>46084</v>
      </c>
      <c r="I29" t="s">
        <v>987</v>
      </c>
      <c r="J29">
        <v>1380</v>
      </c>
      <c r="L29">
        <v>1</v>
      </c>
      <c r="M29">
        <v>0</v>
      </c>
    </row>
    <row r="30" spans="1:13" x14ac:dyDescent="0.25">
      <c r="A30" t="s">
        <v>1182</v>
      </c>
      <c r="B30" t="s">
        <v>1176</v>
      </c>
      <c r="C30" t="s">
        <v>1174</v>
      </c>
      <c r="D30" t="s">
        <v>1068</v>
      </c>
      <c r="E30" t="s">
        <v>1762</v>
      </c>
      <c r="F30" t="s">
        <v>1177</v>
      </c>
      <c r="G30">
        <v>120</v>
      </c>
      <c r="H30" s="215">
        <v>46084</v>
      </c>
      <c r="I30" t="s">
        <v>987</v>
      </c>
      <c r="J30">
        <v>8641</v>
      </c>
      <c r="K30">
        <v>3050</v>
      </c>
      <c r="L30">
        <v>1</v>
      </c>
      <c r="M30">
        <v>1</v>
      </c>
    </row>
    <row r="31" spans="1:13" x14ac:dyDescent="0.25">
      <c r="A31" t="s">
        <v>1127</v>
      </c>
      <c r="B31" t="s">
        <v>1738</v>
      </c>
      <c r="C31" t="s">
        <v>1083</v>
      </c>
      <c r="D31" t="s">
        <v>1068</v>
      </c>
      <c r="E31" t="s">
        <v>1731</v>
      </c>
      <c r="F31" t="s">
        <v>1113</v>
      </c>
      <c r="G31">
        <v>33.200000000000003</v>
      </c>
      <c r="H31" s="215">
        <v>46084</v>
      </c>
      <c r="I31" t="s">
        <v>987</v>
      </c>
      <c r="J31">
        <v>189175</v>
      </c>
      <c r="L31">
        <v>1</v>
      </c>
      <c r="M31">
        <v>0</v>
      </c>
    </row>
    <row r="32" spans="1:13" x14ac:dyDescent="0.25">
      <c r="A32" t="s">
        <v>1183</v>
      </c>
      <c r="B32" t="s">
        <v>1179</v>
      </c>
      <c r="C32" t="s">
        <v>1174</v>
      </c>
      <c r="D32" t="s">
        <v>1068</v>
      </c>
      <c r="E32" t="s">
        <v>1762</v>
      </c>
      <c r="F32" t="s">
        <v>1110</v>
      </c>
      <c r="G32">
        <v>56.75</v>
      </c>
      <c r="H32" s="215">
        <v>46084</v>
      </c>
      <c r="I32" t="s">
        <v>987</v>
      </c>
      <c r="J32">
        <v>11793</v>
      </c>
      <c r="K32">
        <v>11793</v>
      </c>
      <c r="L32">
        <v>1</v>
      </c>
      <c r="M32">
        <v>1</v>
      </c>
    </row>
    <row r="33" spans="1:13" x14ac:dyDescent="0.25">
      <c r="A33" t="s">
        <v>1183</v>
      </c>
      <c r="B33" t="s">
        <v>1179</v>
      </c>
      <c r="C33" t="s">
        <v>1174</v>
      </c>
      <c r="D33" t="s">
        <v>1068</v>
      </c>
      <c r="E33" t="s">
        <v>1766</v>
      </c>
      <c r="F33" t="s">
        <v>1110</v>
      </c>
      <c r="G33">
        <v>83</v>
      </c>
      <c r="H33" s="215">
        <v>46084</v>
      </c>
      <c r="I33" t="s">
        <v>987</v>
      </c>
      <c r="J33">
        <v>11793</v>
      </c>
      <c r="K33">
        <v>11793</v>
      </c>
      <c r="L33">
        <v>1</v>
      </c>
      <c r="M33">
        <v>1</v>
      </c>
    </row>
    <row r="34" spans="1:13" x14ac:dyDescent="0.25">
      <c r="A34" t="s">
        <v>1183</v>
      </c>
      <c r="B34" t="s">
        <v>1179</v>
      </c>
      <c r="C34" t="s">
        <v>1174</v>
      </c>
      <c r="D34" t="s">
        <v>1070</v>
      </c>
      <c r="E34" t="s">
        <v>1766</v>
      </c>
      <c r="F34" t="s">
        <v>1110</v>
      </c>
      <c r="G34">
        <v>231</v>
      </c>
      <c r="H34" s="215">
        <v>46084</v>
      </c>
      <c r="I34" t="s">
        <v>987</v>
      </c>
      <c r="J34">
        <v>11793</v>
      </c>
      <c r="K34">
        <v>11793</v>
      </c>
      <c r="L34">
        <v>1</v>
      </c>
      <c r="M34">
        <v>1</v>
      </c>
    </row>
    <row r="35" spans="1:13" x14ac:dyDescent="0.25">
      <c r="A35" t="s">
        <v>1129</v>
      </c>
      <c r="B35" t="s">
        <v>1739</v>
      </c>
      <c r="C35" t="s">
        <v>1083</v>
      </c>
      <c r="D35" t="s">
        <v>1068</v>
      </c>
      <c r="E35" t="s">
        <v>1731</v>
      </c>
      <c r="F35" t="s">
        <v>1110</v>
      </c>
      <c r="G35">
        <v>66.8</v>
      </c>
      <c r="H35" s="215">
        <v>46084</v>
      </c>
      <c r="I35" t="s">
        <v>987</v>
      </c>
      <c r="J35">
        <v>5750</v>
      </c>
      <c r="L35">
        <v>1</v>
      </c>
      <c r="M35">
        <v>0</v>
      </c>
    </row>
    <row r="36" spans="1:13" x14ac:dyDescent="0.25">
      <c r="A36" t="s">
        <v>1184</v>
      </c>
      <c r="B36" t="s">
        <v>1185</v>
      </c>
      <c r="C36" t="s">
        <v>1174</v>
      </c>
      <c r="D36" t="s">
        <v>1068</v>
      </c>
      <c r="E36" t="s">
        <v>1762</v>
      </c>
      <c r="F36" t="s">
        <v>1110</v>
      </c>
      <c r="G36">
        <v>56.75</v>
      </c>
      <c r="H36" s="215">
        <v>46084</v>
      </c>
      <c r="I36" t="s">
        <v>987</v>
      </c>
      <c r="J36">
        <v>17276</v>
      </c>
      <c r="K36">
        <v>4575</v>
      </c>
      <c r="L36">
        <v>1</v>
      </c>
      <c r="M36">
        <v>1</v>
      </c>
    </row>
    <row r="37" spans="1:13" x14ac:dyDescent="0.25">
      <c r="A37" t="s">
        <v>1184</v>
      </c>
      <c r="B37" t="s">
        <v>1466</v>
      </c>
      <c r="C37" t="s">
        <v>1174</v>
      </c>
      <c r="D37" t="s">
        <v>1068</v>
      </c>
      <c r="E37" t="s">
        <v>1766</v>
      </c>
      <c r="F37" t="s">
        <v>1110</v>
      </c>
      <c r="G37">
        <v>83</v>
      </c>
      <c r="H37" s="215">
        <v>46084</v>
      </c>
      <c r="I37" t="s">
        <v>987</v>
      </c>
      <c r="J37">
        <v>17276</v>
      </c>
      <c r="K37">
        <v>4575</v>
      </c>
      <c r="L37">
        <v>1</v>
      </c>
      <c r="M37">
        <v>1</v>
      </c>
    </row>
    <row r="38" spans="1:13" x14ac:dyDescent="0.25">
      <c r="A38" t="s">
        <v>1184</v>
      </c>
      <c r="B38" t="s">
        <v>1768</v>
      </c>
      <c r="C38" t="s">
        <v>1174</v>
      </c>
      <c r="D38" t="s">
        <v>1070</v>
      </c>
      <c r="E38" t="s">
        <v>1766</v>
      </c>
      <c r="F38" t="s">
        <v>1110</v>
      </c>
      <c r="G38">
        <v>231</v>
      </c>
      <c r="H38" s="215">
        <v>46084</v>
      </c>
      <c r="I38" t="s">
        <v>987</v>
      </c>
      <c r="J38">
        <v>17276</v>
      </c>
      <c r="K38">
        <v>4575</v>
      </c>
      <c r="L38">
        <v>1</v>
      </c>
      <c r="M38">
        <v>1</v>
      </c>
    </row>
    <row r="39" spans="1:13" x14ac:dyDescent="0.25">
      <c r="A39" t="s">
        <v>1130</v>
      </c>
      <c r="B39" t="s">
        <v>1740</v>
      </c>
      <c r="C39" t="s">
        <v>1083</v>
      </c>
      <c r="D39" t="s">
        <v>1068</v>
      </c>
      <c r="E39" t="s">
        <v>1731</v>
      </c>
      <c r="F39" t="s">
        <v>1120</v>
      </c>
      <c r="G39">
        <v>2324</v>
      </c>
      <c r="H39" s="215">
        <v>46084</v>
      </c>
      <c r="I39" t="s">
        <v>987</v>
      </c>
      <c r="J39">
        <v>1380</v>
      </c>
      <c r="L39">
        <v>1</v>
      </c>
      <c r="M39">
        <v>0</v>
      </c>
    </row>
    <row r="40" spans="1:13" x14ac:dyDescent="0.25">
      <c r="A40" t="s">
        <v>1186</v>
      </c>
      <c r="B40" t="s">
        <v>1176</v>
      </c>
      <c r="C40" t="s">
        <v>1174</v>
      </c>
      <c r="D40" t="s">
        <v>1068</v>
      </c>
      <c r="E40" t="s">
        <v>1762</v>
      </c>
      <c r="F40" t="s">
        <v>1177</v>
      </c>
      <c r="G40">
        <v>36</v>
      </c>
      <c r="H40" s="215">
        <v>46084</v>
      </c>
      <c r="I40" t="s">
        <v>987</v>
      </c>
      <c r="J40">
        <v>8641</v>
      </c>
      <c r="K40">
        <v>3050</v>
      </c>
      <c r="L40">
        <v>1</v>
      </c>
      <c r="M40">
        <v>1</v>
      </c>
    </row>
    <row r="41" spans="1:13" x14ac:dyDescent="0.25">
      <c r="A41" t="s">
        <v>1186</v>
      </c>
      <c r="B41" t="s">
        <v>1176</v>
      </c>
      <c r="C41" t="s">
        <v>1174</v>
      </c>
      <c r="D41" t="s">
        <v>1068</v>
      </c>
      <c r="E41" t="s">
        <v>1766</v>
      </c>
      <c r="F41" t="s">
        <v>1177</v>
      </c>
      <c r="G41">
        <v>11.87</v>
      </c>
      <c r="H41" s="215">
        <v>46084</v>
      </c>
      <c r="I41" t="s">
        <v>987</v>
      </c>
      <c r="J41">
        <v>8641</v>
      </c>
      <c r="K41">
        <v>3050</v>
      </c>
      <c r="L41">
        <v>1</v>
      </c>
      <c r="M41">
        <v>1</v>
      </c>
    </row>
    <row r="42" spans="1:13" x14ac:dyDescent="0.25">
      <c r="A42" t="s">
        <v>1186</v>
      </c>
      <c r="B42" t="s">
        <v>1176</v>
      </c>
      <c r="C42" t="s">
        <v>1174</v>
      </c>
      <c r="D42" t="s">
        <v>1070</v>
      </c>
      <c r="E42" t="s">
        <v>1766</v>
      </c>
      <c r="F42" t="s">
        <v>1177</v>
      </c>
      <c r="G42">
        <v>101.1</v>
      </c>
      <c r="H42" s="215">
        <v>46084</v>
      </c>
      <c r="I42" t="s">
        <v>987</v>
      </c>
      <c r="J42">
        <v>8641</v>
      </c>
      <c r="K42">
        <v>3050</v>
      </c>
      <c r="L42">
        <v>1</v>
      </c>
      <c r="M42">
        <v>1</v>
      </c>
    </row>
    <row r="43" spans="1:13" x14ac:dyDescent="0.25">
      <c r="A43" t="s">
        <v>1187</v>
      </c>
      <c r="B43" t="s">
        <v>1188</v>
      </c>
      <c r="C43" t="s">
        <v>1189</v>
      </c>
      <c r="D43" t="s">
        <v>1068</v>
      </c>
      <c r="E43" t="s">
        <v>1727</v>
      </c>
      <c r="F43" t="s">
        <v>1110</v>
      </c>
      <c r="G43">
        <v>314.58999999999997</v>
      </c>
      <c r="H43" s="215">
        <v>46084</v>
      </c>
      <c r="I43" t="s">
        <v>987</v>
      </c>
      <c r="J43">
        <v>28175</v>
      </c>
      <c r="K43">
        <v>5490</v>
      </c>
      <c r="L43">
        <v>1</v>
      </c>
      <c r="M43">
        <v>1</v>
      </c>
    </row>
    <row r="44" spans="1:13" x14ac:dyDescent="0.25">
      <c r="A44" t="s">
        <v>1187</v>
      </c>
      <c r="B44" t="s">
        <v>1188</v>
      </c>
      <c r="C44" t="s">
        <v>1189</v>
      </c>
      <c r="D44" t="s">
        <v>1068</v>
      </c>
      <c r="E44" t="s">
        <v>1729</v>
      </c>
      <c r="F44" t="s">
        <v>1110</v>
      </c>
      <c r="G44">
        <v>351.33</v>
      </c>
      <c r="H44" s="215">
        <v>46084</v>
      </c>
      <c r="I44" t="s">
        <v>987</v>
      </c>
      <c r="J44">
        <v>28175</v>
      </c>
      <c r="K44">
        <v>5490</v>
      </c>
      <c r="L44">
        <v>1</v>
      </c>
      <c r="M44">
        <v>1</v>
      </c>
    </row>
    <row r="45" spans="1:13" x14ac:dyDescent="0.25">
      <c r="A45" t="s">
        <v>1187</v>
      </c>
      <c r="B45" t="s">
        <v>1188</v>
      </c>
      <c r="C45" t="s">
        <v>1189</v>
      </c>
      <c r="D45" t="s">
        <v>1068</v>
      </c>
      <c r="E45" t="s">
        <v>1730</v>
      </c>
      <c r="F45" t="s">
        <v>1110</v>
      </c>
      <c r="G45">
        <v>278.2</v>
      </c>
      <c r="H45" s="215">
        <v>46084</v>
      </c>
      <c r="I45" t="s">
        <v>987</v>
      </c>
      <c r="J45">
        <v>28175</v>
      </c>
      <c r="K45">
        <v>5490</v>
      </c>
      <c r="L45">
        <v>1</v>
      </c>
      <c r="M45">
        <v>1</v>
      </c>
    </row>
    <row r="46" spans="1:13" x14ac:dyDescent="0.25">
      <c r="A46" t="s">
        <v>1187</v>
      </c>
      <c r="B46" t="s">
        <v>1188</v>
      </c>
      <c r="C46" t="s">
        <v>1189</v>
      </c>
      <c r="D46" t="s">
        <v>1068</v>
      </c>
      <c r="E46" t="s">
        <v>1762</v>
      </c>
      <c r="F46" t="s">
        <v>1110</v>
      </c>
      <c r="G46">
        <v>162.06</v>
      </c>
      <c r="H46" s="215">
        <v>46084</v>
      </c>
      <c r="I46" t="s">
        <v>987</v>
      </c>
      <c r="J46">
        <v>28175</v>
      </c>
      <c r="K46">
        <v>5490</v>
      </c>
      <c r="L46">
        <v>1</v>
      </c>
      <c r="M46">
        <v>1</v>
      </c>
    </row>
    <row r="47" spans="1:13" x14ac:dyDescent="0.25">
      <c r="A47" t="s">
        <v>1187</v>
      </c>
      <c r="B47" t="s">
        <v>1188</v>
      </c>
      <c r="C47" t="s">
        <v>1189</v>
      </c>
      <c r="D47" t="s">
        <v>1068</v>
      </c>
      <c r="E47" t="s">
        <v>1765</v>
      </c>
      <c r="F47" t="s">
        <v>1110</v>
      </c>
      <c r="G47">
        <v>99.33</v>
      </c>
      <c r="H47" s="215">
        <v>46084</v>
      </c>
      <c r="I47" t="s">
        <v>987</v>
      </c>
      <c r="J47">
        <v>28175</v>
      </c>
      <c r="K47">
        <v>5490</v>
      </c>
      <c r="L47">
        <v>1</v>
      </c>
      <c r="M47">
        <v>1</v>
      </c>
    </row>
    <row r="48" spans="1:13" x14ac:dyDescent="0.25">
      <c r="A48" t="s">
        <v>1187</v>
      </c>
      <c r="B48" t="s">
        <v>1188</v>
      </c>
      <c r="C48" t="s">
        <v>1189</v>
      </c>
      <c r="D48" t="s">
        <v>1070</v>
      </c>
      <c r="E48" t="s">
        <v>1727</v>
      </c>
      <c r="F48" t="s">
        <v>1110</v>
      </c>
      <c r="G48">
        <v>87.52</v>
      </c>
      <c r="H48" s="215">
        <v>46084</v>
      </c>
      <c r="I48" t="s">
        <v>987</v>
      </c>
      <c r="J48">
        <v>28175</v>
      </c>
      <c r="K48">
        <v>5490</v>
      </c>
      <c r="L48">
        <v>1</v>
      </c>
      <c r="M48">
        <v>1</v>
      </c>
    </row>
    <row r="49" spans="1:13" x14ac:dyDescent="0.25">
      <c r="A49" t="s">
        <v>1187</v>
      </c>
      <c r="B49" t="s">
        <v>1188</v>
      </c>
      <c r="C49" t="s">
        <v>1189</v>
      </c>
      <c r="D49" t="s">
        <v>1070</v>
      </c>
      <c r="E49" t="s">
        <v>1727</v>
      </c>
      <c r="F49" t="s">
        <v>1110</v>
      </c>
      <c r="G49">
        <v>56.71</v>
      </c>
      <c r="H49" s="215">
        <v>46084</v>
      </c>
      <c r="I49" t="s">
        <v>987</v>
      </c>
      <c r="J49">
        <v>28175</v>
      </c>
      <c r="K49">
        <v>5490</v>
      </c>
      <c r="L49">
        <v>1</v>
      </c>
      <c r="M49">
        <v>1</v>
      </c>
    </row>
    <row r="50" spans="1:13" x14ac:dyDescent="0.25">
      <c r="A50" t="s">
        <v>1187</v>
      </c>
      <c r="B50" t="s">
        <v>1188</v>
      </c>
      <c r="C50" t="s">
        <v>1189</v>
      </c>
      <c r="D50" t="s">
        <v>1070</v>
      </c>
      <c r="E50" t="s">
        <v>1729</v>
      </c>
      <c r="F50" t="s">
        <v>1110</v>
      </c>
      <c r="G50">
        <v>60.7</v>
      </c>
      <c r="H50" s="215">
        <v>46084</v>
      </c>
      <c r="I50" t="s">
        <v>987</v>
      </c>
      <c r="J50">
        <v>28175</v>
      </c>
      <c r="K50">
        <v>5490</v>
      </c>
      <c r="L50">
        <v>1</v>
      </c>
      <c r="M50">
        <v>1</v>
      </c>
    </row>
    <row r="51" spans="1:13" x14ac:dyDescent="0.25">
      <c r="A51" t="s">
        <v>1133</v>
      </c>
      <c r="B51" t="s">
        <v>1741</v>
      </c>
      <c r="C51" t="s">
        <v>1083</v>
      </c>
      <c r="D51" t="s">
        <v>1070</v>
      </c>
      <c r="E51" t="s">
        <v>1731</v>
      </c>
      <c r="F51" t="s">
        <v>1113</v>
      </c>
      <c r="G51">
        <v>30.3</v>
      </c>
      <c r="H51" s="215">
        <v>46084</v>
      </c>
      <c r="I51" t="s">
        <v>987</v>
      </c>
      <c r="J51">
        <v>189175</v>
      </c>
      <c r="L51">
        <v>1</v>
      </c>
      <c r="M51">
        <v>0</v>
      </c>
    </row>
    <row r="52" spans="1:13" x14ac:dyDescent="0.25">
      <c r="A52" t="s">
        <v>1190</v>
      </c>
      <c r="B52" t="s">
        <v>1191</v>
      </c>
      <c r="C52" t="s">
        <v>1189</v>
      </c>
      <c r="D52" t="s">
        <v>1068</v>
      </c>
      <c r="E52" t="s">
        <v>1727</v>
      </c>
      <c r="F52" t="s">
        <v>1110</v>
      </c>
      <c r="G52">
        <v>559</v>
      </c>
      <c r="H52" s="215">
        <v>46084</v>
      </c>
      <c r="I52" t="s">
        <v>987</v>
      </c>
      <c r="J52">
        <v>33925</v>
      </c>
      <c r="K52">
        <v>10065</v>
      </c>
      <c r="L52">
        <v>1</v>
      </c>
      <c r="M52">
        <v>1</v>
      </c>
    </row>
    <row r="53" spans="1:13" x14ac:dyDescent="0.25">
      <c r="A53" t="s">
        <v>1190</v>
      </c>
      <c r="B53" t="s">
        <v>1191</v>
      </c>
      <c r="C53" t="s">
        <v>1189</v>
      </c>
      <c r="D53" t="s">
        <v>1068</v>
      </c>
      <c r="E53" t="s">
        <v>1729</v>
      </c>
      <c r="F53" t="s">
        <v>1110</v>
      </c>
      <c r="G53">
        <v>594</v>
      </c>
      <c r="H53" s="215">
        <v>46084</v>
      </c>
      <c r="I53" t="s">
        <v>987</v>
      </c>
      <c r="J53">
        <v>33925</v>
      </c>
      <c r="K53">
        <v>10065</v>
      </c>
      <c r="L53">
        <v>1</v>
      </c>
      <c r="M53">
        <v>1</v>
      </c>
    </row>
    <row r="54" spans="1:13" x14ac:dyDescent="0.25">
      <c r="A54" t="s">
        <v>1190</v>
      </c>
      <c r="B54" t="s">
        <v>1191</v>
      </c>
      <c r="C54" t="s">
        <v>1189</v>
      </c>
      <c r="D54" t="s">
        <v>1068</v>
      </c>
      <c r="E54" t="s">
        <v>1730</v>
      </c>
      <c r="F54" t="s">
        <v>1110</v>
      </c>
      <c r="G54">
        <v>557</v>
      </c>
      <c r="H54" s="215">
        <v>46084</v>
      </c>
      <c r="I54" t="s">
        <v>987</v>
      </c>
      <c r="J54">
        <v>33925</v>
      </c>
      <c r="K54">
        <v>10065</v>
      </c>
      <c r="L54">
        <v>1</v>
      </c>
      <c r="M54">
        <v>1</v>
      </c>
    </row>
    <row r="55" spans="1:13" x14ac:dyDescent="0.25">
      <c r="A55" t="s">
        <v>1190</v>
      </c>
      <c r="B55" t="s">
        <v>1191</v>
      </c>
      <c r="C55" t="s">
        <v>1189</v>
      </c>
      <c r="D55" t="s">
        <v>1068</v>
      </c>
      <c r="E55" t="s">
        <v>1762</v>
      </c>
      <c r="F55" t="s">
        <v>1110</v>
      </c>
      <c r="G55">
        <v>557</v>
      </c>
      <c r="H55" s="215">
        <v>46084</v>
      </c>
      <c r="I55" t="s">
        <v>987</v>
      </c>
      <c r="J55">
        <v>33925</v>
      </c>
      <c r="K55">
        <v>10065</v>
      </c>
      <c r="L55">
        <v>1</v>
      </c>
      <c r="M55">
        <v>1</v>
      </c>
    </row>
    <row r="56" spans="1:13" x14ac:dyDescent="0.25">
      <c r="A56" t="s">
        <v>1190</v>
      </c>
      <c r="B56" t="s">
        <v>1191</v>
      </c>
      <c r="C56" t="s">
        <v>1189</v>
      </c>
      <c r="D56" t="s">
        <v>1068</v>
      </c>
      <c r="E56" t="s">
        <v>1765</v>
      </c>
      <c r="F56" t="s">
        <v>1110</v>
      </c>
      <c r="G56">
        <v>182</v>
      </c>
      <c r="H56" s="215">
        <v>46084</v>
      </c>
      <c r="I56" t="s">
        <v>987</v>
      </c>
      <c r="J56">
        <v>33925</v>
      </c>
      <c r="K56">
        <v>10065</v>
      </c>
      <c r="L56">
        <v>1</v>
      </c>
      <c r="M56">
        <v>1</v>
      </c>
    </row>
    <row r="57" spans="1:13" x14ac:dyDescent="0.25">
      <c r="A57" t="s">
        <v>1190</v>
      </c>
      <c r="B57" t="s">
        <v>1191</v>
      </c>
      <c r="C57" t="s">
        <v>1189</v>
      </c>
      <c r="D57" t="s">
        <v>1070</v>
      </c>
      <c r="E57" t="s">
        <v>1727</v>
      </c>
      <c r="F57" t="s">
        <v>1110</v>
      </c>
      <c r="G57">
        <v>210</v>
      </c>
      <c r="H57" s="215">
        <v>46084</v>
      </c>
      <c r="I57" t="s">
        <v>987</v>
      </c>
      <c r="J57">
        <v>33925</v>
      </c>
      <c r="K57">
        <v>10065</v>
      </c>
      <c r="L57">
        <v>1</v>
      </c>
      <c r="M57">
        <v>1</v>
      </c>
    </row>
    <row r="58" spans="1:13" x14ac:dyDescent="0.25">
      <c r="A58" t="s">
        <v>1190</v>
      </c>
      <c r="B58" t="s">
        <v>1191</v>
      </c>
      <c r="C58" t="s">
        <v>1189</v>
      </c>
      <c r="D58" t="s">
        <v>1070</v>
      </c>
      <c r="E58" t="s">
        <v>1729</v>
      </c>
      <c r="F58" t="s">
        <v>1110</v>
      </c>
      <c r="G58">
        <v>210</v>
      </c>
      <c r="H58" s="215">
        <v>46084</v>
      </c>
      <c r="I58" t="s">
        <v>987</v>
      </c>
      <c r="J58">
        <v>33925</v>
      </c>
      <c r="K58">
        <v>10065</v>
      </c>
      <c r="L58">
        <v>1</v>
      </c>
      <c r="M58">
        <v>1</v>
      </c>
    </row>
    <row r="59" spans="1:13" x14ac:dyDescent="0.25">
      <c r="A59" t="s">
        <v>1134</v>
      </c>
      <c r="B59" t="s">
        <v>1742</v>
      </c>
      <c r="C59" t="s">
        <v>1083</v>
      </c>
      <c r="D59" t="s">
        <v>1070</v>
      </c>
      <c r="E59" t="s">
        <v>1731</v>
      </c>
      <c r="F59" t="s">
        <v>1110</v>
      </c>
      <c r="G59">
        <v>10.8</v>
      </c>
      <c r="H59" s="215">
        <v>46084</v>
      </c>
      <c r="I59" t="s">
        <v>987</v>
      </c>
      <c r="J59">
        <v>5750</v>
      </c>
      <c r="L59">
        <v>1</v>
      </c>
      <c r="M59">
        <v>0</v>
      </c>
    </row>
    <row r="60" spans="1:13" x14ac:dyDescent="0.25">
      <c r="A60" t="s">
        <v>1192</v>
      </c>
      <c r="B60" t="s">
        <v>1193</v>
      </c>
      <c r="C60" t="s">
        <v>1189</v>
      </c>
      <c r="D60" t="s">
        <v>1068</v>
      </c>
      <c r="E60" t="s">
        <v>1727</v>
      </c>
      <c r="F60" t="s">
        <v>1177</v>
      </c>
      <c r="G60">
        <v>418.68</v>
      </c>
      <c r="H60" s="215">
        <v>46084</v>
      </c>
      <c r="I60" t="s">
        <v>987</v>
      </c>
      <c r="J60">
        <v>5750</v>
      </c>
      <c r="K60">
        <v>2745</v>
      </c>
      <c r="L60">
        <v>1</v>
      </c>
      <c r="M60">
        <v>1</v>
      </c>
    </row>
    <row r="61" spans="1:13" x14ac:dyDescent="0.25">
      <c r="A61" t="s">
        <v>1192</v>
      </c>
      <c r="B61" t="s">
        <v>1193</v>
      </c>
      <c r="C61" t="s">
        <v>1189</v>
      </c>
      <c r="D61" t="s">
        <v>1068</v>
      </c>
      <c r="E61" t="s">
        <v>1729</v>
      </c>
      <c r="F61" t="s">
        <v>1177</v>
      </c>
      <c r="G61">
        <v>494.58</v>
      </c>
      <c r="H61" s="215">
        <v>46084</v>
      </c>
      <c r="I61" t="s">
        <v>987</v>
      </c>
      <c r="J61">
        <v>5750</v>
      </c>
      <c r="K61">
        <v>2745</v>
      </c>
      <c r="L61">
        <v>1</v>
      </c>
      <c r="M61">
        <v>1</v>
      </c>
    </row>
    <row r="62" spans="1:13" x14ac:dyDescent="0.25">
      <c r="A62" t="s">
        <v>1192</v>
      </c>
      <c r="B62" t="s">
        <v>1193</v>
      </c>
      <c r="C62" t="s">
        <v>1189</v>
      </c>
      <c r="D62" t="s">
        <v>1068</v>
      </c>
      <c r="E62" t="s">
        <v>1730</v>
      </c>
      <c r="F62" t="s">
        <v>1177</v>
      </c>
      <c r="G62">
        <v>499.38</v>
      </c>
      <c r="H62" s="215">
        <v>46084</v>
      </c>
      <c r="I62" t="s">
        <v>987</v>
      </c>
      <c r="J62">
        <v>5750</v>
      </c>
      <c r="K62">
        <v>2745</v>
      </c>
      <c r="L62">
        <v>1</v>
      </c>
      <c r="M62">
        <v>1</v>
      </c>
    </row>
    <row r="63" spans="1:13" x14ac:dyDescent="0.25">
      <c r="A63" t="s">
        <v>1192</v>
      </c>
      <c r="B63" t="s">
        <v>1193</v>
      </c>
      <c r="C63" t="s">
        <v>1189</v>
      </c>
      <c r="D63" t="s">
        <v>1068</v>
      </c>
      <c r="E63" t="s">
        <v>1762</v>
      </c>
      <c r="F63" t="s">
        <v>1177</v>
      </c>
      <c r="G63">
        <v>300.82</v>
      </c>
      <c r="H63" s="215">
        <v>46084</v>
      </c>
      <c r="I63" t="s">
        <v>987</v>
      </c>
      <c r="J63">
        <v>5750</v>
      </c>
      <c r="K63">
        <v>2745</v>
      </c>
      <c r="L63">
        <v>1</v>
      </c>
      <c r="M63">
        <v>1</v>
      </c>
    </row>
    <row r="64" spans="1:13" x14ac:dyDescent="0.25">
      <c r="A64" t="s">
        <v>1192</v>
      </c>
      <c r="B64" t="s">
        <v>1193</v>
      </c>
      <c r="C64" t="s">
        <v>1189</v>
      </c>
      <c r="D64" t="s">
        <v>1068</v>
      </c>
      <c r="E64" t="s">
        <v>1765</v>
      </c>
      <c r="F64" t="s">
        <v>1177</v>
      </c>
      <c r="G64">
        <v>172.84</v>
      </c>
      <c r="H64" s="215">
        <v>46084</v>
      </c>
      <c r="I64" t="s">
        <v>987</v>
      </c>
      <c r="J64">
        <v>5750</v>
      </c>
      <c r="K64">
        <v>2745</v>
      </c>
      <c r="L64">
        <v>1</v>
      </c>
      <c r="M64">
        <v>1</v>
      </c>
    </row>
    <row r="65" spans="1:13" x14ac:dyDescent="0.25">
      <c r="A65" t="s">
        <v>1192</v>
      </c>
      <c r="B65" t="s">
        <v>1193</v>
      </c>
      <c r="C65" t="s">
        <v>1189</v>
      </c>
      <c r="D65" t="s">
        <v>1070</v>
      </c>
      <c r="E65" t="s">
        <v>1727</v>
      </c>
      <c r="F65" t="s">
        <v>1177</v>
      </c>
      <c r="G65">
        <v>119.94</v>
      </c>
      <c r="H65" s="215">
        <v>46084</v>
      </c>
      <c r="I65" t="s">
        <v>987</v>
      </c>
      <c r="J65">
        <v>5750</v>
      </c>
      <c r="K65">
        <v>2745</v>
      </c>
      <c r="L65">
        <v>1</v>
      </c>
      <c r="M65">
        <v>1</v>
      </c>
    </row>
    <row r="66" spans="1:13" x14ac:dyDescent="0.25">
      <c r="A66" t="s">
        <v>1192</v>
      </c>
      <c r="B66" t="s">
        <v>1193</v>
      </c>
      <c r="C66" t="s">
        <v>1189</v>
      </c>
      <c r="D66" t="s">
        <v>1070</v>
      </c>
      <c r="E66" t="s">
        <v>1729</v>
      </c>
      <c r="F66" t="s">
        <v>1177</v>
      </c>
      <c r="G66">
        <v>192.38</v>
      </c>
      <c r="H66" s="215">
        <v>46084</v>
      </c>
      <c r="I66" t="s">
        <v>987</v>
      </c>
      <c r="J66">
        <v>5750</v>
      </c>
      <c r="K66">
        <v>2745</v>
      </c>
      <c r="L66">
        <v>1</v>
      </c>
      <c r="M66">
        <v>1</v>
      </c>
    </row>
    <row r="67" spans="1:13" x14ac:dyDescent="0.25">
      <c r="A67" t="s">
        <v>1135</v>
      </c>
      <c r="B67" t="s">
        <v>1743</v>
      </c>
      <c r="C67" t="s">
        <v>1083</v>
      </c>
      <c r="D67" t="s">
        <v>1070</v>
      </c>
      <c r="E67" t="s">
        <v>1731</v>
      </c>
      <c r="F67" t="s">
        <v>1120</v>
      </c>
      <c r="G67">
        <v>1818</v>
      </c>
      <c r="H67" s="215">
        <v>46084</v>
      </c>
      <c r="I67" t="s">
        <v>987</v>
      </c>
      <c r="J67">
        <v>1380</v>
      </c>
      <c r="L67">
        <v>1</v>
      </c>
      <c r="M67">
        <v>0</v>
      </c>
    </row>
    <row r="68" spans="1:13" x14ac:dyDescent="0.25">
      <c r="A68" t="s">
        <v>1194</v>
      </c>
      <c r="B68" t="s">
        <v>1195</v>
      </c>
      <c r="C68" t="s">
        <v>1189</v>
      </c>
      <c r="D68" t="s">
        <v>1070</v>
      </c>
      <c r="E68" t="s">
        <v>1727</v>
      </c>
      <c r="F68" t="s">
        <v>1177</v>
      </c>
      <c r="G68">
        <v>5.19</v>
      </c>
      <c r="H68" s="215">
        <v>46084</v>
      </c>
      <c r="I68" t="s">
        <v>987</v>
      </c>
      <c r="J68">
        <v>517500</v>
      </c>
      <c r="K68">
        <v>42700</v>
      </c>
      <c r="L68">
        <v>1</v>
      </c>
      <c r="M68">
        <v>1</v>
      </c>
    </row>
    <row r="69" spans="1:13" x14ac:dyDescent="0.25">
      <c r="A69" t="s">
        <v>1136</v>
      </c>
      <c r="B69" t="s">
        <v>1744</v>
      </c>
      <c r="C69" t="s">
        <v>1083</v>
      </c>
      <c r="D69" t="s">
        <v>1068</v>
      </c>
      <c r="E69" t="s">
        <v>1727</v>
      </c>
      <c r="F69" t="s">
        <v>1113</v>
      </c>
      <c r="G69">
        <v>2.48</v>
      </c>
      <c r="H69" s="215">
        <v>46084</v>
      </c>
      <c r="I69" t="s">
        <v>987</v>
      </c>
      <c r="J69">
        <v>189175</v>
      </c>
      <c r="L69">
        <v>1</v>
      </c>
      <c r="M69">
        <v>0</v>
      </c>
    </row>
    <row r="70" spans="1:13" x14ac:dyDescent="0.25">
      <c r="A70" t="s">
        <v>1138</v>
      </c>
      <c r="B70" t="s">
        <v>1745</v>
      </c>
      <c r="C70" t="s">
        <v>1083</v>
      </c>
      <c r="D70" t="s">
        <v>1068</v>
      </c>
      <c r="E70" t="s">
        <v>1727</v>
      </c>
      <c r="F70" t="s">
        <v>1110</v>
      </c>
      <c r="G70">
        <v>39.6</v>
      </c>
      <c r="H70" s="215">
        <v>46084</v>
      </c>
      <c r="I70" t="s">
        <v>987</v>
      </c>
      <c r="J70">
        <v>5750</v>
      </c>
      <c r="L70">
        <v>1</v>
      </c>
      <c r="M70">
        <v>0</v>
      </c>
    </row>
    <row r="71" spans="1:13" x14ac:dyDescent="0.25">
      <c r="A71" t="s">
        <v>1139</v>
      </c>
      <c r="B71" t="s">
        <v>1746</v>
      </c>
      <c r="C71" t="s">
        <v>1083</v>
      </c>
      <c r="D71" t="s">
        <v>1068</v>
      </c>
      <c r="E71" t="s">
        <v>1727</v>
      </c>
      <c r="F71" t="s">
        <v>1120</v>
      </c>
      <c r="G71">
        <v>297.60000000000002</v>
      </c>
      <c r="H71" s="215">
        <v>46084</v>
      </c>
      <c r="I71" t="s">
        <v>987</v>
      </c>
      <c r="J71">
        <v>1380</v>
      </c>
      <c r="L71">
        <v>1</v>
      </c>
      <c r="M71">
        <v>0</v>
      </c>
    </row>
    <row r="72" spans="1:13" x14ac:dyDescent="0.25">
      <c r="A72" t="s">
        <v>1140</v>
      </c>
      <c r="B72" t="s">
        <v>1747</v>
      </c>
      <c r="C72" t="s">
        <v>1083</v>
      </c>
      <c r="D72" t="s">
        <v>1068</v>
      </c>
      <c r="E72" t="s">
        <v>1727</v>
      </c>
      <c r="F72" t="s">
        <v>1113</v>
      </c>
      <c r="G72">
        <v>3.72</v>
      </c>
      <c r="H72" s="215">
        <v>46084</v>
      </c>
      <c r="I72" t="s">
        <v>987</v>
      </c>
      <c r="J72">
        <v>189175</v>
      </c>
      <c r="L72">
        <v>1</v>
      </c>
      <c r="M72">
        <v>0</v>
      </c>
    </row>
    <row r="73" spans="1:13" x14ac:dyDescent="0.25">
      <c r="A73" t="s">
        <v>1141</v>
      </c>
      <c r="B73" t="s">
        <v>1748</v>
      </c>
      <c r="C73" t="s">
        <v>1083</v>
      </c>
      <c r="D73" t="s">
        <v>1068</v>
      </c>
      <c r="E73" t="s">
        <v>1727</v>
      </c>
      <c r="F73" t="s">
        <v>1110</v>
      </c>
      <c r="G73">
        <v>46.46</v>
      </c>
      <c r="H73" s="215">
        <v>46084</v>
      </c>
      <c r="I73" t="s">
        <v>987</v>
      </c>
      <c r="J73">
        <v>5750</v>
      </c>
      <c r="L73">
        <v>1</v>
      </c>
      <c r="M73">
        <v>0</v>
      </c>
    </row>
    <row r="74" spans="1:13" x14ac:dyDescent="0.25">
      <c r="A74" t="s">
        <v>1142</v>
      </c>
      <c r="B74" t="s">
        <v>1749</v>
      </c>
      <c r="C74" t="s">
        <v>1083</v>
      </c>
      <c r="D74" t="s">
        <v>1068</v>
      </c>
      <c r="E74" t="s">
        <v>1727</v>
      </c>
      <c r="F74" t="s">
        <v>1120</v>
      </c>
      <c r="G74">
        <v>483.6</v>
      </c>
      <c r="H74" s="215">
        <v>46084</v>
      </c>
      <c r="I74" t="s">
        <v>987</v>
      </c>
      <c r="J74">
        <v>1380</v>
      </c>
      <c r="L74">
        <v>1</v>
      </c>
      <c r="M74">
        <v>0</v>
      </c>
    </row>
    <row r="75" spans="1:13" x14ac:dyDescent="0.25">
      <c r="A75" t="s">
        <v>1143</v>
      </c>
      <c r="B75" t="s">
        <v>1750</v>
      </c>
      <c r="C75" t="s">
        <v>1083</v>
      </c>
      <c r="D75" t="s">
        <v>1068</v>
      </c>
      <c r="E75" t="s">
        <v>1727</v>
      </c>
      <c r="F75" t="s">
        <v>1113</v>
      </c>
      <c r="G75">
        <v>5.31</v>
      </c>
      <c r="H75" s="215">
        <v>46084</v>
      </c>
      <c r="I75" t="s">
        <v>987</v>
      </c>
      <c r="J75">
        <v>189175</v>
      </c>
      <c r="L75">
        <v>1</v>
      </c>
      <c r="M75">
        <v>0</v>
      </c>
    </row>
    <row r="76" spans="1:13" x14ac:dyDescent="0.25">
      <c r="A76" t="s">
        <v>1145</v>
      </c>
      <c r="B76" t="s">
        <v>1751</v>
      </c>
      <c r="C76" t="s">
        <v>1083</v>
      </c>
      <c r="D76" t="s">
        <v>1068</v>
      </c>
      <c r="E76" t="s">
        <v>1727</v>
      </c>
      <c r="F76" t="s">
        <v>1110</v>
      </c>
      <c r="G76">
        <v>79.63</v>
      </c>
      <c r="H76" s="215">
        <v>46084</v>
      </c>
      <c r="I76" t="s">
        <v>987</v>
      </c>
      <c r="J76">
        <v>5750</v>
      </c>
      <c r="L76">
        <v>1</v>
      </c>
      <c r="M76">
        <v>0</v>
      </c>
    </row>
    <row r="77" spans="1:13" x14ac:dyDescent="0.25">
      <c r="A77" t="s">
        <v>1146</v>
      </c>
      <c r="B77" t="s">
        <v>1752</v>
      </c>
      <c r="C77" t="s">
        <v>1083</v>
      </c>
      <c r="D77" t="s">
        <v>1068</v>
      </c>
      <c r="E77" t="s">
        <v>1727</v>
      </c>
      <c r="F77" t="s">
        <v>1120</v>
      </c>
      <c r="G77">
        <v>1113.5999999999999</v>
      </c>
      <c r="H77" s="215">
        <v>46084</v>
      </c>
      <c r="I77" t="s">
        <v>987</v>
      </c>
      <c r="J77">
        <v>1380</v>
      </c>
      <c r="L77">
        <v>1</v>
      </c>
      <c r="M77">
        <v>0</v>
      </c>
    </row>
    <row r="78" spans="1:13" x14ac:dyDescent="0.25">
      <c r="A78" t="s">
        <v>1147</v>
      </c>
      <c r="B78" t="s">
        <v>1753</v>
      </c>
      <c r="C78" t="s">
        <v>1083</v>
      </c>
      <c r="D78" t="s">
        <v>1068</v>
      </c>
      <c r="E78" t="s">
        <v>1727</v>
      </c>
      <c r="F78" t="s">
        <v>1113</v>
      </c>
      <c r="G78">
        <v>4.74</v>
      </c>
      <c r="H78" s="215">
        <v>46084</v>
      </c>
      <c r="I78" t="s">
        <v>987</v>
      </c>
      <c r="J78">
        <v>189175</v>
      </c>
      <c r="L78">
        <v>1</v>
      </c>
      <c r="M78">
        <v>0</v>
      </c>
    </row>
    <row r="79" spans="1:13" x14ac:dyDescent="0.25">
      <c r="A79" t="s">
        <v>1148</v>
      </c>
      <c r="B79" t="s">
        <v>1754</v>
      </c>
      <c r="C79" t="s">
        <v>1083</v>
      </c>
      <c r="D79" t="s">
        <v>1068</v>
      </c>
      <c r="E79" t="s">
        <v>1727</v>
      </c>
      <c r="F79" t="s">
        <v>1110</v>
      </c>
      <c r="G79">
        <v>71.099999999999994</v>
      </c>
      <c r="H79" s="215">
        <v>46084</v>
      </c>
      <c r="I79" t="s">
        <v>987</v>
      </c>
      <c r="J79">
        <v>5750</v>
      </c>
      <c r="L79">
        <v>1</v>
      </c>
      <c r="M79">
        <v>0</v>
      </c>
    </row>
    <row r="80" spans="1:13" x14ac:dyDescent="0.25">
      <c r="A80" t="s">
        <v>1149</v>
      </c>
      <c r="B80" t="s">
        <v>1755</v>
      </c>
      <c r="C80" t="s">
        <v>1083</v>
      </c>
      <c r="D80" t="s">
        <v>1068</v>
      </c>
      <c r="E80" t="s">
        <v>1727</v>
      </c>
      <c r="F80" t="s">
        <v>1120</v>
      </c>
      <c r="G80">
        <v>331.8</v>
      </c>
      <c r="H80" s="215">
        <v>46084</v>
      </c>
      <c r="I80" t="s">
        <v>987</v>
      </c>
      <c r="J80">
        <v>1380</v>
      </c>
      <c r="L80">
        <v>1</v>
      </c>
      <c r="M80">
        <v>0</v>
      </c>
    </row>
    <row r="81" spans="1:13" x14ac:dyDescent="0.25">
      <c r="A81" t="s">
        <v>1150</v>
      </c>
      <c r="B81" t="s">
        <v>1756</v>
      </c>
      <c r="C81" t="s">
        <v>1083</v>
      </c>
      <c r="D81" t="s">
        <v>1068</v>
      </c>
      <c r="E81" t="s">
        <v>1727</v>
      </c>
      <c r="F81" t="s">
        <v>1113</v>
      </c>
      <c r="G81">
        <v>9.2799999999999994</v>
      </c>
      <c r="H81" s="215">
        <v>46084</v>
      </c>
      <c r="I81" t="s">
        <v>987</v>
      </c>
      <c r="J81">
        <v>189175</v>
      </c>
      <c r="L81">
        <v>1</v>
      </c>
      <c r="M81">
        <v>0</v>
      </c>
    </row>
    <row r="82" spans="1:13" x14ac:dyDescent="0.25">
      <c r="A82" t="s">
        <v>1151</v>
      </c>
      <c r="B82" t="s">
        <v>1757</v>
      </c>
      <c r="C82" t="s">
        <v>1083</v>
      </c>
      <c r="D82" t="s">
        <v>1068</v>
      </c>
      <c r="E82" t="s">
        <v>1727</v>
      </c>
      <c r="F82" t="s">
        <v>1110</v>
      </c>
      <c r="G82">
        <v>51.33</v>
      </c>
      <c r="H82" s="215">
        <v>46084</v>
      </c>
      <c r="I82" t="s">
        <v>987</v>
      </c>
      <c r="J82">
        <v>14231</v>
      </c>
      <c r="L82">
        <v>1</v>
      </c>
      <c r="M82">
        <v>0</v>
      </c>
    </row>
    <row r="83" spans="1:13" x14ac:dyDescent="0.25">
      <c r="A83" t="s">
        <v>1153</v>
      </c>
      <c r="B83" t="s">
        <v>1758</v>
      </c>
      <c r="C83" t="s">
        <v>1083</v>
      </c>
      <c r="D83" t="s">
        <v>1068</v>
      </c>
      <c r="E83" t="s">
        <v>1727</v>
      </c>
      <c r="F83" t="s">
        <v>1120</v>
      </c>
      <c r="G83">
        <v>1113.5999999999999</v>
      </c>
      <c r="H83" s="215">
        <v>46084</v>
      </c>
      <c r="I83" t="s">
        <v>987</v>
      </c>
      <c r="J83">
        <v>5750</v>
      </c>
      <c r="L83">
        <v>1</v>
      </c>
      <c r="M83">
        <v>0</v>
      </c>
    </row>
    <row r="84" spans="1:13" x14ac:dyDescent="0.25">
      <c r="A84" t="s">
        <v>1154</v>
      </c>
      <c r="B84" t="s">
        <v>1758</v>
      </c>
      <c r="C84" t="s">
        <v>1083</v>
      </c>
      <c r="D84" t="s">
        <v>1068</v>
      </c>
      <c r="E84" t="s">
        <v>1727</v>
      </c>
      <c r="F84" t="s">
        <v>1120</v>
      </c>
      <c r="G84">
        <v>1113.5999999999999</v>
      </c>
      <c r="H84" s="215">
        <v>46084</v>
      </c>
      <c r="I84" t="s">
        <v>987</v>
      </c>
      <c r="J84">
        <v>1380</v>
      </c>
      <c r="L84">
        <v>1</v>
      </c>
      <c r="M84">
        <v>0</v>
      </c>
    </row>
    <row r="85" spans="1:13" x14ac:dyDescent="0.25">
      <c r="A85" t="s">
        <v>1161</v>
      </c>
      <c r="B85" t="s">
        <v>1162</v>
      </c>
      <c r="C85" t="s">
        <v>1083</v>
      </c>
      <c r="D85" t="s">
        <v>1068</v>
      </c>
      <c r="E85" t="s">
        <v>1727</v>
      </c>
      <c r="F85" t="s">
        <v>1084</v>
      </c>
      <c r="G85">
        <v>1</v>
      </c>
      <c r="H85" s="215">
        <v>46084</v>
      </c>
      <c r="I85" t="s">
        <v>987</v>
      </c>
      <c r="J85">
        <v>1</v>
      </c>
      <c r="L85">
        <v>1</v>
      </c>
      <c r="M85">
        <v>0</v>
      </c>
    </row>
    <row r="86" spans="1:13" x14ac:dyDescent="0.25">
      <c r="A86" t="s">
        <v>1163</v>
      </c>
      <c r="B86" t="s">
        <v>1164</v>
      </c>
      <c r="C86" t="s">
        <v>1083</v>
      </c>
      <c r="D86" t="s">
        <v>1068</v>
      </c>
      <c r="E86" t="s">
        <v>1727</v>
      </c>
      <c r="F86" t="s">
        <v>1084</v>
      </c>
      <c r="G86">
        <v>1</v>
      </c>
      <c r="H86" s="215">
        <v>46084</v>
      </c>
      <c r="I86" t="s">
        <v>987</v>
      </c>
      <c r="J86">
        <v>1</v>
      </c>
      <c r="L86">
        <v>1</v>
      </c>
      <c r="M86">
        <v>0</v>
      </c>
    </row>
    <row r="87" spans="1:13" x14ac:dyDescent="0.25">
      <c r="A87" t="s">
        <v>1165</v>
      </c>
      <c r="B87" t="s">
        <v>1759</v>
      </c>
      <c r="C87" t="s">
        <v>1083</v>
      </c>
      <c r="D87" t="s">
        <v>1068</v>
      </c>
      <c r="E87" t="s">
        <v>1727</v>
      </c>
      <c r="F87" t="s">
        <v>1113</v>
      </c>
      <c r="G87">
        <v>1</v>
      </c>
      <c r="H87" s="215">
        <v>46084</v>
      </c>
      <c r="I87" t="s">
        <v>987</v>
      </c>
      <c r="J87">
        <v>189175</v>
      </c>
      <c r="L87">
        <v>1</v>
      </c>
      <c r="M87">
        <v>0</v>
      </c>
    </row>
    <row r="88" spans="1:13" x14ac:dyDescent="0.25">
      <c r="A88" t="s">
        <v>1166</v>
      </c>
      <c r="B88" t="s">
        <v>1760</v>
      </c>
      <c r="C88" t="s">
        <v>1083</v>
      </c>
      <c r="D88" t="s">
        <v>1068</v>
      </c>
      <c r="E88" t="s">
        <v>1727</v>
      </c>
      <c r="F88" t="s">
        <v>1110</v>
      </c>
      <c r="G88">
        <v>1</v>
      </c>
      <c r="H88" s="215">
        <v>46084</v>
      </c>
      <c r="I88" t="s">
        <v>987</v>
      </c>
      <c r="J88">
        <v>5750</v>
      </c>
      <c r="L88">
        <v>1</v>
      </c>
      <c r="M88">
        <v>0</v>
      </c>
    </row>
    <row r="89" spans="1:13" x14ac:dyDescent="0.25">
      <c r="A89" t="s">
        <v>1167</v>
      </c>
      <c r="B89" t="s">
        <v>1761</v>
      </c>
      <c r="C89" t="s">
        <v>1083</v>
      </c>
      <c r="D89" t="s">
        <v>1068</v>
      </c>
      <c r="E89" t="s">
        <v>1762</v>
      </c>
      <c r="F89" t="s">
        <v>1113</v>
      </c>
      <c r="G89">
        <v>21.9</v>
      </c>
      <c r="H89" s="215">
        <v>46084</v>
      </c>
      <c r="I89" t="s">
        <v>987</v>
      </c>
      <c r="J89">
        <v>189175</v>
      </c>
      <c r="L89">
        <v>1</v>
      </c>
      <c r="M89">
        <v>0</v>
      </c>
    </row>
    <row r="90" spans="1:13" x14ac:dyDescent="0.25">
      <c r="A90" t="s">
        <v>1168</v>
      </c>
      <c r="B90" t="s">
        <v>1763</v>
      </c>
      <c r="C90" t="s">
        <v>1083</v>
      </c>
      <c r="D90" t="s">
        <v>1068</v>
      </c>
      <c r="E90" t="s">
        <v>1762</v>
      </c>
      <c r="F90" t="s">
        <v>1110</v>
      </c>
      <c r="G90">
        <v>101.18</v>
      </c>
      <c r="H90" s="215">
        <v>46084</v>
      </c>
      <c r="I90" t="s">
        <v>987</v>
      </c>
      <c r="J90">
        <v>5750</v>
      </c>
      <c r="L90">
        <v>1</v>
      </c>
      <c r="M90">
        <v>0</v>
      </c>
    </row>
    <row r="91" spans="1:13" x14ac:dyDescent="0.25">
      <c r="A91" t="s">
        <v>1169</v>
      </c>
      <c r="B91" t="s">
        <v>1764</v>
      </c>
      <c r="C91" t="s">
        <v>1083</v>
      </c>
      <c r="D91" t="s">
        <v>1068</v>
      </c>
      <c r="E91" t="s">
        <v>1762</v>
      </c>
      <c r="F91" t="s">
        <v>1120</v>
      </c>
      <c r="G91">
        <v>2628</v>
      </c>
      <c r="H91" s="215">
        <v>46084</v>
      </c>
      <c r="I91" t="s">
        <v>987</v>
      </c>
      <c r="J91">
        <v>1380</v>
      </c>
      <c r="L91">
        <v>1</v>
      </c>
      <c r="M91">
        <v>0</v>
      </c>
    </row>
    <row r="92" spans="1:13" x14ac:dyDescent="0.25">
      <c r="A92" t="s">
        <v>1170</v>
      </c>
      <c r="B92" t="s">
        <v>1171</v>
      </c>
      <c r="C92" t="s">
        <v>1083</v>
      </c>
      <c r="D92" t="s">
        <v>1068</v>
      </c>
      <c r="E92" t="s">
        <v>1762</v>
      </c>
      <c r="F92" t="s">
        <v>1084</v>
      </c>
      <c r="G92">
        <v>1</v>
      </c>
      <c r="H92" s="215">
        <v>46084</v>
      </c>
      <c r="I92" t="s">
        <v>987</v>
      </c>
      <c r="J92">
        <v>2344172</v>
      </c>
      <c r="L92">
        <v>1</v>
      </c>
      <c r="M92">
        <v>0</v>
      </c>
    </row>
    <row r="93" spans="1:13" x14ac:dyDescent="0.25">
      <c r="A93" t="s">
        <v>1172</v>
      </c>
      <c r="B93" t="s">
        <v>1173</v>
      </c>
      <c r="C93" t="s">
        <v>1174</v>
      </c>
      <c r="D93" t="s">
        <v>1068</v>
      </c>
      <c r="E93" t="s">
        <v>1729</v>
      </c>
      <c r="F93" t="s">
        <v>1110</v>
      </c>
      <c r="G93">
        <v>107.66</v>
      </c>
      <c r="H93" s="215">
        <v>46084</v>
      </c>
      <c r="I93" t="s">
        <v>987</v>
      </c>
      <c r="J93">
        <v>17276</v>
      </c>
      <c r="L93">
        <v>1</v>
      </c>
      <c r="M93">
        <v>0</v>
      </c>
    </row>
    <row r="94" spans="1:13" x14ac:dyDescent="0.25">
      <c r="A94" t="s">
        <v>1172</v>
      </c>
      <c r="B94" t="s">
        <v>1173</v>
      </c>
      <c r="C94" t="s">
        <v>1174</v>
      </c>
      <c r="D94" t="s">
        <v>1068</v>
      </c>
      <c r="E94" t="s">
        <v>1730</v>
      </c>
      <c r="F94" t="s">
        <v>1110</v>
      </c>
      <c r="G94">
        <v>99.69</v>
      </c>
      <c r="H94" s="215">
        <v>46084</v>
      </c>
      <c r="I94" t="s">
        <v>987</v>
      </c>
      <c r="J94">
        <v>17276</v>
      </c>
      <c r="L94">
        <v>1</v>
      </c>
      <c r="M94">
        <v>0</v>
      </c>
    </row>
    <row r="95" spans="1:13" x14ac:dyDescent="0.25">
      <c r="A95" t="s">
        <v>1172</v>
      </c>
      <c r="B95" t="s">
        <v>1173</v>
      </c>
      <c r="C95" t="s">
        <v>1174</v>
      </c>
      <c r="D95" t="s">
        <v>1068</v>
      </c>
      <c r="E95" t="s">
        <v>1762</v>
      </c>
      <c r="F95" t="s">
        <v>1110</v>
      </c>
      <c r="G95">
        <v>24.95</v>
      </c>
      <c r="H95" s="215">
        <v>46084</v>
      </c>
      <c r="I95" t="s">
        <v>987</v>
      </c>
      <c r="J95">
        <v>17276</v>
      </c>
      <c r="L95">
        <v>1</v>
      </c>
      <c r="M95">
        <v>0</v>
      </c>
    </row>
    <row r="96" spans="1:13" x14ac:dyDescent="0.25">
      <c r="A96" t="s">
        <v>1172</v>
      </c>
      <c r="B96" t="s">
        <v>1173</v>
      </c>
      <c r="C96" t="s">
        <v>1174</v>
      </c>
      <c r="D96" t="s">
        <v>1068</v>
      </c>
      <c r="E96" t="s">
        <v>1765</v>
      </c>
      <c r="F96" t="s">
        <v>1110</v>
      </c>
      <c r="G96">
        <v>55.52</v>
      </c>
      <c r="H96" s="215">
        <v>46084</v>
      </c>
      <c r="I96" t="s">
        <v>987</v>
      </c>
      <c r="J96">
        <v>17276</v>
      </c>
      <c r="L96">
        <v>1</v>
      </c>
      <c r="M96">
        <v>0</v>
      </c>
    </row>
    <row r="97" spans="1:13" x14ac:dyDescent="0.25">
      <c r="A97" t="s">
        <v>1172</v>
      </c>
      <c r="B97" t="s">
        <v>1767</v>
      </c>
      <c r="C97" t="s">
        <v>1174</v>
      </c>
      <c r="D97" t="s">
        <v>1070</v>
      </c>
      <c r="E97" t="s">
        <v>1729</v>
      </c>
      <c r="F97" t="s">
        <v>1110</v>
      </c>
      <c r="G97">
        <v>61.54</v>
      </c>
      <c r="H97" s="215">
        <v>46084</v>
      </c>
      <c r="I97" t="s">
        <v>987</v>
      </c>
      <c r="J97">
        <v>17276</v>
      </c>
      <c r="L97">
        <v>1</v>
      </c>
      <c r="M97">
        <v>0</v>
      </c>
    </row>
    <row r="98" spans="1:13" x14ac:dyDescent="0.25">
      <c r="A98" t="s">
        <v>1175</v>
      </c>
      <c r="B98" t="s">
        <v>1176</v>
      </c>
      <c r="C98" t="s">
        <v>1174</v>
      </c>
      <c r="D98" t="s">
        <v>1068</v>
      </c>
      <c r="E98" t="s">
        <v>1729</v>
      </c>
      <c r="F98" t="s">
        <v>1177</v>
      </c>
      <c r="G98">
        <v>182.88</v>
      </c>
      <c r="H98" s="215">
        <v>46084</v>
      </c>
      <c r="I98" t="s">
        <v>987</v>
      </c>
      <c r="J98">
        <v>8641</v>
      </c>
      <c r="L98">
        <v>1</v>
      </c>
      <c r="M98">
        <v>0</v>
      </c>
    </row>
    <row r="99" spans="1:13" x14ac:dyDescent="0.25">
      <c r="A99" t="s">
        <v>1175</v>
      </c>
      <c r="B99" t="s">
        <v>1176</v>
      </c>
      <c r="C99" t="s">
        <v>1174</v>
      </c>
      <c r="D99" t="s">
        <v>1068</v>
      </c>
      <c r="E99" t="s">
        <v>1730</v>
      </c>
      <c r="F99" t="s">
        <v>1177</v>
      </c>
      <c r="G99">
        <v>159.12</v>
      </c>
      <c r="H99" s="215">
        <v>46084</v>
      </c>
      <c r="I99" t="s">
        <v>987</v>
      </c>
      <c r="J99">
        <v>8641</v>
      </c>
      <c r="L99">
        <v>1</v>
      </c>
      <c r="M99">
        <v>0</v>
      </c>
    </row>
    <row r="100" spans="1:13" x14ac:dyDescent="0.25">
      <c r="A100" t="s">
        <v>1175</v>
      </c>
      <c r="B100" t="s">
        <v>1176</v>
      </c>
      <c r="C100" t="s">
        <v>1174</v>
      </c>
      <c r="D100" t="s">
        <v>1068</v>
      </c>
      <c r="E100" t="s">
        <v>1762</v>
      </c>
      <c r="F100" t="s">
        <v>1177</v>
      </c>
      <c r="G100">
        <v>56.14</v>
      </c>
      <c r="H100" s="215">
        <v>46084</v>
      </c>
      <c r="I100" t="s">
        <v>987</v>
      </c>
      <c r="J100">
        <v>8641</v>
      </c>
      <c r="L100">
        <v>1</v>
      </c>
      <c r="M100">
        <v>0</v>
      </c>
    </row>
    <row r="101" spans="1:13" x14ac:dyDescent="0.25">
      <c r="A101" t="s">
        <v>1175</v>
      </c>
      <c r="B101" t="s">
        <v>1176</v>
      </c>
      <c r="C101" t="s">
        <v>1174</v>
      </c>
      <c r="D101" t="s">
        <v>1068</v>
      </c>
      <c r="E101" t="s">
        <v>1765</v>
      </c>
      <c r="F101" t="s">
        <v>1177</v>
      </c>
      <c r="G101">
        <v>89.96</v>
      </c>
      <c r="H101" s="215">
        <v>46084</v>
      </c>
      <c r="I101" t="s">
        <v>987</v>
      </c>
      <c r="J101">
        <v>8641</v>
      </c>
      <c r="L101">
        <v>1</v>
      </c>
      <c r="M101">
        <v>0</v>
      </c>
    </row>
    <row r="102" spans="1:13" x14ac:dyDescent="0.25">
      <c r="A102" t="s">
        <v>1175</v>
      </c>
      <c r="B102" t="s">
        <v>1176</v>
      </c>
      <c r="C102" t="s">
        <v>1174</v>
      </c>
      <c r="D102" t="s">
        <v>1070</v>
      </c>
      <c r="E102" t="s">
        <v>1729</v>
      </c>
      <c r="F102" t="s">
        <v>1177</v>
      </c>
      <c r="G102">
        <v>77.72</v>
      </c>
      <c r="H102" s="215">
        <v>46084</v>
      </c>
      <c r="I102" t="s">
        <v>987</v>
      </c>
      <c r="J102">
        <v>8641</v>
      </c>
      <c r="L102">
        <v>1</v>
      </c>
      <c r="M102">
        <v>0</v>
      </c>
    </row>
    <row r="103" spans="1:13" x14ac:dyDescent="0.25">
      <c r="A103" t="s">
        <v>1196</v>
      </c>
      <c r="B103" t="s">
        <v>1769</v>
      </c>
      <c r="C103" t="s">
        <v>1198</v>
      </c>
      <c r="D103" t="s">
        <v>1068</v>
      </c>
      <c r="E103" t="s">
        <v>1727</v>
      </c>
      <c r="F103" t="s">
        <v>1110</v>
      </c>
      <c r="G103">
        <v>46.38</v>
      </c>
      <c r="H103" s="215">
        <v>46084</v>
      </c>
      <c r="I103" t="s">
        <v>987</v>
      </c>
      <c r="J103">
        <v>138000</v>
      </c>
      <c r="K103">
        <v>35075</v>
      </c>
      <c r="L103">
        <v>1</v>
      </c>
      <c r="M103">
        <v>1</v>
      </c>
    </row>
    <row r="104" spans="1:13" x14ac:dyDescent="0.25">
      <c r="A104" t="s">
        <v>1196</v>
      </c>
      <c r="B104" t="s">
        <v>1770</v>
      </c>
      <c r="C104" t="s">
        <v>1198</v>
      </c>
      <c r="D104" t="s">
        <v>1068</v>
      </c>
      <c r="E104" t="s">
        <v>1727</v>
      </c>
      <c r="F104" t="s">
        <v>1110</v>
      </c>
      <c r="G104">
        <v>5.32</v>
      </c>
      <c r="H104" s="215">
        <v>46084</v>
      </c>
      <c r="I104" t="s">
        <v>987</v>
      </c>
      <c r="J104">
        <v>138000</v>
      </c>
      <c r="K104">
        <v>35075</v>
      </c>
      <c r="L104">
        <v>1</v>
      </c>
      <c r="M104">
        <v>1</v>
      </c>
    </row>
    <row r="105" spans="1:13" x14ac:dyDescent="0.25">
      <c r="A105" t="s">
        <v>1196</v>
      </c>
      <c r="B105" t="s">
        <v>1771</v>
      </c>
      <c r="C105" t="s">
        <v>1198</v>
      </c>
      <c r="D105" t="s">
        <v>1068</v>
      </c>
      <c r="E105" t="s">
        <v>1727</v>
      </c>
      <c r="F105" t="s">
        <v>1110</v>
      </c>
      <c r="G105">
        <v>12</v>
      </c>
      <c r="H105" s="215">
        <v>46084</v>
      </c>
      <c r="I105" t="s">
        <v>987</v>
      </c>
      <c r="J105">
        <v>138000</v>
      </c>
      <c r="K105">
        <v>35075</v>
      </c>
      <c r="L105">
        <v>1</v>
      </c>
      <c r="M105">
        <v>1</v>
      </c>
    </row>
    <row r="106" spans="1:13" x14ac:dyDescent="0.25">
      <c r="A106" t="s">
        <v>1196</v>
      </c>
      <c r="B106" t="s">
        <v>1772</v>
      </c>
      <c r="C106" t="s">
        <v>1198</v>
      </c>
      <c r="D106" t="s">
        <v>1068</v>
      </c>
      <c r="E106" t="s">
        <v>1727</v>
      </c>
      <c r="F106" t="s">
        <v>1110</v>
      </c>
      <c r="G106">
        <v>3.36</v>
      </c>
      <c r="H106" s="215">
        <v>46084</v>
      </c>
      <c r="I106" t="s">
        <v>987</v>
      </c>
      <c r="J106">
        <v>138000</v>
      </c>
      <c r="K106">
        <v>35075</v>
      </c>
      <c r="L106">
        <v>1</v>
      </c>
      <c r="M106">
        <v>1</v>
      </c>
    </row>
    <row r="107" spans="1:13" x14ac:dyDescent="0.25">
      <c r="A107" t="s">
        <v>1196</v>
      </c>
      <c r="B107" t="s">
        <v>1773</v>
      </c>
      <c r="C107" t="s">
        <v>1198</v>
      </c>
      <c r="D107" t="s">
        <v>1068</v>
      </c>
      <c r="E107" t="s">
        <v>1727</v>
      </c>
      <c r="F107" t="s">
        <v>1110</v>
      </c>
      <c r="G107">
        <v>1.92</v>
      </c>
      <c r="H107" s="215">
        <v>46084</v>
      </c>
      <c r="I107" t="s">
        <v>987</v>
      </c>
      <c r="J107">
        <v>138000</v>
      </c>
      <c r="K107">
        <v>35075</v>
      </c>
      <c r="L107">
        <v>1</v>
      </c>
      <c r="M107">
        <v>1</v>
      </c>
    </row>
    <row r="108" spans="1:13" x14ac:dyDescent="0.25">
      <c r="A108" t="s">
        <v>1196</v>
      </c>
      <c r="B108" t="s">
        <v>1774</v>
      </c>
      <c r="C108" t="s">
        <v>1198</v>
      </c>
      <c r="D108" t="s">
        <v>1068</v>
      </c>
      <c r="E108" t="s">
        <v>1727</v>
      </c>
      <c r="F108" t="s">
        <v>1110</v>
      </c>
      <c r="G108">
        <v>1.2</v>
      </c>
      <c r="H108" s="215">
        <v>46084</v>
      </c>
      <c r="I108" t="s">
        <v>987</v>
      </c>
      <c r="J108">
        <v>138000</v>
      </c>
      <c r="K108">
        <v>35075</v>
      </c>
      <c r="L108">
        <v>1</v>
      </c>
      <c r="M108">
        <v>1</v>
      </c>
    </row>
    <row r="109" spans="1:13" x14ac:dyDescent="0.25">
      <c r="A109" t="s">
        <v>1196</v>
      </c>
      <c r="B109" t="s">
        <v>1775</v>
      </c>
      <c r="C109" t="s">
        <v>1198</v>
      </c>
      <c r="D109" t="s">
        <v>1068</v>
      </c>
      <c r="E109" t="s">
        <v>1727</v>
      </c>
      <c r="F109" t="s">
        <v>1110</v>
      </c>
      <c r="G109">
        <v>1.44</v>
      </c>
      <c r="H109" s="215">
        <v>46084</v>
      </c>
      <c r="I109" t="s">
        <v>987</v>
      </c>
      <c r="J109">
        <v>138000</v>
      </c>
      <c r="K109">
        <v>35075</v>
      </c>
      <c r="L109">
        <v>1</v>
      </c>
      <c r="M109">
        <v>1</v>
      </c>
    </row>
    <row r="110" spans="1:13" x14ac:dyDescent="0.25">
      <c r="A110" t="s">
        <v>1196</v>
      </c>
      <c r="B110" t="s">
        <v>1776</v>
      </c>
      <c r="C110" t="s">
        <v>1198</v>
      </c>
      <c r="D110" t="s">
        <v>1068</v>
      </c>
      <c r="E110" t="s">
        <v>1727</v>
      </c>
      <c r="F110" t="s">
        <v>1110</v>
      </c>
      <c r="G110">
        <v>5.39</v>
      </c>
      <c r="H110" s="215">
        <v>46084</v>
      </c>
      <c r="I110" t="s">
        <v>987</v>
      </c>
      <c r="J110">
        <v>138000</v>
      </c>
      <c r="K110">
        <v>35075</v>
      </c>
      <c r="L110">
        <v>1</v>
      </c>
      <c r="M110">
        <v>1</v>
      </c>
    </row>
    <row r="111" spans="1:13" x14ac:dyDescent="0.25">
      <c r="A111" t="s">
        <v>1196</v>
      </c>
      <c r="B111" t="s">
        <v>1777</v>
      </c>
      <c r="C111" t="s">
        <v>1198</v>
      </c>
      <c r="D111" t="s">
        <v>1068</v>
      </c>
      <c r="E111" t="s">
        <v>1727</v>
      </c>
      <c r="F111" t="s">
        <v>1110</v>
      </c>
      <c r="G111">
        <v>9.9</v>
      </c>
      <c r="H111" s="215">
        <v>46084</v>
      </c>
      <c r="I111" t="s">
        <v>987</v>
      </c>
      <c r="J111">
        <v>138000</v>
      </c>
      <c r="K111">
        <v>35075</v>
      </c>
      <c r="L111">
        <v>1</v>
      </c>
      <c r="M111">
        <v>1</v>
      </c>
    </row>
    <row r="112" spans="1:13" x14ac:dyDescent="0.25">
      <c r="A112" t="s">
        <v>1196</v>
      </c>
      <c r="B112" t="s">
        <v>1778</v>
      </c>
      <c r="C112" t="s">
        <v>1198</v>
      </c>
      <c r="D112" t="s">
        <v>1068</v>
      </c>
      <c r="E112" t="s">
        <v>1727</v>
      </c>
      <c r="F112" t="s">
        <v>1110</v>
      </c>
      <c r="G112">
        <v>5.28</v>
      </c>
      <c r="H112" s="215">
        <v>46084</v>
      </c>
      <c r="I112" t="s">
        <v>987</v>
      </c>
      <c r="J112">
        <v>138000</v>
      </c>
      <c r="K112">
        <v>35075</v>
      </c>
      <c r="L112">
        <v>1</v>
      </c>
      <c r="M112">
        <v>1</v>
      </c>
    </row>
    <row r="113" spans="1:13" x14ac:dyDescent="0.25">
      <c r="A113" t="s">
        <v>1196</v>
      </c>
      <c r="B113" t="s">
        <v>1779</v>
      </c>
      <c r="C113" t="s">
        <v>1198</v>
      </c>
      <c r="D113" t="s">
        <v>1068</v>
      </c>
      <c r="E113" t="s">
        <v>1727</v>
      </c>
      <c r="F113" t="s">
        <v>1110</v>
      </c>
      <c r="G113">
        <v>31.68</v>
      </c>
      <c r="H113" s="215">
        <v>46084</v>
      </c>
      <c r="I113" t="s">
        <v>987</v>
      </c>
      <c r="J113">
        <v>138000</v>
      </c>
      <c r="K113">
        <v>35075</v>
      </c>
      <c r="L113">
        <v>1</v>
      </c>
      <c r="M113">
        <v>1</v>
      </c>
    </row>
    <row r="114" spans="1:13" x14ac:dyDescent="0.25">
      <c r="A114" t="s">
        <v>1196</v>
      </c>
      <c r="B114" t="s">
        <v>1780</v>
      </c>
      <c r="C114" t="s">
        <v>1198</v>
      </c>
      <c r="D114" t="s">
        <v>1068</v>
      </c>
      <c r="E114" t="s">
        <v>1727</v>
      </c>
      <c r="F114" t="s">
        <v>1110</v>
      </c>
      <c r="G114">
        <v>19.36</v>
      </c>
      <c r="H114" s="215">
        <v>46084</v>
      </c>
      <c r="I114" t="s">
        <v>987</v>
      </c>
      <c r="J114">
        <v>138000</v>
      </c>
      <c r="K114">
        <v>35075</v>
      </c>
      <c r="L114">
        <v>1</v>
      </c>
      <c r="M114">
        <v>1</v>
      </c>
    </row>
    <row r="115" spans="1:13" x14ac:dyDescent="0.25">
      <c r="A115" t="s">
        <v>1196</v>
      </c>
      <c r="B115" t="s">
        <v>1781</v>
      </c>
      <c r="C115" t="s">
        <v>1198</v>
      </c>
      <c r="D115" t="s">
        <v>1068</v>
      </c>
      <c r="E115" t="s">
        <v>1729</v>
      </c>
      <c r="F115" t="s">
        <v>1110</v>
      </c>
      <c r="G115">
        <v>1.44</v>
      </c>
      <c r="H115" s="215">
        <v>46084</v>
      </c>
      <c r="I115" t="s">
        <v>987</v>
      </c>
      <c r="J115">
        <v>138000</v>
      </c>
      <c r="K115">
        <v>35075</v>
      </c>
      <c r="L115">
        <v>1</v>
      </c>
      <c r="M115">
        <v>1</v>
      </c>
    </row>
    <row r="116" spans="1:13" x14ac:dyDescent="0.25">
      <c r="A116" t="s">
        <v>1196</v>
      </c>
      <c r="B116" t="s">
        <v>1782</v>
      </c>
      <c r="C116" t="s">
        <v>1198</v>
      </c>
      <c r="D116" t="s">
        <v>1068</v>
      </c>
      <c r="E116" t="s">
        <v>1729</v>
      </c>
      <c r="F116" t="s">
        <v>1110</v>
      </c>
      <c r="G116">
        <v>8.94</v>
      </c>
      <c r="H116" s="215">
        <v>46084</v>
      </c>
      <c r="I116" t="s">
        <v>987</v>
      </c>
      <c r="J116">
        <v>138000</v>
      </c>
      <c r="K116">
        <v>35075</v>
      </c>
      <c r="L116">
        <v>1</v>
      </c>
      <c r="M116">
        <v>1</v>
      </c>
    </row>
    <row r="117" spans="1:13" x14ac:dyDescent="0.25">
      <c r="A117" t="s">
        <v>1196</v>
      </c>
      <c r="B117" t="s">
        <v>1783</v>
      </c>
      <c r="C117" t="s">
        <v>1198</v>
      </c>
      <c r="D117" t="s">
        <v>1068</v>
      </c>
      <c r="E117" t="s">
        <v>1729</v>
      </c>
      <c r="F117" t="s">
        <v>1110</v>
      </c>
      <c r="G117">
        <v>7.92</v>
      </c>
      <c r="H117" s="215">
        <v>46084</v>
      </c>
      <c r="I117" t="s">
        <v>987</v>
      </c>
      <c r="J117">
        <v>138000</v>
      </c>
      <c r="K117">
        <v>35075</v>
      </c>
      <c r="L117">
        <v>1</v>
      </c>
      <c r="M117">
        <v>1</v>
      </c>
    </row>
    <row r="118" spans="1:13" x14ac:dyDescent="0.25">
      <c r="A118" t="s">
        <v>1196</v>
      </c>
      <c r="B118" t="s">
        <v>1773</v>
      </c>
      <c r="C118" t="s">
        <v>1198</v>
      </c>
      <c r="D118" t="s">
        <v>1068</v>
      </c>
      <c r="E118" t="s">
        <v>1729</v>
      </c>
      <c r="F118" t="s">
        <v>1110</v>
      </c>
      <c r="G118">
        <v>17.28</v>
      </c>
      <c r="H118" s="215">
        <v>46084</v>
      </c>
      <c r="I118" t="s">
        <v>987</v>
      </c>
      <c r="J118">
        <v>138000</v>
      </c>
      <c r="K118">
        <v>35075</v>
      </c>
      <c r="L118">
        <v>1</v>
      </c>
      <c r="M118">
        <v>1</v>
      </c>
    </row>
    <row r="119" spans="1:13" x14ac:dyDescent="0.25">
      <c r="A119" t="s">
        <v>1196</v>
      </c>
      <c r="B119" t="s">
        <v>1774</v>
      </c>
      <c r="C119" t="s">
        <v>1198</v>
      </c>
      <c r="D119" t="s">
        <v>1068</v>
      </c>
      <c r="E119" t="s">
        <v>1729</v>
      </c>
      <c r="F119" t="s">
        <v>1110</v>
      </c>
      <c r="G119">
        <v>1.2</v>
      </c>
      <c r="H119" s="215">
        <v>46084</v>
      </c>
      <c r="I119" t="s">
        <v>987</v>
      </c>
      <c r="J119">
        <v>138000</v>
      </c>
      <c r="K119">
        <v>35075</v>
      </c>
      <c r="L119">
        <v>1</v>
      </c>
      <c r="M119">
        <v>1</v>
      </c>
    </row>
    <row r="120" spans="1:13" x14ac:dyDescent="0.25">
      <c r="A120" t="s">
        <v>1196</v>
      </c>
      <c r="B120" t="s">
        <v>1775</v>
      </c>
      <c r="C120" t="s">
        <v>1198</v>
      </c>
      <c r="D120" t="s">
        <v>1068</v>
      </c>
      <c r="E120" t="s">
        <v>1729</v>
      </c>
      <c r="F120" t="s">
        <v>1110</v>
      </c>
      <c r="G120">
        <v>2.52</v>
      </c>
      <c r="H120" s="215">
        <v>46084</v>
      </c>
      <c r="I120" t="s">
        <v>987</v>
      </c>
      <c r="J120">
        <v>138000</v>
      </c>
      <c r="K120">
        <v>35075</v>
      </c>
      <c r="L120">
        <v>1</v>
      </c>
      <c r="M120">
        <v>1</v>
      </c>
    </row>
    <row r="121" spans="1:13" x14ac:dyDescent="0.25">
      <c r="A121" t="s">
        <v>1196</v>
      </c>
      <c r="B121" t="s">
        <v>1784</v>
      </c>
      <c r="C121" t="s">
        <v>1198</v>
      </c>
      <c r="D121" t="s">
        <v>1068</v>
      </c>
      <c r="E121" t="s">
        <v>1729</v>
      </c>
      <c r="F121" t="s">
        <v>1110</v>
      </c>
      <c r="G121">
        <v>33</v>
      </c>
      <c r="H121" s="215">
        <v>46084</v>
      </c>
      <c r="I121" t="s">
        <v>987</v>
      </c>
      <c r="J121">
        <v>138000</v>
      </c>
      <c r="K121">
        <v>35075</v>
      </c>
      <c r="L121">
        <v>1</v>
      </c>
      <c r="M121">
        <v>1</v>
      </c>
    </row>
    <row r="122" spans="1:13" x14ac:dyDescent="0.25">
      <c r="A122" t="s">
        <v>1196</v>
      </c>
      <c r="B122" t="s">
        <v>1779</v>
      </c>
      <c r="C122" t="s">
        <v>1198</v>
      </c>
      <c r="D122" t="s">
        <v>1068</v>
      </c>
      <c r="E122" t="s">
        <v>1729</v>
      </c>
      <c r="F122" t="s">
        <v>1110</v>
      </c>
      <c r="G122">
        <v>39.6</v>
      </c>
      <c r="H122" s="215">
        <v>46084</v>
      </c>
      <c r="I122" t="s">
        <v>987</v>
      </c>
      <c r="J122">
        <v>138000</v>
      </c>
      <c r="K122">
        <v>35075</v>
      </c>
      <c r="L122">
        <v>1</v>
      </c>
      <c r="M122">
        <v>1</v>
      </c>
    </row>
    <row r="123" spans="1:13" x14ac:dyDescent="0.25">
      <c r="A123" t="s">
        <v>1196</v>
      </c>
      <c r="B123" t="s">
        <v>1780</v>
      </c>
      <c r="C123" t="s">
        <v>1198</v>
      </c>
      <c r="D123" t="s">
        <v>1068</v>
      </c>
      <c r="E123" t="s">
        <v>1729</v>
      </c>
      <c r="F123" t="s">
        <v>1110</v>
      </c>
      <c r="G123">
        <v>28.16</v>
      </c>
      <c r="H123" s="215">
        <v>46084</v>
      </c>
      <c r="I123" t="s">
        <v>987</v>
      </c>
      <c r="J123">
        <v>138000</v>
      </c>
      <c r="K123">
        <v>35075</v>
      </c>
      <c r="L123">
        <v>1</v>
      </c>
      <c r="M123">
        <v>1</v>
      </c>
    </row>
    <row r="124" spans="1:13" x14ac:dyDescent="0.25">
      <c r="A124" t="s">
        <v>1196</v>
      </c>
      <c r="B124" t="s">
        <v>1785</v>
      </c>
      <c r="C124" t="s">
        <v>1198</v>
      </c>
      <c r="D124" t="s">
        <v>1068</v>
      </c>
      <c r="E124" t="s">
        <v>1730</v>
      </c>
      <c r="F124" t="s">
        <v>1110</v>
      </c>
      <c r="G124">
        <v>1.8</v>
      </c>
      <c r="H124" s="215">
        <v>46084</v>
      </c>
      <c r="I124" t="s">
        <v>987</v>
      </c>
      <c r="J124">
        <v>138000</v>
      </c>
      <c r="K124">
        <v>35075</v>
      </c>
      <c r="L124">
        <v>1</v>
      </c>
      <c r="M124">
        <v>1</v>
      </c>
    </row>
    <row r="125" spans="1:13" x14ac:dyDescent="0.25">
      <c r="A125" t="s">
        <v>1196</v>
      </c>
      <c r="B125" t="s">
        <v>1773</v>
      </c>
      <c r="C125" t="s">
        <v>1198</v>
      </c>
      <c r="D125" t="s">
        <v>1068</v>
      </c>
      <c r="E125" t="s">
        <v>1730</v>
      </c>
      <c r="F125" t="s">
        <v>1110</v>
      </c>
      <c r="G125">
        <v>17.28</v>
      </c>
      <c r="H125" s="215">
        <v>46084</v>
      </c>
      <c r="I125" t="s">
        <v>987</v>
      </c>
      <c r="J125">
        <v>138000</v>
      </c>
      <c r="K125">
        <v>35075</v>
      </c>
      <c r="L125">
        <v>1</v>
      </c>
      <c r="M125">
        <v>1</v>
      </c>
    </row>
    <row r="126" spans="1:13" x14ac:dyDescent="0.25">
      <c r="A126" t="s">
        <v>1196</v>
      </c>
      <c r="B126" t="s">
        <v>1774</v>
      </c>
      <c r="C126" t="s">
        <v>1198</v>
      </c>
      <c r="D126" t="s">
        <v>1068</v>
      </c>
      <c r="E126" t="s">
        <v>1730</v>
      </c>
      <c r="F126" t="s">
        <v>1110</v>
      </c>
      <c r="G126">
        <v>3.6</v>
      </c>
      <c r="H126" s="215">
        <v>46084</v>
      </c>
      <c r="I126" t="s">
        <v>987</v>
      </c>
      <c r="J126">
        <v>138000</v>
      </c>
      <c r="K126">
        <v>35075</v>
      </c>
      <c r="L126">
        <v>1</v>
      </c>
      <c r="M126">
        <v>1</v>
      </c>
    </row>
    <row r="127" spans="1:13" x14ac:dyDescent="0.25">
      <c r="A127" t="s">
        <v>1196</v>
      </c>
      <c r="B127" t="s">
        <v>1775</v>
      </c>
      <c r="C127" t="s">
        <v>1198</v>
      </c>
      <c r="D127" t="s">
        <v>1068</v>
      </c>
      <c r="E127" t="s">
        <v>1730</v>
      </c>
      <c r="F127" t="s">
        <v>1110</v>
      </c>
      <c r="G127">
        <v>2.52</v>
      </c>
      <c r="H127" s="215">
        <v>46084</v>
      </c>
      <c r="I127" t="s">
        <v>987</v>
      </c>
      <c r="J127">
        <v>138000</v>
      </c>
      <c r="K127">
        <v>35075</v>
      </c>
      <c r="L127">
        <v>1</v>
      </c>
      <c r="M127">
        <v>1</v>
      </c>
    </row>
    <row r="128" spans="1:13" x14ac:dyDescent="0.25">
      <c r="A128" t="s">
        <v>1196</v>
      </c>
      <c r="B128" t="s">
        <v>1784</v>
      </c>
      <c r="C128" t="s">
        <v>1198</v>
      </c>
      <c r="D128" t="s">
        <v>1068</v>
      </c>
      <c r="E128" t="s">
        <v>1730</v>
      </c>
      <c r="F128" t="s">
        <v>1110</v>
      </c>
      <c r="G128">
        <v>27.5</v>
      </c>
      <c r="H128" s="215">
        <v>46084</v>
      </c>
      <c r="I128" t="s">
        <v>987</v>
      </c>
      <c r="J128">
        <v>138000</v>
      </c>
      <c r="K128">
        <v>35075</v>
      </c>
      <c r="L128">
        <v>1</v>
      </c>
      <c r="M128">
        <v>1</v>
      </c>
    </row>
    <row r="129" spans="1:13" x14ac:dyDescent="0.25">
      <c r="A129" t="s">
        <v>1196</v>
      </c>
      <c r="B129" t="s">
        <v>1777</v>
      </c>
      <c r="C129" t="s">
        <v>1198</v>
      </c>
      <c r="D129" t="s">
        <v>1068</v>
      </c>
      <c r="E129" t="s">
        <v>1730</v>
      </c>
      <c r="F129" t="s">
        <v>1110</v>
      </c>
      <c r="G129">
        <v>39.6</v>
      </c>
      <c r="H129" s="215">
        <v>46084</v>
      </c>
      <c r="I129" t="s">
        <v>987</v>
      </c>
      <c r="J129">
        <v>138000</v>
      </c>
      <c r="K129">
        <v>35075</v>
      </c>
      <c r="L129">
        <v>1</v>
      </c>
      <c r="M129">
        <v>1</v>
      </c>
    </row>
    <row r="130" spans="1:13" x14ac:dyDescent="0.25">
      <c r="A130" t="s">
        <v>1196</v>
      </c>
      <c r="B130" t="s">
        <v>1778</v>
      </c>
      <c r="C130" t="s">
        <v>1198</v>
      </c>
      <c r="D130" t="s">
        <v>1068</v>
      </c>
      <c r="E130" t="s">
        <v>1730</v>
      </c>
      <c r="F130" t="s">
        <v>1110</v>
      </c>
      <c r="G130">
        <v>10.56</v>
      </c>
      <c r="H130" s="215">
        <v>46084</v>
      </c>
      <c r="I130" t="s">
        <v>987</v>
      </c>
      <c r="J130">
        <v>138000</v>
      </c>
      <c r="K130">
        <v>35075</v>
      </c>
      <c r="L130">
        <v>1</v>
      </c>
      <c r="M130">
        <v>1</v>
      </c>
    </row>
    <row r="131" spans="1:13" x14ac:dyDescent="0.25">
      <c r="A131" t="s">
        <v>1196</v>
      </c>
      <c r="B131" t="s">
        <v>1779</v>
      </c>
      <c r="C131" t="s">
        <v>1198</v>
      </c>
      <c r="D131" t="s">
        <v>1068</v>
      </c>
      <c r="E131" t="s">
        <v>1730</v>
      </c>
      <c r="F131" t="s">
        <v>1110</v>
      </c>
      <c r="G131">
        <v>35.64</v>
      </c>
      <c r="H131" s="215">
        <v>46084</v>
      </c>
      <c r="I131" t="s">
        <v>987</v>
      </c>
      <c r="J131">
        <v>138000</v>
      </c>
      <c r="K131">
        <v>35075</v>
      </c>
      <c r="L131">
        <v>1</v>
      </c>
      <c r="M131">
        <v>1</v>
      </c>
    </row>
    <row r="132" spans="1:13" x14ac:dyDescent="0.25">
      <c r="A132" t="s">
        <v>1196</v>
      </c>
      <c r="B132" t="s">
        <v>1780</v>
      </c>
      <c r="C132" t="s">
        <v>1198</v>
      </c>
      <c r="D132" t="s">
        <v>1068</v>
      </c>
      <c r="E132" t="s">
        <v>1730</v>
      </c>
      <c r="F132" t="s">
        <v>1110</v>
      </c>
      <c r="G132">
        <v>12.32</v>
      </c>
      <c r="H132" s="215">
        <v>46084</v>
      </c>
      <c r="I132" t="s">
        <v>987</v>
      </c>
      <c r="J132">
        <v>138000</v>
      </c>
      <c r="K132">
        <v>35075</v>
      </c>
      <c r="L132">
        <v>1</v>
      </c>
      <c r="M132">
        <v>1</v>
      </c>
    </row>
    <row r="133" spans="1:13" x14ac:dyDescent="0.25">
      <c r="A133" t="s">
        <v>1196</v>
      </c>
      <c r="B133" t="s">
        <v>1786</v>
      </c>
      <c r="C133" t="s">
        <v>1198</v>
      </c>
      <c r="D133" t="s">
        <v>1068</v>
      </c>
      <c r="E133" t="s">
        <v>1762</v>
      </c>
      <c r="F133" t="s">
        <v>1110</v>
      </c>
      <c r="G133">
        <v>14.4</v>
      </c>
      <c r="H133" s="215">
        <v>46084</v>
      </c>
      <c r="I133" t="s">
        <v>987</v>
      </c>
      <c r="J133">
        <v>138000</v>
      </c>
      <c r="K133">
        <v>35075</v>
      </c>
      <c r="L133">
        <v>1</v>
      </c>
      <c r="M133">
        <v>1</v>
      </c>
    </row>
    <row r="134" spans="1:13" x14ac:dyDescent="0.25">
      <c r="A134" t="s">
        <v>1196</v>
      </c>
      <c r="B134" t="s">
        <v>1787</v>
      </c>
      <c r="C134" t="s">
        <v>1198</v>
      </c>
      <c r="D134" t="s">
        <v>1068</v>
      </c>
      <c r="E134" t="s">
        <v>1762</v>
      </c>
      <c r="F134" t="s">
        <v>1110</v>
      </c>
      <c r="G134">
        <v>13.2</v>
      </c>
      <c r="H134" s="215">
        <v>46084</v>
      </c>
      <c r="I134" t="s">
        <v>987</v>
      </c>
      <c r="J134">
        <v>138000</v>
      </c>
      <c r="K134">
        <v>35075</v>
      </c>
      <c r="L134">
        <v>1</v>
      </c>
      <c r="M134">
        <v>1</v>
      </c>
    </row>
    <row r="135" spans="1:13" x14ac:dyDescent="0.25">
      <c r="A135" t="s">
        <v>1196</v>
      </c>
      <c r="B135" t="s">
        <v>1785</v>
      </c>
      <c r="C135" t="s">
        <v>1198</v>
      </c>
      <c r="D135" t="s">
        <v>1068</v>
      </c>
      <c r="E135" t="s">
        <v>1762</v>
      </c>
      <c r="F135" t="s">
        <v>1110</v>
      </c>
      <c r="G135">
        <v>9</v>
      </c>
      <c r="H135" s="215">
        <v>46084</v>
      </c>
      <c r="I135" t="s">
        <v>987</v>
      </c>
      <c r="J135">
        <v>138000</v>
      </c>
      <c r="K135">
        <v>35075</v>
      </c>
      <c r="L135">
        <v>1</v>
      </c>
      <c r="M135">
        <v>1</v>
      </c>
    </row>
    <row r="136" spans="1:13" x14ac:dyDescent="0.25">
      <c r="A136" t="s">
        <v>1196</v>
      </c>
      <c r="B136" t="s">
        <v>1774</v>
      </c>
      <c r="C136" t="s">
        <v>1198</v>
      </c>
      <c r="D136" t="s">
        <v>1068</v>
      </c>
      <c r="E136" t="s">
        <v>1762</v>
      </c>
      <c r="F136" t="s">
        <v>1110</v>
      </c>
      <c r="G136">
        <v>1.2</v>
      </c>
      <c r="H136" s="215">
        <v>46084</v>
      </c>
      <c r="I136" t="s">
        <v>987</v>
      </c>
      <c r="J136">
        <v>138000</v>
      </c>
      <c r="K136">
        <v>35075</v>
      </c>
      <c r="L136">
        <v>1</v>
      </c>
      <c r="M136">
        <v>1</v>
      </c>
    </row>
    <row r="137" spans="1:13" x14ac:dyDescent="0.25">
      <c r="A137" t="s">
        <v>1196</v>
      </c>
      <c r="B137" t="s">
        <v>1775</v>
      </c>
      <c r="C137" t="s">
        <v>1198</v>
      </c>
      <c r="D137" t="s">
        <v>1068</v>
      </c>
      <c r="E137" t="s">
        <v>1762</v>
      </c>
      <c r="F137" t="s">
        <v>1110</v>
      </c>
      <c r="G137">
        <v>2.16</v>
      </c>
      <c r="H137" s="215">
        <v>46084</v>
      </c>
      <c r="I137" t="s">
        <v>987</v>
      </c>
      <c r="J137">
        <v>138000</v>
      </c>
      <c r="K137">
        <v>35075</v>
      </c>
      <c r="L137">
        <v>1</v>
      </c>
      <c r="M137">
        <v>1</v>
      </c>
    </row>
    <row r="138" spans="1:13" x14ac:dyDescent="0.25">
      <c r="A138" t="s">
        <v>1196</v>
      </c>
      <c r="B138" t="s">
        <v>1777</v>
      </c>
      <c r="C138" t="s">
        <v>1198</v>
      </c>
      <c r="D138" t="s">
        <v>1068</v>
      </c>
      <c r="E138" t="s">
        <v>1762</v>
      </c>
      <c r="F138" t="s">
        <v>1110</v>
      </c>
      <c r="G138">
        <v>13.2</v>
      </c>
      <c r="H138" s="215">
        <v>46084</v>
      </c>
      <c r="I138" t="s">
        <v>987</v>
      </c>
      <c r="J138">
        <v>138000</v>
      </c>
      <c r="K138">
        <v>35075</v>
      </c>
      <c r="L138">
        <v>1</v>
      </c>
      <c r="M138">
        <v>1</v>
      </c>
    </row>
    <row r="139" spans="1:13" x14ac:dyDescent="0.25">
      <c r="A139" t="s">
        <v>1196</v>
      </c>
      <c r="B139" t="s">
        <v>1786</v>
      </c>
      <c r="C139" t="s">
        <v>1198</v>
      </c>
      <c r="D139" t="s">
        <v>1068</v>
      </c>
      <c r="E139" t="s">
        <v>1765</v>
      </c>
      <c r="F139" t="s">
        <v>1110</v>
      </c>
      <c r="G139">
        <v>9.6</v>
      </c>
      <c r="H139" s="215">
        <v>46084</v>
      </c>
      <c r="I139" t="s">
        <v>987</v>
      </c>
      <c r="J139">
        <v>138000</v>
      </c>
      <c r="K139">
        <v>35075</v>
      </c>
      <c r="L139">
        <v>1</v>
      </c>
      <c r="M139">
        <v>1</v>
      </c>
    </row>
    <row r="140" spans="1:13" x14ac:dyDescent="0.25">
      <c r="A140" t="s">
        <v>1196</v>
      </c>
      <c r="B140" t="s">
        <v>1787</v>
      </c>
      <c r="C140" t="s">
        <v>1198</v>
      </c>
      <c r="D140" t="s">
        <v>1068</v>
      </c>
      <c r="E140" t="s">
        <v>1765</v>
      </c>
      <c r="F140" t="s">
        <v>1110</v>
      </c>
      <c r="G140">
        <v>7.2</v>
      </c>
      <c r="H140" s="215">
        <v>46084</v>
      </c>
      <c r="I140" t="s">
        <v>987</v>
      </c>
      <c r="J140">
        <v>138000</v>
      </c>
      <c r="K140">
        <v>35075</v>
      </c>
      <c r="L140">
        <v>1</v>
      </c>
      <c r="M140">
        <v>1</v>
      </c>
    </row>
    <row r="141" spans="1:13" x14ac:dyDescent="0.25">
      <c r="A141" t="s">
        <v>1196</v>
      </c>
      <c r="B141" t="s">
        <v>1785</v>
      </c>
      <c r="C141" t="s">
        <v>1198</v>
      </c>
      <c r="D141" t="s">
        <v>1068</v>
      </c>
      <c r="E141" t="s">
        <v>1765</v>
      </c>
      <c r="F141" t="s">
        <v>1110</v>
      </c>
      <c r="G141">
        <v>5.4</v>
      </c>
      <c r="H141" s="215">
        <v>46084</v>
      </c>
      <c r="I141" t="s">
        <v>987</v>
      </c>
      <c r="J141">
        <v>138000</v>
      </c>
      <c r="K141">
        <v>35075</v>
      </c>
      <c r="L141">
        <v>1</v>
      </c>
      <c r="M141">
        <v>1</v>
      </c>
    </row>
    <row r="142" spans="1:13" x14ac:dyDescent="0.25">
      <c r="A142" t="s">
        <v>1196</v>
      </c>
      <c r="B142" t="s">
        <v>1774</v>
      </c>
      <c r="C142" t="s">
        <v>1198</v>
      </c>
      <c r="D142" t="s">
        <v>1068</v>
      </c>
      <c r="E142" t="s">
        <v>1765</v>
      </c>
      <c r="F142" t="s">
        <v>1110</v>
      </c>
      <c r="G142">
        <v>1.08</v>
      </c>
      <c r="H142" s="215">
        <v>46084</v>
      </c>
      <c r="I142" t="s">
        <v>987</v>
      </c>
      <c r="J142">
        <v>138000</v>
      </c>
      <c r="K142">
        <v>35075</v>
      </c>
      <c r="L142">
        <v>1</v>
      </c>
      <c r="M142">
        <v>1</v>
      </c>
    </row>
    <row r="143" spans="1:13" x14ac:dyDescent="0.25">
      <c r="A143" t="s">
        <v>1196</v>
      </c>
      <c r="B143" t="s">
        <v>1775</v>
      </c>
      <c r="C143" t="s">
        <v>1198</v>
      </c>
      <c r="D143" t="s">
        <v>1068</v>
      </c>
      <c r="E143" t="s">
        <v>1765</v>
      </c>
      <c r="F143" t="s">
        <v>1110</v>
      </c>
      <c r="G143">
        <v>0.72</v>
      </c>
      <c r="H143" s="215">
        <v>46084</v>
      </c>
      <c r="I143" t="s">
        <v>987</v>
      </c>
      <c r="J143">
        <v>138000</v>
      </c>
      <c r="K143">
        <v>35075</v>
      </c>
      <c r="L143">
        <v>1</v>
      </c>
      <c r="M143">
        <v>1</v>
      </c>
    </row>
    <row r="144" spans="1:13" x14ac:dyDescent="0.25">
      <c r="A144" t="s">
        <v>1196</v>
      </c>
      <c r="B144" t="s">
        <v>1777</v>
      </c>
      <c r="C144" t="s">
        <v>1198</v>
      </c>
      <c r="D144" t="s">
        <v>1068</v>
      </c>
      <c r="E144" t="s">
        <v>1765</v>
      </c>
      <c r="F144" t="s">
        <v>1110</v>
      </c>
      <c r="G144">
        <v>13.2</v>
      </c>
      <c r="H144" s="215">
        <v>46084</v>
      </c>
      <c r="I144" t="s">
        <v>987</v>
      </c>
      <c r="J144">
        <v>138000</v>
      </c>
      <c r="K144">
        <v>35075</v>
      </c>
      <c r="L144">
        <v>1</v>
      </c>
      <c r="M144">
        <v>1</v>
      </c>
    </row>
    <row r="145" spans="1:13" x14ac:dyDescent="0.25">
      <c r="A145" t="s">
        <v>1196</v>
      </c>
      <c r="B145" t="s">
        <v>1781</v>
      </c>
      <c r="C145" t="s">
        <v>1198</v>
      </c>
      <c r="D145" t="s">
        <v>1070</v>
      </c>
      <c r="E145" t="s">
        <v>1727</v>
      </c>
      <c r="F145" t="s">
        <v>1110</v>
      </c>
      <c r="G145">
        <v>1.44</v>
      </c>
      <c r="H145" s="215">
        <v>46084</v>
      </c>
      <c r="I145" t="s">
        <v>987</v>
      </c>
      <c r="J145">
        <v>138000</v>
      </c>
      <c r="K145">
        <v>35075</v>
      </c>
      <c r="L145">
        <v>1</v>
      </c>
      <c r="M145">
        <v>1</v>
      </c>
    </row>
    <row r="146" spans="1:13" x14ac:dyDescent="0.25">
      <c r="A146" t="s">
        <v>1196</v>
      </c>
      <c r="B146" t="s">
        <v>1788</v>
      </c>
      <c r="C146" t="s">
        <v>1198</v>
      </c>
      <c r="D146" t="s">
        <v>1070</v>
      </c>
      <c r="E146" t="s">
        <v>1727</v>
      </c>
      <c r="F146" t="s">
        <v>1110</v>
      </c>
      <c r="G146">
        <v>0.96</v>
      </c>
      <c r="H146" s="215">
        <v>46084</v>
      </c>
      <c r="I146" t="s">
        <v>987</v>
      </c>
      <c r="J146">
        <v>138000</v>
      </c>
      <c r="K146">
        <v>35075</v>
      </c>
      <c r="L146">
        <v>1</v>
      </c>
      <c r="M146">
        <v>1</v>
      </c>
    </row>
    <row r="147" spans="1:13" x14ac:dyDescent="0.25">
      <c r="A147" t="s">
        <v>1196</v>
      </c>
      <c r="B147" t="s">
        <v>1775</v>
      </c>
      <c r="C147" t="s">
        <v>1198</v>
      </c>
      <c r="D147" t="s">
        <v>1070</v>
      </c>
      <c r="E147" t="s">
        <v>1727</v>
      </c>
      <c r="F147" t="s">
        <v>1110</v>
      </c>
      <c r="G147">
        <v>0.36</v>
      </c>
      <c r="H147" s="215">
        <v>46084</v>
      </c>
      <c r="I147" t="s">
        <v>987</v>
      </c>
      <c r="J147">
        <v>138000</v>
      </c>
      <c r="K147">
        <v>35075</v>
      </c>
      <c r="L147">
        <v>1</v>
      </c>
      <c r="M147">
        <v>1</v>
      </c>
    </row>
    <row r="148" spans="1:13" x14ac:dyDescent="0.25">
      <c r="A148" t="s">
        <v>1196</v>
      </c>
      <c r="B148" t="s">
        <v>1777</v>
      </c>
      <c r="C148" t="s">
        <v>1198</v>
      </c>
      <c r="D148" t="s">
        <v>1070</v>
      </c>
      <c r="E148" t="s">
        <v>1727</v>
      </c>
      <c r="F148" t="s">
        <v>1110</v>
      </c>
      <c r="G148">
        <v>6.6</v>
      </c>
      <c r="H148" s="215">
        <v>46084</v>
      </c>
      <c r="I148" t="s">
        <v>987</v>
      </c>
      <c r="J148">
        <v>138000</v>
      </c>
      <c r="K148">
        <v>35075</v>
      </c>
      <c r="L148">
        <v>1</v>
      </c>
      <c r="M148">
        <v>1</v>
      </c>
    </row>
    <row r="149" spans="1:13" x14ac:dyDescent="0.25">
      <c r="A149" t="s">
        <v>1196</v>
      </c>
      <c r="B149" t="s">
        <v>1779</v>
      </c>
      <c r="C149" t="s">
        <v>1198</v>
      </c>
      <c r="D149" t="s">
        <v>1070</v>
      </c>
      <c r="E149" t="s">
        <v>1727</v>
      </c>
      <c r="F149" t="s">
        <v>1110</v>
      </c>
      <c r="G149">
        <v>11.88</v>
      </c>
      <c r="H149" s="215">
        <v>46084</v>
      </c>
      <c r="I149" t="s">
        <v>987</v>
      </c>
      <c r="J149">
        <v>138000</v>
      </c>
      <c r="K149">
        <v>35075</v>
      </c>
      <c r="L149">
        <v>1</v>
      </c>
      <c r="M149">
        <v>1</v>
      </c>
    </row>
    <row r="150" spans="1:13" x14ac:dyDescent="0.25">
      <c r="A150" t="s">
        <v>1196</v>
      </c>
      <c r="B150" t="s">
        <v>1780</v>
      </c>
      <c r="C150" t="s">
        <v>1198</v>
      </c>
      <c r="D150" t="s">
        <v>1070</v>
      </c>
      <c r="E150" t="s">
        <v>1727</v>
      </c>
      <c r="F150" t="s">
        <v>1110</v>
      </c>
      <c r="G150">
        <v>5.28</v>
      </c>
      <c r="H150" s="215">
        <v>46084</v>
      </c>
      <c r="I150" t="s">
        <v>987</v>
      </c>
      <c r="J150">
        <v>138000</v>
      </c>
      <c r="K150">
        <v>35075</v>
      </c>
      <c r="L150">
        <v>1</v>
      </c>
      <c r="M150">
        <v>1</v>
      </c>
    </row>
    <row r="151" spans="1:13" x14ac:dyDescent="0.25">
      <c r="A151" t="s">
        <v>1196</v>
      </c>
      <c r="B151" t="s">
        <v>1789</v>
      </c>
      <c r="C151" t="s">
        <v>1198</v>
      </c>
      <c r="D151" t="s">
        <v>1070</v>
      </c>
      <c r="E151" t="s">
        <v>1729</v>
      </c>
      <c r="F151" t="s">
        <v>1110</v>
      </c>
      <c r="G151">
        <v>19.2</v>
      </c>
      <c r="H151" s="215">
        <v>46084</v>
      </c>
      <c r="I151" t="s">
        <v>987</v>
      </c>
      <c r="J151">
        <v>138000</v>
      </c>
      <c r="K151">
        <v>35075</v>
      </c>
      <c r="L151">
        <v>1</v>
      </c>
      <c r="M151">
        <v>1</v>
      </c>
    </row>
    <row r="152" spans="1:13" x14ac:dyDescent="0.25">
      <c r="A152" t="s">
        <v>1196</v>
      </c>
      <c r="B152" t="s">
        <v>1790</v>
      </c>
      <c r="C152" t="s">
        <v>1198</v>
      </c>
      <c r="D152" t="s">
        <v>1070</v>
      </c>
      <c r="E152" t="s">
        <v>1729</v>
      </c>
      <c r="F152" t="s">
        <v>1110</v>
      </c>
      <c r="G152">
        <v>8.89</v>
      </c>
      <c r="H152" s="215">
        <v>46084</v>
      </c>
      <c r="I152" t="s">
        <v>987</v>
      </c>
      <c r="J152">
        <v>138000</v>
      </c>
      <c r="K152">
        <v>35075</v>
      </c>
      <c r="L152">
        <v>1</v>
      </c>
      <c r="M152">
        <v>1</v>
      </c>
    </row>
    <row r="153" spans="1:13" x14ac:dyDescent="0.25">
      <c r="A153" t="s">
        <v>1196</v>
      </c>
      <c r="B153" t="s">
        <v>1791</v>
      </c>
      <c r="C153" t="s">
        <v>1198</v>
      </c>
      <c r="D153" t="s">
        <v>1070</v>
      </c>
      <c r="E153" t="s">
        <v>1729</v>
      </c>
      <c r="F153" t="s">
        <v>1110</v>
      </c>
      <c r="G153">
        <v>24.95</v>
      </c>
      <c r="H153" s="215">
        <v>46084</v>
      </c>
      <c r="I153" t="s">
        <v>987</v>
      </c>
      <c r="J153">
        <v>138000</v>
      </c>
      <c r="K153">
        <v>35075</v>
      </c>
      <c r="L153">
        <v>1</v>
      </c>
      <c r="M153">
        <v>1</v>
      </c>
    </row>
    <row r="154" spans="1:13" x14ac:dyDescent="0.25">
      <c r="A154" t="s">
        <v>1196</v>
      </c>
      <c r="B154" t="s">
        <v>1792</v>
      </c>
      <c r="C154" t="s">
        <v>1198</v>
      </c>
      <c r="D154" t="s">
        <v>1070</v>
      </c>
      <c r="E154" t="s">
        <v>1729</v>
      </c>
      <c r="F154" t="s">
        <v>1110</v>
      </c>
      <c r="G154">
        <v>12.47</v>
      </c>
      <c r="H154" s="215">
        <v>46084</v>
      </c>
      <c r="I154" t="s">
        <v>987</v>
      </c>
      <c r="J154">
        <v>138000</v>
      </c>
      <c r="K154">
        <v>35075</v>
      </c>
      <c r="L154">
        <v>1</v>
      </c>
      <c r="M154">
        <v>1</v>
      </c>
    </row>
    <row r="155" spans="1:13" x14ac:dyDescent="0.25">
      <c r="A155" t="s">
        <v>1196</v>
      </c>
      <c r="B155" t="s">
        <v>1775</v>
      </c>
      <c r="C155" t="s">
        <v>1198</v>
      </c>
      <c r="D155" t="s">
        <v>1070</v>
      </c>
      <c r="E155" t="s">
        <v>1729</v>
      </c>
      <c r="F155" t="s">
        <v>1110</v>
      </c>
      <c r="G155">
        <v>0.36</v>
      </c>
      <c r="H155" s="215">
        <v>46084</v>
      </c>
      <c r="I155" t="s">
        <v>987</v>
      </c>
      <c r="J155">
        <v>138000</v>
      </c>
      <c r="K155">
        <v>35075</v>
      </c>
      <c r="L155">
        <v>1</v>
      </c>
      <c r="M155">
        <v>1</v>
      </c>
    </row>
    <row r="156" spans="1:13" x14ac:dyDescent="0.25">
      <c r="A156" t="s">
        <v>1196</v>
      </c>
      <c r="B156" t="s">
        <v>1777</v>
      </c>
      <c r="C156" t="s">
        <v>1198</v>
      </c>
      <c r="D156" t="s">
        <v>1070</v>
      </c>
      <c r="E156" t="s">
        <v>1729</v>
      </c>
      <c r="F156" t="s">
        <v>1110</v>
      </c>
      <c r="G156">
        <v>3.3</v>
      </c>
      <c r="H156" s="215">
        <v>46084</v>
      </c>
      <c r="I156" t="s">
        <v>987</v>
      </c>
      <c r="J156">
        <v>138000</v>
      </c>
      <c r="K156">
        <v>35075</v>
      </c>
      <c r="L156">
        <v>1</v>
      </c>
      <c r="M156">
        <v>1</v>
      </c>
    </row>
    <row r="157" spans="1:13" x14ac:dyDescent="0.25">
      <c r="A157" t="s">
        <v>1196</v>
      </c>
      <c r="B157" t="s">
        <v>1780</v>
      </c>
      <c r="C157" t="s">
        <v>1198</v>
      </c>
      <c r="D157" t="s">
        <v>1070</v>
      </c>
      <c r="E157" t="s">
        <v>1729</v>
      </c>
      <c r="F157" t="s">
        <v>1110</v>
      </c>
      <c r="G157">
        <v>5.28</v>
      </c>
      <c r="H157" s="215">
        <v>46084</v>
      </c>
      <c r="I157" t="s">
        <v>987</v>
      </c>
      <c r="J157">
        <v>138000</v>
      </c>
      <c r="K157">
        <v>35075</v>
      </c>
      <c r="L157">
        <v>1</v>
      </c>
      <c r="M157">
        <v>1</v>
      </c>
    </row>
    <row r="158" spans="1:13" x14ac:dyDescent="0.25">
      <c r="A158" t="s">
        <v>1199</v>
      </c>
      <c r="B158" t="s">
        <v>1200</v>
      </c>
      <c r="C158" t="s">
        <v>1198</v>
      </c>
      <c r="D158" t="s">
        <v>1068</v>
      </c>
      <c r="E158" t="s">
        <v>1729</v>
      </c>
      <c r="F158" t="s">
        <v>1110</v>
      </c>
      <c r="G158">
        <v>32.4</v>
      </c>
      <c r="H158" s="215">
        <v>46084</v>
      </c>
      <c r="I158" t="s">
        <v>987</v>
      </c>
      <c r="J158">
        <v>138000</v>
      </c>
      <c r="K158">
        <v>25925</v>
      </c>
      <c r="L158">
        <v>1</v>
      </c>
      <c r="M158">
        <v>1</v>
      </c>
    </row>
    <row r="159" spans="1:13" x14ac:dyDescent="0.25">
      <c r="A159" t="s">
        <v>1199</v>
      </c>
      <c r="B159" t="s">
        <v>1200</v>
      </c>
      <c r="C159" t="s">
        <v>1198</v>
      </c>
      <c r="D159" t="s">
        <v>1068</v>
      </c>
      <c r="E159" t="s">
        <v>1730</v>
      </c>
      <c r="F159" t="s">
        <v>1110</v>
      </c>
      <c r="G159">
        <v>32.4</v>
      </c>
      <c r="H159" s="215">
        <v>46084</v>
      </c>
      <c r="I159" t="s">
        <v>987</v>
      </c>
      <c r="J159">
        <v>138000</v>
      </c>
      <c r="K159">
        <v>25925</v>
      </c>
      <c r="L159">
        <v>1</v>
      </c>
      <c r="M159">
        <v>1</v>
      </c>
    </row>
    <row r="160" spans="1:13" x14ac:dyDescent="0.25">
      <c r="A160" t="s">
        <v>1199</v>
      </c>
      <c r="B160" t="s">
        <v>1200</v>
      </c>
      <c r="C160" t="s">
        <v>1198</v>
      </c>
      <c r="D160" t="s">
        <v>1068</v>
      </c>
      <c r="E160" t="s">
        <v>1762</v>
      </c>
      <c r="F160" t="s">
        <v>1110</v>
      </c>
      <c r="G160">
        <v>45.22</v>
      </c>
      <c r="H160" s="215">
        <v>46084</v>
      </c>
      <c r="I160" t="s">
        <v>987</v>
      </c>
      <c r="J160">
        <v>138000</v>
      </c>
      <c r="K160">
        <v>25925</v>
      </c>
      <c r="L160">
        <v>1</v>
      </c>
      <c r="M160">
        <v>1</v>
      </c>
    </row>
    <row r="161" spans="1:13" x14ac:dyDescent="0.25">
      <c r="A161" t="s">
        <v>1199</v>
      </c>
      <c r="B161" t="s">
        <v>1200</v>
      </c>
      <c r="C161" t="s">
        <v>1198</v>
      </c>
      <c r="D161" t="s">
        <v>1068</v>
      </c>
      <c r="E161" t="s">
        <v>1765</v>
      </c>
      <c r="F161" t="s">
        <v>1110</v>
      </c>
      <c r="G161">
        <v>26.88</v>
      </c>
      <c r="H161" s="215">
        <v>46084</v>
      </c>
      <c r="I161" t="s">
        <v>987</v>
      </c>
      <c r="J161">
        <v>138000</v>
      </c>
      <c r="K161">
        <v>25925</v>
      </c>
      <c r="L161">
        <v>1</v>
      </c>
      <c r="M161">
        <v>1</v>
      </c>
    </row>
    <row r="162" spans="1:13" x14ac:dyDescent="0.25">
      <c r="A162" t="s">
        <v>1199</v>
      </c>
      <c r="B162" t="s">
        <v>1200</v>
      </c>
      <c r="C162" t="s">
        <v>1198</v>
      </c>
      <c r="D162" t="s">
        <v>1070</v>
      </c>
      <c r="E162" t="s">
        <v>1729</v>
      </c>
      <c r="F162" t="s">
        <v>1110</v>
      </c>
      <c r="G162">
        <v>28.18</v>
      </c>
      <c r="H162" s="215">
        <v>46084</v>
      </c>
      <c r="I162" t="s">
        <v>987</v>
      </c>
      <c r="J162">
        <v>138000</v>
      </c>
      <c r="K162">
        <v>25925</v>
      </c>
      <c r="L162">
        <v>1</v>
      </c>
      <c r="M162">
        <v>1</v>
      </c>
    </row>
    <row r="163" spans="1:13" x14ac:dyDescent="0.25">
      <c r="A163" t="s">
        <v>1201</v>
      </c>
      <c r="B163" t="s">
        <v>1202</v>
      </c>
      <c r="C163" t="s">
        <v>1203</v>
      </c>
      <c r="D163" t="s">
        <v>1068</v>
      </c>
      <c r="E163" t="s">
        <v>1542</v>
      </c>
      <c r="F163" t="s">
        <v>1084</v>
      </c>
      <c r="G163">
        <v>1</v>
      </c>
      <c r="H163" s="215">
        <v>46084</v>
      </c>
      <c r="I163" t="s">
        <v>987</v>
      </c>
      <c r="J163">
        <v>345000</v>
      </c>
      <c r="K163">
        <v>131150</v>
      </c>
      <c r="L163">
        <v>1</v>
      </c>
      <c r="M163">
        <v>1</v>
      </c>
    </row>
    <row r="164" spans="1:13" x14ac:dyDescent="0.25">
      <c r="A164" t="s">
        <v>1204</v>
      </c>
      <c r="B164" t="s">
        <v>1205</v>
      </c>
      <c r="C164" t="s">
        <v>1203</v>
      </c>
      <c r="D164" t="s">
        <v>1068</v>
      </c>
      <c r="E164" t="s">
        <v>1542</v>
      </c>
      <c r="F164" t="s">
        <v>1084</v>
      </c>
      <c r="G164">
        <v>1</v>
      </c>
      <c r="H164" s="215">
        <v>46084</v>
      </c>
      <c r="I164" t="s">
        <v>987</v>
      </c>
      <c r="J164">
        <v>230000</v>
      </c>
      <c r="K164">
        <v>76250</v>
      </c>
      <c r="L164">
        <v>1</v>
      </c>
      <c r="M164">
        <v>1</v>
      </c>
    </row>
    <row r="165" spans="1:13" x14ac:dyDescent="0.25">
      <c r="A165" t="s">
        <v>1206</v>
      </c>
      <c r="B165" t="s">
        <v>1207</v>
      </c>
      <c r="C165" t="s">
        <v>1203</v>
      </c>
      <c r="D165" t="s">
        <v>1068</v>
      </c>
      <c r="E165" t="s">
        <v>1542</v>
      </c>
      <c r="F165" t="s">
        <v>1110</v>
      </c>
      <c r="G165">
        <v>43.16</v>
      </c>
      <c r="H165" s="215">
        <v>46084</v>
      </c>
      <c r="I165" t="s">
        <v>987</v>
      </c>
      <c r="J165">
        <v>189750</v>
      </c>
      <c r="K165">
        <v>39650</v>
      </c>
      <c r="L165">
        <v>1</v>
      </c>
      <c r="M165">
        <v>1</v>
      </c>
    </row>
    <row r="166" spans="1:13" x14ac:dyDescent="0.25">
      <c r="A166" t="s">
        <v>1208</v>
      </c>
      <c r="B166" t="s">
        <v>1209</v>
      </c>
      <c r="C166" t="s">
        <v>1203</v>
      </c>
      <c r="D166" t="s">
        <v>1068</v>
      </c>
      <c r="E166" t="s">
        <v>1542</v>
      </c>
      <c r="F166" t="s">
        <v>1084</v>
      </c>
      <c r="G166">
        <v>1</v>
      </c>
      <c r="H166" s="215">
        <v>46084</v>
      </c>
      <c r="I166" t="s">
        <v>987</v>
      </c>
      <c r="J166">
        <v>1092500</v>
      </c>
      <c r="K166">
        <v>366000</v>
      </c>
      <c r="L166">
        <v>1</v>
      </c>
      <c r="M166">
        <v>1</v>
      </c>
    </row>
    <row r="167" spans="1:13" x14ac:dyDescent="0.25">
      <c r="A167" t="s">
        <v>1210</v>
      </c>
      <c r="B167" t="s">
        <v>1211</v>
      </c>
      <c r="C167" t="s">
        <v>1203</v>
      </c>
      <c r="D167" t="s">
        <v>1068</v>
      </c>
      <c r="E167" t="s">
        <v>1542</v>
      </c>
      <c r="F167" t="s">
        <v>1110</v>
      </c>
      <c r="G167">
        <v>6.74</v>
      </c>
      <c r="H167" s="215">
        <v>46084</v>
      </c>
      <c r="I167" t="s">
        <v>987</v>
      </c>
      <c r="J167">
        <v>97750</v>
      </c>
      <c r="K167">
        <v>22875</v>
      </c>
      <c r="L167">
        <v>1</v>
      </c>
      <c r="M167">
        <v>1</v>
      </c>
    </row>
    <row r="168" spans="1:13" x14ac:dyDescent="0.25">
      <c r="A168" t="s">
        <v>1212</v>
      </c>
      <c r="B168" t="s">
        <v>1213</v>
      </c>
      <c r="C168" t="s">
        <v>1203</v>
      </c>
      <c r="D168" t="s">
        <v>1068</v>
      </c>
      <c r="E168" t="s">
        <v>1542</v>
      </c>
      <c r="F168" t="s">
        <v>1110</v>
      </c>
      <c r="G168">
        <v>11.24</v>
      </c>
      <c r="H168" s="215">
        <v>46084</v>
      </c>
      <c r="I168" t="s">
        <v>987</v>
      </c>
      <c r="J168">
        <v>97750</v>
      </c>
      <c r="K168">
        <v>12200</v>
      </c>
      <c r="L168">
        <v>1</v>
      </c>
      <c r="M168">
        <v>1</v>
      </c>
    </row>
    <row r="169" spans="1:13" x14ac:dyDescent="0.25">
      <c r="A169" t="s">
        <v>1214</v>
      </c>
      <c r="B169" t="s">
        <v>1793</v>
      </c>
      <c r="C169" t="s">
        <v>1216</v>
      </c>
      <c r="D169" t="s">
        <v>1068</v>
      </c>
      <c r="E169" t="s">
        <v>1729</v>
      </c>
      <c r="F169" t="s">
        <v>1084</v>
      </c>
      <c r="G169">
        <v>1</v>
      </c>
      <c r="H169" s="215">
        <v>46084</v>
      </c>
      <c r="I169" t="s">
        <v>987</v>
      </c>
      <c r="J169">
        <v>759000</v>
      </c>
      <c r="K169">
        <v>152500</v>
      </c>
      <c r="L169">
        <v>1</v>
      </c>
      <c r="M169">
        <v>1</v>
      </c>
    </row>
    <row r="170" spans="1:13" x14ac:dyDescent="0.25">
      <c r="A170" t="s">
        <v>1214</v>
      </c>
      <c r="B170" t="s">
        <v>1794</v>
      </c>
      <c r="C170" t="s">
        <v>1216</v>
      </c>
      <c r="D170" t="s">
        <v>1068</v>
      </c>
      <c r="E170" t="s">
        <v>1729</v>
      </c>
      <c r="F170" t="s">
        <v>1084</v>
      </c>
      <c r="G170">
        <v>1</v>
      </c>
      <c r="H170" s="215">
        <v>46084</v>
      </c>
      <c r="I170" t="s">
        <v>987</v>
      </c>
      <c r="J170">
        <v>759000</v>
      </c>
      <c r="K170">
        <v>152500</v>
      </c>
      <c r="L170">
        <v>1</v>
      </c>
      <c r="M170">
        <v>1</v>
      </c>
    </row>
    <row r="171" spans="1:13" x14ac:dyDescent="0.25">
      <c r="A171" t="s">
        <v>1214</v>
      </c>
      <c r="B171" t="s">
        <v>1795</v>
      </c>
      <c r="C171" t="s">
        <v>1216</v>
      </c>
      <c r="D171" t="s">
        <v>1068</v>
      </c>
      <c r="E171" t="s">
        <v>1729</v>
      </c>
      <c r="F171" t="s">
        <v>1084</v>
      </c>
      <c r="G171">
        <v>1</v>
      </c>
      <c r="H171" s="215">
        <v>46084</v>
      </c>
      <c r="I171" t="s">
        <v>987</v>
      </c>
      <c r="J171">
        <v>759000</v>
      </c>
      <c r="K171">
        <v>152500</v>
      </c>
      <c r="L171">
        <v>1</v>
      </c>
      <c r="M171">
        <v>1</v>
      </c>
    </row>
    <row r="172" spans="1:13" x14ac:dyDescent="0.25">
      <c r="A172" t="s">
        <v>1214</v>
      </c>
      <c r="B172" t="s">
        <v>1796</v>
      </c>
      <c r="C172" t="s">
        <v>1216</v>
      </c>
      <c r="D172" t="s">
        <v>1068</v>
      </c>
      <c r="E172" t="s">
        <v>1729</v>
      </c>
      <c r="F172" t="s">
        <v>1084</v>
      </c>
      <c r="G172">
        <v>1</v>
      </c>
      <c r="H172" s="215">
        <v>46084</v>
      </c>
      <c r="I172" t="s">
        <v>987</v>
      </c>
      <c r="J172">
        <v>759000</v>
      </c>
      <c r="K172">
        <v>152500</v>
      </c>
      <c r="L172">
        <v>1</v>
      </c>
      <c r="M172">
        <v>1</v>
      </c>
    </row>
    <row r="173" spans="1:13" x14ac:dyDescent="0.25">
      <c r="A173" t="s">
        <v>1214</v>
      </c>
      <c r="B173" t="s">
        <v>1797</v>
      </c>
      <c r="C173" t="s">
        <v>1216</v>
      </c>
      <c r="D173" t="s">
        <v>1068</v>
      </c>
      <c r="E173" t="s">
        <v>1729</v>
      </c>
      <c r="F173" t="s">
        <v>1084</v>
      </c>
      <c r="G173">
        <v>1</v>
      </c>
      <c r="H173" s="215">
        <v>46084</v>
      </c>
      <c r="I173" t="s">
        <v>987</v>
      </c>
      <c r="J173">
        <v>759000</v>
      </c>
      <c r="K173">
        <v>152500</v>
      </c>
      <c r="L173">
        <v>1</v>
      </c>
      <c r="M173">
        <v>1</v>
      </c>
    </row>
    <row r="174" spans="1:13" x14ac:dyDescent="0.25">
      <c r="A174" t="s">
        <v>1214</v>
      </c>
      <c r="B174" t="s">
        <v>1798</v>
      </c>
      <c r="C174" t="s">
        <v>1216</v>
      </c>
      <c r="D174" t="s">
        <v>1068</v>
      </c>
      <c r="E174" t="s">
        <v>1729</v>
      </c>
      <c r="F174" t="s">
        <v>1084</v>
      </c>
      <c r="G174">
        <v>1</v>
      </c>
      <c r="H174" s="215">
        <v>46084</v>
      </c>
      <c r="I174" t="s">
        <v>987</v>
      </c>
      <c r="J174">
        <v>759000</v>
      </c>
      <c r="K174">
        <v>152500</v>
      </c>
      <c r="L174">
        <v>1</v>
      </c>
      <c r="M174">
        <v>1</v>
      </c>
    </row>
    <row r="175" spans="1:13" x14ac:dyDescent="0.25">
      <c r="A175" t="s">
        <v>1214</v>
      </c>
      <c r="B175" t="s">
        <v>1800</v>
      </c>
      <c r="C175" t="s">
        <v>1216</v>
      </c>
      <c r="D175" t="s">
        <v>1068</v>
      </c>
      <c r="E175" t="s">
        <v>1762</v>
      </c>
      <c r="F175" t="s">
        <v>1084</v>
      </c>
      <c r="G175">
        <v>2</v>
      </c>
      <c r="H175" s="215">
        <v>46084</v>
      </c>
      <c r="I175" t="s">
        <v>987</v>
      </c>
      <c r="J175">
        <v>759000</v>
      </c>
      <c r="K175">
        <v>152500</v>
      </c>
      <c r="L175">
        <v>1</v>
      </c>
      <c r="M175">
        <v>1</v>
      </c>
    </row>
    <row r="176" spans="1:13" x14ac:dyDescent="0.25">
      <c r="A176" t="s">
        <v>1214</v>
      </c>
      <c r="B176" t="s">
        <v>1801</v>
      </c>
      <c r="C176" t="s">
        <v>1216</v>
      </c>
      <c r="D176" t="s">
        <v>1068</v>
      </c>
      <c r="E176" t="s">
        <v>1762</v>
      </c>
      <c r="F176" t="s">
        <v>1084</v>
      </c>
      <c r="G176">
        <v>1</v>
      </c>
      <c r="H176" s="215">
        <v>46084</v>
      </c>
      <c r="I176" t="s">
        <v>987</v>
      </c>
      <c r="J176">
        <v>759000</v>
      </c>
      <c r="K176">
        <v>152500</v>
      </c>
      <c r="L176">
        <v>1</v>
      </c>
      <c r="M176">
        <v>1</v>
      </c>
    </row>
    <row r="177" spans="1:13" x14ac:dyDescent="0.25">
      <c r="A177" t="s">
        <v>1214</v>
      </c>
      <c r="B177" t="s">
        <v>1802</v>
      </c>
      <c r="C177" t="s">
        <v>1216</v>
      </c>
      <c r="D177" t="s">
        <v>1068</v>
      </c>
      <c r="E177" t="s">
        <v>1765</v>
      </c>
      <c r="F177" t="s">
        <v>1084</v>
      </c>
      <c r="G177">
        <v>2</v>
      </c>
      <c r="H177" s="215">
        <v>46084</v>
      </c>
      <c r="I177" t="s">
        <v>987</v>
      </c>
      <c r="J177">
        <v>759000</v>
      </c>
      <c r="K177">
        <v>152500</v>
      </c>
      <c r="L177">
        <v>1</v>
      </c>
      <c r="M177">
        <v>1</v>
      </c>
    </row>
    <row r="178" spans="1:13" x14ac:dyDescent="0.25">
      <c r="A178" t="s">
        <v>1214</v>
      </c>
      <c r="B178" t="s">
        <v>1803</v>
      </c>
      <c r="C178" t="s">
        <v>1216</v>
      </c>
      <c r="D178" t="s">
        <v>1068</v>
      </c>
      <c r="E178" t="s">
        <v>1765</v>
      </c>
      <c r="F178" t="s">
        <v>1084</v>
      </c>
      <c r="G178">
        <v>2</v>
      </c>
      <c r="H178" s="215">
        <v>46084</v>
      </c>
      <c r="I178" t="s">
        <v>987</v>
      </c>
      <c r="J178">
        <v>759000</v>
      </c>
      <c r="K178">
        <v>152500</v>
      </c>
      <c r="L178">
        <v>1</v>
      </c>
      <c r="M178">
        <v>1</v>
      </c>
    </row>
    <row r="179" spans="1:13" x14ac:dyDescent="0.25">
      <c r="A179" t="s">
        <v>1217</v>
      </c>
      <c r="B179" t="s">
        <v>1799</v>
      </c>
      <c r="C179" t="s">
        <v>1216</v>
      </c>
      <c r="D179" t="s">
        <v>1068</v>
      </c>
      <c r="E179" t="s">
        <v>1762</v>
      </c>
      <c r="F179" t="s">
        <v>1084</v>
      </c>
      <c r="G179">
        <v>7</v>
      </c>
      <c r="H179" s="215">
        <v>46084</v>
      </c>
      <c r="I179" t="s">
        <v>987</v>
      </c>
      <c r="J179">
        <v>341550</v>
      </c>
      <c r="K179">
        <v>35075</v>
      </c>
      <c r="L179">
        <v>1</v>
      </c>
      <c r="M179">
        <v>1</v>
      </c>
    </row>
    <row r="180" spans="1:13" x14ac:dyDescent="0.25">
      <c r="A180" t="s">
        <v>1217</v>
      </c>
      <c r="B180" t="s">
        <v>1799</v>
      </c>
      <c r="C180" t="s">
        <v>1216</v>
      </c>
      <c r="D180" t="s">
        <v>1068</v>
      </c>
      <c r="E180" t="s">
        <v>1765</v>
      </c>
      <c r="F180" t="s">
        <v>1084</v>
      </c>
      <c r="G180">
        <v>4</v>
      </c>
      <c r="H180" s="215">
        <v>46084</v>
      </c>
      <c r="I180" t="s">
        <v>987</v>
      </c>
      <c r="J180">
        <v>341550</v>
      </c>
      <c r="K180">
        <v>35075</v>
      </c>
      <c r="L180">
        <v>1</v>
      </c>
      <c r="M180">
        <v>1</v>
      </c>
    </row>
    <row r="181" spans="1:13" x14ac:dyDescent="0.25">
      <c r="A181" t="s">
        <v>1219</v>
      </c>
      <c r="B181" t="s">
        <v>1220</v>
      </c>
      <c r="C181" t="s">
        <v>1216</v>
      </c>
      <c r="D181" t="s">
        <v>1068</v>
      </c>
      <c r="E181" t="s">
        <v>1762</v>
      </c>
      <c r="F181" t="s">
        <v>1177</v>
      </c>
      <c r="G181">
        <v>3.36</v>
      </c>
      <c r="H181" s="215">
        <v>46084</v>
      </c>
      <c r="I181" t="s">
        <v>987</v>
      </c>
      <c r="J181">
        <v>345000</v>
      </c>
      <c r="K181">
        <v>41175</v>
      </c>
      <c r="L181">
        <v>1</v>
      </c>
      <c r="M181">
        <v>1</v>
      </c>
    </row>
    <row r="182" spans="1:13" x14ac:dyDescent="0.25">
      <c r="A182" t="s">
        <v>1219</v>
      </c>
      <c r="B182" t="s">
        <v>1220</v>
      </c>
      <c r="C182" t="s">
        <v>1216</v>
      </c>
      <c r="D182" t="s">
        <v>1070</v>
      </c>
      <c r="E182" t="s">
        <v>1727</v>
      </c>
      <c r="F182" t="s">
        <v>1177</v>
      </c>
      <c r="G182">
        <v>2.94</v>
      </c>
      <c r="H182" s="215">
        <v>46084</v>
      </c>
      <c r="I182" t="s">
        <v>987</v>
      </c>
      <c r="J182">
        <v>345000</v>
      </c>
      <c r="K182">
        <v>41175</v>
      </c>
      <c r="L182">
        <v>1</v>
      </c>
      <c r="M182">
        <v>1</v>
      </c>
    </row>
    <row r="183" spans="1:13" x14ac:dyDescent="0.25">
      <c r="A183" t="s">
        <v>1221</v>
      </c>
      <c r="B183" t="s">
        <v>1222</v>
      </c>
      <c r="C183" t="s">
        <v>1216</v>
      </c>
      <c r="D183" t="s">
        <v>1068</v>
      </c>
      <c r="E183" t="s">
        <v>1762</v>
      </c>
      <c r="F183" t="s">
        <v>1177</v>
      </c>
      <c r="G183">
        <v>3.36</v>
      </c>
      <c r="H183" s="215">
        <v>46084</v>
      </c>
      <c r="I183" t="s">
        <v>987</v>
      </c>
      <c r="J183">
        <v>402500</v>
      </c>
      <c r="K183">
        <v>47275</v>
      </c>
      <c r="L183">
        <v>1</v>
      </c>
      <c r="M183">
        <v>1</v>
      </c>
    </row>
    <row r="184" spans="1:13" x14ac:dyDescent="0.25">
      <c r="A184" t="s">
        <v>1221</v>
      </c>
      <c r="B184" t="s">
        <v>1222</v>
      </c>
      <c r="C184" t="s">
        <v>1216</v>
      </c>
      <c r="D184" t="s">
        <v>1070</v>
      </c>
      <c r="E184" t="s">
        <v>1727</v>
      </c>
      <c r="F184" t="s">
        <v>1177</v>
      </c>
      <c r="G184">
        <v>2.94</v>
      </c>
      <c r="H184" s="215">
        <v>46084</v>
      </c>
      <c r="I184" t="s">
        <v>987</v>
      </c>
      <c r="J184">
        <v>402500</v>
      </c>
      <c r="K184">
        <v>47275</v>
      </c>
      <c r="L184">
        <v>1</v>
      </c>
      <c r="M184">
        <v>1</v>
      </c>
    </row>
    <row r="185" spans="1:13" x14ac:dyDescent="0.25">
      <c r="A185" t="s">
        <v>1223</v>
      </c>
      <c r="B185" t="s">
        <v>1224</v>
      </c>
      <c r="C185" t="s">
        <v>1216</v>
      </c>
      <c r="D185" t="s">
        <v>1070</v>
      </c>
      <c r="E185" t="s">
        <v>1727</v>
      </c>
      <c r="F185" t="s">
        <v>1177</v>
      </c>
      <c r="G185">
        <v>2.25</v>
      </c>
      <c r="H185" s="215">
        <v>46084</v>
      </c>
      <c r="I185" t="s">
        <v>987</v>
      </c>
      <c r="J185">
        <v>402500</v>
      </c>
      <c r="K185">
        <v>47275</v>
      </c>
      <c r="L185">
        <v>1</v>
      </c>
      <c r="M185">
        <v>1</v>
      </c>
    </row>
    <row r="186" spans="1:13" x14ac:dyDescent="0.25">
      <c r="A186" t="s">
        <v>1225</v>
      </c>
      <c r="B186" t="s">
        <v>1226</v>
      </c>
      <c r="C186" t="s">
        <v>1216</v>
      </c>
      <c r="D186" t="s">
        <v>1070</v>
      </c>
      <c r="E186" t="s">
        <v>1727</v>
      </c>
      <c r="F186" t="s">
        <v>1177</v>
      </c>
      <c r="G186">
        <v>2.25</v>
      </c>
      <c r="H186" s="215">
        <v>46084</v>
      </c>
      <c r="I186" t="s">
        <v>987</v>
      </c>
      <c r="J186">
        <v>402500</v>
      </c>
      <c r="K186">
        <v>47275</v>
      </c>
      <c r="L186">
        <v>1</v>
      </c>
      <c r="M186">
        <v>1</v>
      </c>
    </row>
    <row r="187" spans="1:13" x14ac:dyDescent="0.25">
      <c r="A187" t="s">
        <v>1227</v>
      </c>
      <c r="B187" t="s">
        <v>1228</v>
      </c>
      <c r="C187" t="s">
        <v>1229</v>
      </c>
      <c r="D187" t="s">
        <v>1068</v>
      </c>
      <c r="E187" t="s">
        <v>1542</v>
      </c>
      <c r="F187" t="s">
        <v>1084</v>
      </c>
      <c r="G187">
        <v>135</v>
      </c>
      <c r="H187" s="215">
        <v>46084</v>
      </c>
      <c r="I187" t="s">
        <v>987</v>
      </c>
      <c r="J187">
        <v>40250</v>
      </c>
      <c r="K187">
        <v>7320</v>
      </c>
      <c r="L187">
        <v>1</v>
      </c>
      <c r="M187">
        <v>1</v>
      </c>
    </row>
    <row r="188" spans="1:13" x14ac:dyDescent="0.25">
      <c r="A188" t="s">
        <v>1230</v>
      </c>
      <c r="B188" t="s">
        <v>1231</v>
      </c>
      <c r="C188" t="s">
        <v>1229</v>
      </c>
      <c r="D188" t="s">
        <v>1068</v>
      </c>
      <c r="E188" t="s">
        <v>1542</v>
      </c>
      <c r="F188" t="s">
        <v>1084</v>
      </c>
      <c r="G188">
        <v>257</v>
      </c>
      <c r="H188" s="215">
        <v>46084</v>
      </c>
      <c r="I188" t="s">
        <v>987</v>
      </c>
      <c r="J188">
        <v>4750</v>
      </c>
      <c r="K188">
        <v>5185</v>
      </c>
      <c r="L188">
        <v>1</v>
      </c>
      <c r="M188">
        <v>1</v>
      </c>
    </row>
    <row r="189" spans="1:13" x14ac:dyDescent="0.25">
      <c r="A189" t="s">
        <v>1232</v>
      </c>
      <c r="B189" t="s">
        <v>1233</v>
      </c>
      <c r="C189" t="s">
        <v>1229</v>
      </c>
      <c r="D189" t="s">
        <v>1068</v>
      </c>
      <c r="E189" t="s">
        <v>1542</v>
      </c>
      <c r="F189" t="s">
        <v>1084</v>
      </c>
      <c r="G189">
        <v>20</v>
      </c>
      <c r="H189" s="215">
        <v>46084</v>
      </c>
      <c r="I189" t="s">
        <v>987</v>
      </c>
      <c r="J189">
        <v>40250</v>
      </c>
      <c r="K189">
        <v>6100</v>
      </c>
      <c r="L189">
        <v>1</v>
      </c>
      <c r="M189">
        <v>1</v>
      </c>
    </row>
    <row r="190" spans="1:13" x14ac:dyDescent="0.25">
      <c r="A190" t="s">
        <v>1234</v>
      </c>
      <c r="B190" t="s">
        <v>1235</v>
      </c>
      <c r="C190" t="s">
        <v>1229</v>
      </c>
      <c r="D190" t="s">
        <v>1068</v>
      </c>
      <c r="E190" t="s">
        <v>1542</v>
      </c>
      <c r="F190" t="s">
        <v>1084</v>
      </c>
      <c r="G190">
        <v>36</v>
      </c>
      <c r="H190" s="215">
        <v>46084</v>
      </c>
      <c r="I190" t="s">
        <v>987</v>
      </c>
      <c r="J190">
        <v>4750</v>
      </c>
      <c r="K190">
        <v>7625</v>
      </c>
      <c r="L190">
        <v>1</v>
      </c>
      <c r="M190">
        <v>1</v>
      </c>
    </row>
    <row r="191" spans="1:13" x14ac:dyDescent="0.25">
      <c r="A191" t="s">
        <v>1236</v>
      </c>
      <c r="B191" t="s">
        <v>1237</v>
      </c>
      <c r="C191" t="s">
        <v>1229</v>
      </c>
      <c r="D191" t="s">
        <v>1068</v>
      </c>
      <c r="E191" t="s">
        <v>1542</v>
      </c>
      <c r="F191" t="s">
        <v>1084</v>
      </c>
      <c r="G191">
        <v>32</v>
      </c>
      <c r="H191" s="215">
        <v>46084</v>
      </c>
      <c r="I191" t="s">
        <v>987</v>
      </c>
      <c r="J191">
        <v>10350</v>
      </c>
      <c r="K191">
        <v>2440</v>
      </c>
      <c r="L191">
        <v>1</v>
      </c>
      <c r="M191">
        <v>1</v>
      </c>
    </row>
    <row r="192" spans="1:13" x14ac:dyDescent="0.25">
      <c r="A192" t="s">
        <v>1238</v>
      </c>
      <c r="B192" t="s">
        <v>1239</v>
      </c>
      <c r="C192" t="s">
        <v>1229</v>
      </c>
      <c r="D192" t="s">
        <v>1068</v>
      </c>
      <c r="E192" t="s">
        <v>1542</v>
      </c>
      <c r="F192" t="s">
        <v>1084</v>
      </c>
      <c r="G192">
        <v>8</v>
      </c>
      <c r="H192" s="215">
        <v>46084</v>
      </c>
      <c r="I192" t="s">
        <v>987</v>
      </c>
      <c r="J192">
        <v>13800</v>
      </c>
      <c r="K192">
        <v>3355</v>
      </c>
      <c r="L192">
        <v>1</v>
      </c>
      <c r="M192">
        <v>1</v>
      </c>
    </row>
    <row r="193" spans="1:13" x14ac:dyDescent="0.25">
      <c r="A193" t="s">
        <v>1240</v>
      </c>
      <c r="B193" t="s">
        <v>1241</v>
      </c>
      <c r="C193" t="s">
        <v>1229</v>
      </c>
      <c r="D193" t="s">
        <v>1068</v>
      </c>
      <c r="E193" t="s">
        <v>1542</v>
      </c>
      <c r="F193" t="s">
        <v>1084</v>
      </c>
      <c r="G193">
        <v>12</v>
      </c>
      <c r="H193" s="215">
        <v>46084</v>
      </c>
      <c r="I193" t="s">
        <v>987</v>
      </c>
      <c r="J193">
        <v>20700</v>
      </c>
      <c r="K193">
        <v>4880</v>
      </c>
      <c r="L193">
        <v>1</v>
      </c>
      <c r="M193">
        <v>1</v>
      </c>
    </row>
    <row r="194" spans="1:13" x14ac:dyDescent="0.25">
      <c r="A194" t="s">
        <v>1242</v>
      </c>
      <c r="B194" t="s">
        <v>1243</v>
      </c>
      <c r="C194" t="s">
        <v>1229</v>
      </c>
      <c r="D194" t="s">
        <v>1068</v>
      </c>
      <c r="E194" t="s">
        <v>1542</v>
      </c>
      <c r="F194" t="s">
        <v>1084</v>
      </c>
      <c r="G194">
        <v>76</v>
      </c>
      <c r="H194" s="215">
        <v>46084</v>
      </c>
      <c r="I194" t="s">
        <v>987</v>
      </c>
      <c r="J194">
        <v>34500</v>
      </c>
      <c r="K194">
        <v>2745</v>
      </c>
      <c r="L194">
        <v>1</v>
      </c>
      <c r="M194">
        <v>1</v>
      </c>
    </row>
    <row r="195" spans="1:13" x14ac:dyDescent="0.25">
      <c r="A195" t="s">
        <v>1244</v>
      </c>
      <c r="B195" t="s">
        <v>1245</v>
      </c>
      <c r="C195" t="s">
        <v>1229</v>
      </c>
      <c r="D195" t="s">
        <v>1068</v>
      </c>
      <c r="E195" t="s">
        <v>1542</v>
      </c>
      <c r="F195" t="s">
        <v>1084</v>
      </c>
      <c r="G195">
        <v>40</v>
      </c>
      <c r="H195" s="215">
        <v>46084</v>
      </c>
      <c r="I195" t="s">
        <v>987</v>
      </c>
      <c r="J195">
        <v>18400</v>
      </c>
      <c r="K195">
        <v>2440</v>
      </c>
      <c r="L195">
        <v>1</v>
      </c>
      <c r="M195">
        <v>1</v>
      </c>
    </row>
    <row r="196" spans="1:13" x14ac:dyDescent="0.25">
      <c r="A196" t="s">
        <v>1246</v>
      </c>
      <c r="B196" t="s">
        <v>1247</v>
      </c>
      <c r="C196" t="s">
        <v>1229</v>
      </c>
      <c r="D196" t="s">
        <v>1068</v>
      </c>
      <c r="E196" t="s">
        <v>1542</v>
      </c>
      <c r="F196" t="s">
        <v>1084</v>
      </c>
      <c r="G196">
        <v>24</v>
      </c>
      <c r="H196" s="215">
        <v>46084</v>
      </c>
      <c r="I196" t="s">
        <v>987</v>
      </c>
      <c r="J196">
        <v>20700</v>
      </c>
      <c r="K196">
        <v>3050</v>
      </c>
      <c r="L196">
        <v>1</v>
      </c>
      <c r="M196">
        <v>1</v>
      </c>
    </row>
    <row r="197" spans="1:13" x14ac:dyDescent="0.25">
      <c r="A197" t="s">
        <v>1248</v>
      </c>
      <c r="B197" t="s">
        <v>1249</v>
      </c>
      <c r="C197" t="s">
        <v>1229</v>
      </c>
      <c r="D197" t="s">
        <v>1068</v>
      </c>
      <c r="E197" t="s">
        <v>1542</v>
      </c>
      <c r="F197" t="s">
        <v>1084</v>
      </c>
      <c r="G197">
        <v>20</v>
      </c>
      <c r="H197" s="215">
        <v>46084</v>
      </c>
      <c r="I197" t="s">
        <v>987</v>
      </c>
      <c r="J197">
        <v>6900</v>
      </c>
      <c r="K197">
        <v>1680</v>
      </c>
      <c r="L197">
        <v>1</v>
      </c>
      <c r="M197">
        <v>1</v>
      </c>
    </row>
    <row r="198" spans="1:13" x14ac:dyDescent="0.25">
      <c r="A198" t="s">
        <v>1250</v>
      </c>
      <c r="B198" t="s">
        <v>1251</v>
      </c>
      <c r="C198" t="s">
        <v>1229</v>
      </c>
      <c r="D198" t="s">
        <v>1068</v>
      </c>
      <c r="E198" t="s">
        <v>1542</v>
      </c>
      <c r="F198" t="s">
        <v>1084</v>
      </c>
      <c r="G198">
        <v>64</v>
      </c>
      <c r="H198" s="215">
        <v>46084</v>
      </c>
      <c r="I198" t="s">
        <v>987</v>
      </c>
      <c r="J198">
        <v>67275</v>
      </c>
      <c r="K198">
        <v>14030</v>
      </c>
      <c r="L198">
        <v>1</v>
      </c>
      <c r="M198">
        <v>1</v>
      </c>
    </row>
    <row r="199" spans="1:13" x14ac:dyDescent="0.25">
      <c r="A199" t="s">
        <v>1252</v>
      </c>
      <c r="B199" t="s">
        <v>1253</v>
      </c>
      <c r="C199" t="s">
        <v>1229</v>
      </c>
      <c r="D199" t="s">
        <v>1068</v>
      </c>
      <c r="E199" t="s">
        <v>1542</v>
      </c>
      <c r="F199" t="s">
        <v>1084</v>
      </c>
      <c r="G199">
        <v>76</v>
      </c>
      <c r="H199" s="215">
        <v>46084</v>
      </c>
      <c r="I199" t="s">
        <v>987</v>
      </c>
      <c r="J199">
        <v>43125</v>
      </c>
      <c r="K199">
        <v>9760</v>
      </c>
      <c r="L199">
        <v>1</v>
      </c>
      <c r="M199">
        <v>1</v>
      </c>
    </row>
    <row r="200" spans="1:13" x14ac:dyDescent="0.25">
      <c r="A200" t="s">
        <v>1254</v>
      </c>
      <c r="B200" t="s">
        <v>1255</v>
      </c>
      <c r="C200" t="s">
        <v>1229</v>
      </c>
      <c r="D200" t="s">
        <v>1068</v>
      </c>
      <c r="E200" t="s">
        <v>1542</v>
      </c>
      <c r="F200" t="s">
        <v>1084</v>
      </c>
      <c r="G200">
        <v>128</v>
      </c>
      <c r="H200" s="215">
        <v>46084</v>
      </c>
      <c r="I200" t="s">
        <v>987</v>
      </c>
      <c r="J200">
        <v>8050</v>
      </c>
      <c r="K200">
        <v>580</v>
      </c>
      <c r="L200">
        <v>1</v>
      </c>
      <c r="M200">
        <v>1</v>
      </c>
    </row>
    <row r="201" spans="1:13" x14ac:dyDescent="0.25">
      <c r="A201" t="s">
        <v>1256</v>
      </c>
      <c r="B201" t="s">
        <v>1257</v>
      </c>
      <c r="C201" t="s">
        <v>1229</v>
      </c>
      <c r="D201" t="s">
        <v>1068</v>
      </c>
      <c r="E201" t="s">
        <v>1542</v>
      </c>
      <c r="F201" t="s">
        <v>1084</v>
      </c>
      <c r="G201">
        <v>90</v>
      </c>
      <c r="H201" s="215">
        <v>46084</v>
      </c>
      <c r="I201" t="s">
        <v>987</v>
      </c>
      <c r="J201">
        <v>8050</v>
      </c>
      <c r="K201">
        <v>640</v>
      </c>
      <c r="L201">
        <v>1</v>
      </c>
      <c r="M201">
        <v>1</v>
      </c>
    </row>
    <row r="202" spans="1:13" x14ac:dyDescent="0.25">
      <c r="A202" t="s">
        <v>1258</v>
      </c>
      <c r="B202" t="s">
        <v>1259</v>
      </c>
      <c r="C202" t="s">
        <v>1229</v>
      </c>
      <c r="D202" t="s">
        <v>1068</v>
      </c>
      <c r="E202" t="s">
        <v>1542</v>
      </c>
      <c r="F202" t="s">
        <v>1084</v>
      </c>
      <c r="G202">
        <v>20</v>
      </c>
      <c r="H202" s="215">
        <v>46084</v>
      </c>
      <c r="I202" t="s">
        <v>987</v>
      </c>
      <c r="J202">
        <v>10350</v>
      </c>
      <c r="K202">
        <v>855</v>
      </c>
      <c r="L202">
        <v>1</v>
      </c>
      <c r="M202">
        <v>1</v>
      </c>
    </row>
    <row r="203" spans="1:13" x14ac:dyDescent="0.25">
      <c r="A203" t="s">
        <v>1260</v>
      </c>
      <c r="B203" t="s">
        <v>1261</v>
      </c>
      <c r="C203" t="s">
        <v>1229</v>
      </c>
      <c r="D203" t="s">
        <v>1068</v>
      </c>
      <c r="E203" t="s">
        <v>1542</v>
      </c>
      <c r="F203" t="s">
        <v>1084</v>
      </c>
      <c r="G203">
        <v>15</v>
      </c>
      <c r="H203" s="215">
        <v>46084</v>
      </c>
      <c r="I203" t="s">
        <v>987</v>
      </c>
      <c r="J203">
        <v>46000</v>
      </c>
      <c r="K203">
        <v>4270</v>
      </c>
      <c r="L203">
        <v>1</v>
      </c>
      <c r="M203">
        <v>1</v>
      </c>
    </row>
    <row r="204" spans="1:13" x14ac:dyDescent="0.25">
      <c r="A204" t="s">
        <v>1262</v>
      </c>
      <c r="B204" t="s">
        <v>1263</v>
      </c>
      <c r="C204" t="s">
        <v>1229</v>
      </c>
      <c r="D204" t="s">
        <v>1068</v>
      </c>
      <c r="E204" t="s">
        <v>1542</v>
      </c>
      <c r="F204" t="s">
        <v>1084</v>
      </c>
      <c r="G204">
        <v>1</v>
      </c>
      <c r="H204" s="215">
        <v>46084</v>
      </c>
      <c r="I204" t="s">
        <v>987</v>
      </c>
      <c r="J204">
        <v>4197500</v>
      </c>
      <c r="K204">
        <v>610000</v>
      </c>
      <c r="L204">
        <v>1</v>
      </c>
      <c r="M204">
        <v>1</v>
      </c>
    </row>
    <row r="205" spans="1:13" x14ac:dyDescent="0.25">
      <c r="A205" t="s">
        <v>1264</v>
      </c>
      <c r="B205" t="s">
        <v>1265</v>
      </c>
      <c r="C205" t="s">
        <v>1229</v>
      </c>
      <c r="D205" t="s">
        <v>1068</v>
      </c>
      <c r="E205" t="s">
        <v>1542</v>
      </c>
      <c r="F205" t="s">
        <v>1084</v>
      </c>
      <c r="G205">
        <v>324</v>
      </c>
      <c r="H205" s="215">
        <v>46084</v>
      </c>
      <c r="I205" t="s">
        <v>987</v>
      </c>
      <c r="J205">
        <v>5750</v>
      </c>
      <c r="K205">
        <v>490</v>
      </c>
      <c r="L205">
        <v>1</v>
      </c>
      <c r="M205">
        <v>1</v>
      </c>
    </row>
    <row r="206" spans="1:13" x14ac:dyDescent="0.25">
      <c r="A206" t="s">
        <v>1266</v>
      </c>
      <c r="B206" t="s">
        <v>1267</v>
      </c>
      <c r="C206" t="s">
        <v>1229</v>
      </c>
      <c r="D206" t="s">
        <v>1068</v>
      </c>
      <c r="E206" t="s">
        <v>1542</v>
      </c>
      <c r="F206" t="s">
        <v>1084</v>
      </c>
      <c r="G206">
        <v>100</v>
      </c>
      <c r="H206" s="215">
        <v>46084</v>
      </c>
      <c r="I206" t="s">
        <v>987</v>
      </c>
      <c r="J206">
        <v>8050</v>
      </c>
      <c r="K206">
        <v>640</v>
      </c>
      <c r="L206">
        <v>1</v>
      </c>
      <c r="M206">
        <v>1</v>
      </c>
    </row>
    <row r="207" spans="1:13" x14ac:dyDescent="0.25">
      <c r="A207" t="s">
        <v>1268</v>
      </c>
      <c r="B207" t="s">
        <v>1269</v>
      </c>
      <c r="C207" t="s">
        <v>1229</v>
      </c>
      <c r="D207" t="s">
        <v>1068</v>
      </c>
      <c r="E207" t="s">
        <v>1542</v>
      </c>
      <c r="F207" t="s">
        <v>1084</v>
      </c>
      <c r="G207">
        <v>50</v>
      </c>
      <c r="H207" s="215">
        <v>46084</v>
      </c>
      <c r="I207" t="s">
        <v>987</v>
      </c>
      <c r="J207">
        <v>5750</v>
      </c>
      <c r="K207">
        <v>915</v>
      </c>
      <c r="L207">
        <v>1</v>
      </c>
      <c r="M207">
        <v>1</v>
      </c>
    </row>
    <row r="208" spans="1:13" x14ac:dyDescent="0.25">
      <c r="A208" t="s">
        <v>1270</v>
      </c>
      <c r="B208" t="s">
        <v>1271</v>
      </c>
      <c r="C208" t="s">
        <v>1229</v>
      </c>
      <c r="D208" t="s">
        <v>1068</v>
      </c>
      <c r="E208" t="s">
        <v>1542</v>
      </c>
      <c r="F208" t="s">
        <v>1084</v>
      </c>
      <c r="G208">
        <v>46</v>
      </c>
      <c r="H208" s="215">
        <v>46084</v>
      </c>
      <c r="I208" t="s">
        <v>987</v>
      </c>
      <c r="J208">
        <v>5750</v>
      </c>
      <c r="K208">
        <v>700</v>
      </c>
      <c r="L208">
        <v>1</v>
      </c>
      <c r="M208">
        <v>1</v>
      </c>
    </row>
    <row r="209" spans="1:13" x14ac:dyDescent="0.25">
      <c r="A209" t="s">
        <v>1272</v>
      </c>
      <c r="B209" t="s">
        <v>1273</v>
      </c>
      <c r="C209" t="s">
        <v>1229</v>
      </c>
      <c r="D209" t="s">
        <v>1068</v>
      </c>
      <c r="E209" t="s">
        <v>1542</v>
      </c>
      <c r="F209" t="s">
        <v>1084</v>
      </c>
      <c r="G209">
        <v>46</v>
      </c>
      <c r="H209" s="215">
        <v>46084</v>
      </c>
      <c r="I209" t="s">
        <v>987</v>
      </c>
      <c r="J209">
        <v>5750</v>
      </c>
      <c r="K209">
        <v>700</v>
      </c>
      <c r="L209">
        <v>1</v>
      </c>
      <c r="M209">
        <v>1</v>
      </c>
    </row>
    <row r="210" spans="1:13" x14ac:dyDescent="0.25">
      <c r="A210" t="s">
        <v>1274</v>
      </c>
      <c r="B210" t="s">
        <v>1275</v>
      </c>
      <c r="C210" t="s">
        <v>1229</v>
      </c>
      <c r="D210" t="s">
        <v>1068</v>
      </c>
      <c r="E210" t="s">
        <v>1542</v>
      </c>
      <c r="F210" t="s">
        <v>1084</v>
      </c>
      <c r="G210">
        <v>25</v>
      </c>
      <c r="H210" s="215">
        <v>46084</v>
      </c>
      <c r="I210" t="s">
        <v>987</v>
      </c>
      <c r="J210">
        <v>8050</v>
      </c>
      <c r="K210">
        <v>975</v>
      </c>
      <c r="L210">
        <v>1</v>
      </c>
      <c r="M210">
        <v>1</v>
      </c>
    </row>
    <row r="211" spans="1:13" x14ac:dyDescent="0.25">
      <c r="A211" t="s">
        <v>1276</v>
      </c>
      <c r="B211" t="s">
        <v>1277</v>
      </c>
      <c r="C211" t="s">
        <v>1278</v>
      </c>
      <c r="D211" t="s">
        <v>1068</v>
      </c>
      <c r="E211" t="s">
        <v>1542</v>
      </c>
      <c r="F211" t="s">
        <v>1084</v>
      </c>
      <c r="G211">
        <v>6</v>
      </c>
      <c r="H211" s="215">
        <v>46084</v>
      </c>
      <c r="I211" t="s">
        <v>987</v>
      </c>
      <c r="J211">
        <v>2300000</v>
      </c>
      <c r="K211">
        <v>457500</v>
      </c>
      <c r="L211">
        <v>1</v>
      </c>
      <c r="M211">
        <v>1</v>
      </c>
    </row>
    <row r="212" spans="1:13" x14ac:dyDescent="0.25">
      <c r="A212" t="s">
        <v>1279</v>
      </c>
      <c r="B212" t="s">
        <v>1280</v>
      </c>
      <c r="C212" t="s">
        <v>1278</v>
      </c>
      <c r="D212" t="s">
        <v>1068</v>
      </c>
      <c r="E212" t="s">
        <v>1542</v>
      </c>
      <c r="F212" t="s">
        <v>1084</v>
      </c>
      <c r="G212">
        <v>30</v>
      </c>
      <c r="H212" s="215">
        <v>46084</v>
      </c>
      <c r="I212" t="s">
        <v>987</v>
      </c>
      <c r="J212">
        <v>345000</v>
      </c>
      <c r="K212">
        <v>91500</v>
      </c>
      <c r="L212">
        <v>1</v>
      </c>
      <c r="M212">
        <v>1</v>
      </c>
    </row>
    <row r="213" spans="1:13" x14ac:dyDescent="0.25">
      <c r="A213" t="s">
        <v>1281</v>
      </c>
      <c r="B213" t="s">
        <v>1282</v>
      </c>
      <c r="C213" t="s">
        <v>1278</v>
      </c>
      <c r="D213" t="s">
        <v>1068</v>
      </c>
      <c r="E213" t="s">
        <v>1542</v>
      </c>
      <c r="F213" t="s">
        <v>1084</v>
      </c>
      <c r="G213">
        <v>20</v>
      </c>
      <c r="H213" s="215">
        <v>46084</v>
      </c>
      <c r="I213" t="s">
        <v>987</v>
      </c>
      <c r="J213">
        <v>460000</v>
      </c>
      <c r="K213">
        <v>118950</v>
      </c>
      <c r="L213">
        <v>1</v>
      </c>
      <c r="M213">
        <v>1</v>
      </c>
    </row>
    <row r="214" spans="1:13" x14ac:dyDescent="0.25">
      <c r="A214" t="s">
        <v>1283</v>
      </c>
      <c r="B214" t="s">
        <v>1284</v>
      </c>
      <c r="C214" t="s">
        <v>1278</v>
      </c>
      <c r="D214" t="s">
        <v>1068</v>
      </c>
      <c r="E214" t="s">
        <v>1542</v>
      </c>
      <c r="F214" t="s">
        <v>1084</v>
      </c>
      <c r="G214">
        <v>12</v>
      </c>
      <c r="H214" s="215">
        <v>46084</v>
      </c>
      <c r="I214" t="s">
        <v>987</v>
      </c>
      <c r="J214">
        <v>575000</v>
      </c>
      <c r="K214">
        <v>152500</v>
      </c>
      <c r="L214">
        <v>1</v>
      </c>
      <c r="M214">
        <v>1</v>
      </c>
    </row>
    <row r="215" spans="1:13" x14ac:dyDescent="0.25">
      <c r="A215" t="s">
        <v>1285</v>
      </c>
      <c r="B215" t="s">
        <v>1286</v>
      </c>
      <c r="C215" t="s">
        <v>1278</v>
      </c>
      <c r="D215" t="s">
        <v>1068</v>
      </c>
      <c r="E215" t="s">
        <v>1542</v>
      </c>
      <c r="F215" t="s">
        <v>1084</v>
      </c>
      <c r="G215">
        <v>1</v>
      </c>
      <c r="H215" s="215">
        <v>46084</v>
      </c>
      <c r="I215" t="s">
        <v>987</v>
      </c>
      <c r="J215">
        <v>690000</v>
      </c>
      <c r="L215">
        <v>1</v>
      </c>
      <c r="M215">
        <v>0</v>
      </c>
    </row>
    <row r="216" spans="1:13" x14ac:dyDescent="0.25">
      <c r="A216" t="s">
        <v>1287</v>
      </c>
      <c r="B216" t="s">
        <v>1288</v>
      </c>
      <c r="C216" t="s">
        <v>1278</v>
      </c>
      <c r="D216" t="s">
        <v>1068</v>
      </c>
      <c r="E216" t="s">
        <v>1542</v>
      </c>
      <c r="F216" t="s">
        <v>1084</v>
      </c>
      <c r="G216">
        <v>62</v>
      </c>
      <c r="H216" s="215">
        <v>46084</v>
      </c>
      <c r="I216" t="s">
        <v>987</v>
      </c>
      <c r="J216">
        <v>126500</v>
      </c>
      <c r="K216">
        <v>2745</v>
      </c>
      <c r="L216">
        <v>1</v>
      </c>
      <c r="M216">
        <v>1</v>
      </c>
    </row>
    <row r="217" spans="1:13" x14ac:dyDescent="0.25">
      <c r="A217" t="s">
        <v>1289</v>
      </c>
      <c r="B217" t="s">
        <v>1290</v>
      </c>
      <c r="C217" t="s">
        <v>1278</v>
      </c>
      <c r="D217" t="s">
        <v>1068</v>
      </c>
      <c r="E217" t="s">
        <v>1542</v>
      </c>
      <c r="F217" t="s">
        <v>1084</v>
      </c>
      <c r="G217">
        <v>1</v>
      </c>
      <c r="H217" s="215">
        <v>46084</v>
      </c>
      <c r="I217" t="s">
        <v>987</v>
      </c>
      <c r="J217">
        <v>1035000</v>
      </c>
      <c r="L217">
        <v>1</v>
      </c>
      <c r="M217">
        <v>0</v>
      </c>
    </row>
    <row r="218" spans="1:13" x14ac:dyDescent="0.25">
      <c r="A218" t="s">
        <v>1291</v>
      </c>
      <c r="B218" t="s">
        <v>1292</v>
      </c>
      <c r="C218" t="s">
        <v>1278</v>
      </c>
      <c r="D218" t="s">
        <v>1068</v>
      </c>
      <c r="E218" t="s">
        <v>1542</v>
      </c>
      <c r="F218" t="s">
        <v>1084</v>
      </c>
      <c r="G218">
        <v>1</v>
      </c>
      <c r="H218" s="215">
        <v>46084</v>
      </c>
      <c r="I218" t="s">
        <v>987</v>
      </c>
      <c r="J218">
        <v>1265000</v>
      </c>
      <c r="L218">
        <v>1</v>
      </c>
      <c r="M218">
        <v>0</v>
      </c>
    </row>
    <row r="219" spans="1:13" x14ac:dyDescent="0.25">
      <c r="A219" t="s">
        <v>1293</v>
      </c>
      <c r="B219" t="s">
        <v>1294</v>
      </c>
      <c r="C219" t="s">
        <v>1278</v>
      </c>
      <c r="D219" t="s">
        <v>1068</v>
      </c>
      <c r="E219" t="s">
        <v>1542</v>
      </c>
      <c r="F219" t="s">
        <v>1084</v>
      </c>
      <c r="G219">
        <v>1</v>
      </c>
      <c r="H219" s="215">
        <v>46084</v>
      </c>
      <c r="I219" t="s">
        <v>987</v>
      </c>
      <c r="J219">
        <v>1437500</v>
      </c>
      <c r="L219">
        <v>1</v>
      </c>
      <c r="M219">
        <v>0</v>
      </c>
    </row>
    <row r="220" spans="1:13" x14ac:dyDescent="0.25">
      <c r="A220" t="s">
        <v>1295</v>
      </c>
      <c r="B220" t="s">
        <v>1296</v>
      </c>
      <c r="C220" t="s">
        <v>1278</v>
      </c>
      <c r="D220" t="s">
        <v>1068</v>
      </c>
      <c r="E220" t="s">
        <v>1542</v>
      </c>
      <c r="F220" t="s">
        <v>1084</v>
      </c>
      <c r="G220">
        <v>1</v>
      </c>
      <c r="H220" s="215">
        <v>46084</v>
      </c>
      <c r="I220" t="s">
        <v>987</v>
      </c>
      <c r="J220">
        <v>13800000</v>
      </c>
      <c r="L220">
        <v>1</v>
      </c>
      <c r="M220">
        <v>0</v>
      </c>
    </row>
    <row r="221" spans="1:13" x14ac:dyDescent="0.25">
      <c r="A221" t="s">
        <v>1297</v>
      </c>
      <c r="B221" t="s">
        <v>1298</v>
      </c>
      <c r="C221" t="s">
        <v>1278</v>
      </c>
      <c r="D221" t="s">
        <v>1068</v>
      </c>
      <c r="E221" t="s">
        <v>1542</v>
      </c>
      <c r="F221" t="s">
        <v>1084</v>
      </c>
      <c r="G221">
        <v>10</v>
      </c>
      <c r="H221" s="215">
        <v>46084</v>
      </c>
      <c r="I221" t="s">
        <v>987</v>
      </c>
      <c r="J221">
        <v>80500</v>
      </c>
      <c r="K221">
        <v>4880</v>
      </c>
      <c r="L221">
        <v>1</v>
      </c>
      <c r="M221">
        <v>1</v>
      </c>
    </row>
    <row r="222" spans="1:13" x14ac:dyDescent="0.25">
      <c r="A222" t="s">
        <v>1299</v>
      </c>
      <c r="B222" t="s">
        <v>1300</v>
      </c>
      <c r="C222" t="s">
        <v>1278</v>
      </c>
      <c r="D222" t="s">
        <v>1068</v>
      </c>
      <c r="E222" t="s">
        <v>1542</v>
      </c>
      <c r="F222" t="s">
        <v>1084</v>
      </c>
      <c r="G222">
        <v>8</v>
      </c>
      <c r="H222" s="215">
        <v>46084</v>
      </c>
      <c r="I222" t="s">
        <v>987</v>
      </c>
      <c r="J222">
        <v>97750</v>
      </c>
      <c r="K222">
        <v>6405</v>
      </c>
      <c r="L222">
        <v>1</v>
      </c>
      <c r="M222">
        <v>1</v>
      </c>
    </row>
    <row r="223" spans="1:13" x14ac:dyDescent="0.25">
      <c r="A223" t="s">
        <v>1301</v>
      </c>
      <c r="B223" t="s">
        <v>1302</v>
      </c>
      <c r="C223" t="s">
        <v>1278</v>
      </c>
      <c r="D223" t="s">
        <v>1068</v>
      </c>
      <c r="E223" t="s">
        <v>1542</v>
      </c>
      <c r="F223" t="s">
        <v>1084</v>
      </c>
      <c r="G223">
        <v>4</v>
      </c>
      <c r="H223" s="215">
        <v>46084</v>
      </c>
      <c r="I223" t="s">
        <v>987</v>
      </c>
      <c r="J223">
        <v>138000</v>
      </c>
      <c r="K223">
        <v>7930</v>
      </c>
      <c r="L223">
        <v>1</v>
      </c>
      <c r="M223">
        <v>1</v>
      </c>
    </row>
    <row r="224" spans="1:13" x14ac:dyDescent="0.25">
      <c r="A224" t="s">
        <v>1303</v>
      </c>
      <c r="B224" t="s">
        <v>1304</v>
      </c>
      <c r="C224" t="s">
        <v>1305</v>
      </c>
      <c r="D224" t="s">
        <v>1068</v>
      </c>
      <c r="E224" t="s">
        <v>1542</v>
      </c>
      <c r="F224" t="s">
        <v>1084</v>
      </c>
      <c r="G224">
        <v>20</v>
      </c>
      <c r="H224" s="215">
        <v>46084</v>
      </c>
      <c r="I224" t="s">
        <v>987</v>
      </c>
      <c r="J224">
        <v>86250</v>
      </c>
      <c r="K224">
        <v>7015</v>
      </c>
      <c r="L224">
        <v>1</v>
      </c>
      <c r="M224">
        <v>1</v>
      </c>
    </row>
    <row r="225" spans="1:13" x14ac:dyDescent="0.25">
      <c r="A225" t="s">
        <v>1306</v>
      </c>
      <c r="B225" t="s">
        <v>1307</v>
      </c>
      <c r="C225" t="s">
        <v>1305</v>
      </c>
      <c r="D225" t="s">
        <v>1068</v>
      </c>
      <c r="E225" t="s">
        <v>1542</v>
      </c>
      <c r="F225" t="s">
        <v>1084</v>
      </c>
      <c r="G225">
        <v>10</v>
      </c>
      <c r="H225" s="215">
        <v>46084</v>
      </c>
      <c r="I225" t="s">
        <v>987</v>
      </c>
      <c r="J225">
        <v>86250</v>
      </c>
      <c r="K225">
        <v>8540</v>
      </c>
      <c r="L225">
        <v>1</v>
      </c>
      <c r="M225">
        <v>1</v>
      </c>
    </row>
    <row r="226" spans="1:13" x14ac:dyDescent="0.25">
      <c r="A226" t="s">
        <v>1308</v>
      </c>
      <c r="B226" t="s">
        <v>1309</v>
      </c>
      <c r="C226" t="s">
        <v>1305</v>
      </c>
      <c r="D226" t="s">
        <v>1068</v>
      </c>
      <c r="E226" t="s">
        <v>1542</v>
      </c>
      <c r="F226" t="s">
        <v>1084</v>
      </c>
      <c r="G226">
        <v>5</v>
      </c>
      <c r="H226" s="215">
        <v>46084</v>
      </c>
      <c r="I226" t="s">
        <v>987</v>
      </c>
      <c r="J226">
        <v>172500</v>
      </c>
      <c r="K226">
        <v>21350</v>
      </c>
      <c r="L226">
        <v>1</v>
      </c>
      <c r="M226">
        <v>1</v>
      </c>
    </row>
    <row r="227" spans="1:13" x14ac:dyDescent="0.25">
      <c r="A227" t="s">
        <v>1310</v>
      </c>
      <c r="B227" t="s">
        <v>1311</v>
      </c>
      <c r="C227" t="s">
        <v>1305</v>
      </c>
      <c r="D227" t="s">
        <v>1068</v>
      </c>
      <c r="E227" t="s">
        <v>1542</v>
      </c>
      <c r="F227" t="s">
        <v>1084</v>
      </c>
      <c r="G227">
        <v>6</v>
      </c>
      <c r="H227" s="215">
        <v>46084</v>
      </c>
      <c r="I227" t="s">
        <v>987</v>
      </c>
      <c r="J227">
        <v>12650</v>
      </c>
      <c r="L227">
        <v>1</v>
      </c>
      <c r="M227">
        <v>0</v>
      </c>
    </row>
    <row r="228" spans="1:13" x14ac:dyDescent="0.25">
      <c r="A228" t="s">
        <v>1312</v>
      </c>
      <c r="B228" t="s">
        <v>1313</v>
      </c>
      <c r="C228" t="s">
        <v>1305</v>
      </c>
      <c r="D228" t="s">
        <v>1068</v>
      </c>
      <c r="E228" t="s">
        <v>1542</v>
      </c>
      <c r="F228" t="s">
        <v>1084</v>
      </c>
      <c r="G228">
        <v>25</v>
      </c>
      <c r="H228" s="215">
        <v>46084</v>
      </c>
      <c r="I228" t="s">
        <v>987</v>
      </c>
      <c r="J228">
        <v>63250</v>
      </c>
      <c r="K228">
        <v>7015</v>
      </c>
      <c r="L228">
        <v>1</v>
      </c>
      <c r="M228">
        <v>1</v>
      </c>
    </row>
    <row r="229" spans="1:13" x14ac:dyDescent="0.25">
      <c r="A229" t="s">
        <v>1314</v>
      </c>
      <c r="B229" t="s">
        <v>1315</v>
      </c>
      <c r="C229" t="s">
        <v>1305</v>
      </c>
      <c r="D229" t="s">
        <v>1068</v>
      </c>
      <c r="E229" t="s">
        <v>1542</v>
      </c>
      <c r="F229" t="s">
        <v>1084</v>
      </c>
      <c r="G229">
        <v>6</v>
      </c>
      <c r="H229" s="215">
        <v>46084</v>
      </c>
      <c r="I229" t="s">
        <v>987</v>
      </c>
      <c r="J229">
        <v>74750</v>
      </c>
      <c r="K229">
        <v>5185</v>
      </c>
      <c r="L229">
        <v>1</v>
      </c>
      <c r="M229">
        <v>1</v>
      </c>
    </row>
    <row r="230" spans="1:13" x14ac:dyDescent="0.25">
      <c r="A230" t="s">
        <v>1316</v>
      </c>
      <c r="B230" t="s">
        <v>1317</v>
      </c>
      <c r="C230" t="s">
        <v>1305</v>
      </c>
      <c r="D230" t="s">
        <v>1068</v>
      </c>
      <c r="E230" t="s">
        <v>1542</v>
      </c>
      <c r="F230" t="s">
        <v>1084</v>
      </c>
      <c r="G230">
        <v>1</v>
      </c>
      <c r="H230" s="215">
        <v>46084</v>
      </c>
      <c r="I230" t="s">
        <v>987</v>
      </c>
      <c r="J230">
        <v>1035000</v>
      </c>
      <c r="L230">
        <v>1</v>
      </c>
      <c r="M230">
        <v>0</v>
      </c>
    </row>
    <row r="231" spans="1:13" x14ac:dyDescent="0.25">
      <c r="A231" t="s">
        <v>1318</v>
      </c>
      <c r="B231" t="s">
        <v>1319</v>
      </c>
      <c r="C231" t="s">
        <v>1305</v>
      </c>
      <c r="D231" t="s">
        <v>1068</v>
      </c>
      <c r="E231" t="s">
        <v>1542</v>
      </c>
      <c r="F231" t="s">
        <v>1084</v>
      </c>
      <c r="G231">
        <v>1</v>
      </c>
      <c r="H231" s="215">
        <v>46084</v>
      </c>
      <c r="I231" t="s">
        <v>987</v>
      </c>
      <c r="J231">
        <v>575000</v>
      </c>
      <c r="L231">
        <v>1</v>
      </c>
      <c r="M231">
        <v>0</v>
      </c>
    </row>
    <row r="232" spans="1:13" x14ac:dyDescent="0.25">
      <c r="A232" t="s">
        <v>1320</v>
      </c>
      <c r="B232" t="s">
        <v>1321</v>
      </c>
      <c r="C232" t="s">
        <v>1305</v>
      </c>
      <c r="D232" t="s">
        <v>1068</v>
      </c>
      <c r="E232" t="s">
        <v>1542</v>
      </c>
      <c r="F232" t="s">
        <v>1084</v>
      </c>
      <c r="G232">
        <v>1</v>
      </c>
      <c r="H232" s="215">
        <v>46084</v>
      </c>
      <c r="I232" t="s">
        <v>987</v>
      </c>
      <c r="J232">
        <v>74750</v>
      </c>
      <c r="L232">
        <v>1</v>
      </c>
      <c r="M232">
        <v>0</v>
      </c>
    </row>
    <row r="233" spans="1:13" x14ac:dyDescent="0.25">
      <c r="A233" t="s">
        <v>1322</v>
      </c>
      <c r="B233" t="s">
        <v>1323</v>
      </c>
      <c r="C233" t="s">
        <v>1305</v>
      </c>
      <c r="D233" t="s">
        <v>1068</v>
      </c>
      <c r="E233" t="s">
        <v>1542</v>
      </c>
      <c r="F233" t="s">
        <v>1084</v>
      </c>
      <c r="G233">
        <v>4</v>
      </c>
      <c r="H233" s="215">
        <v>46084</v>
      </c>
      <c r="I233" t="s">
        <v>987</v>
      </c>
      <c r="J233">
        <v>71300</v>
      </c>
      <c r="K233">
        <v>8540</v>
      </c>
      <c r="L233">
        <v>1</v>
      </c>
      <c r="M233">
        <v>1</v>
      </c>
    </row>
    <row r="234" spans="1:13" x14ac:dyDescent="0.25">
      <c r="A234" t="s">
        <v>1324</v>
      </c>
      <c r="B234" t="s">
        <v>1325</v>
      </c>
      <c r="C234" t="s">
        <v>1305</v>
      </c>
      <c r="D234" t="s">
        <v>1068</v>
      </c>
      <c r="E234" t="s">
        <v>1542</v>
      </c>
      <c r="F234" t="s">
        <v>1084</v>
      </c>
      <c r="G234">
        <v>4</v>
      </c>
      <c r="H234" s="215">
        <v>46084</v>
      </c>
      <c r="I234" t="s">
        <v>987</v>
      </c>
      <c r="J234">
        <v>120750</v>
      </c>
      <c r="K234">
        <v>16775</v>
      </c>
      <c r="L234">
        <v>1</v>
      </c>
      <c r="M234">
        <v>1</v>
      </c>
    </row>
    <row r="235" spans="1:13" x14ac:dyDescent="0.25">
      <c r="A235" t="s">
        <v>1326</v>
      </c>
      <c r="B235" t="s">
        <v>1327</v>
      </c>
      <c r="C235" t="s">
        <v>1305</v>
      </c>
      <c r="D235" t="s">
        <v>1068</v>
      </c>
      <c r="E235" t="s">
        <v>1542</v>
      </c>
      <c r="F235" t="s">
        <v>1084</v>
      </c>
      <c r="G235">
        <v>1</v>
      </c>
      <c r="H235" s="215">
        <v>46084</v>
      </c>
      <c r="I235" t="s">
        <v>987</v>
      </c>
      <c r="J235">
        <v>141450</v>
      </c>
      <c r="K235">
        <v>12200</v>
      </c>
      <c r="L235">
        <v>1</v>
      </c>
      <c r="M235">
        <v>1</v>
      </c>
    </row>
    <row r="236" spans="1:13" x14ac:dyDescent="0.25">
      <c r="A236" t="s">
        <v>1328</v>
      </c>
      <c r="B236" t="s">
        <v>1329</v>
      </c>
      <c r="C236" t="s">
        <v>1305</v>
      </c>
      <c r="D236" t="s">
        <v>1068</v>
      </c>
      <c r="E236" t="s">
        <v>1542</v>
      </c>
      <c r="F236" t="s">
        <v>1084</v>
      </c>
      <c r="G236">
        <v>4</v>
      </c>
      <c r="H236" s="215">
        <v>46084</v>
      </c>
      <c r="I236" t="s">
        <v>987</v>
      </c>
      <c r="J236">
        <v>11500</v>
      </c>
      <c r="L236">
        <v>1</v>
      </c>
      <c r="M236">
        <v>0</v>
      </c>
    </row>
    <row r="237" spans="1:13" x14ac:dyDescent="0.25">
      <c r="A237" t="s">
        <v>1330</v>
      </c>
      <c r="B237" t="s">
        <v>1331</v>
      </c>
      <c r="C237" t="s">
        <v>1305</v>
      </c>
      <c r="D237" t="s">
        <v>1068</v>
      </c>
      <c r="E237" t="s">
        <v>1542</v>
      </c>
      <c r="F237" t="s">
        <v>1084</v>
      </c>
      <c r="G237">
        <v>1</v>
      </c>
      <c r="H237" s="215">
        <v>46084</v>
      </c>
      <c r="I237" t="s">
        <v>987</v>
      </c>
      <c r="J237">
        <v>747500</v>
      </c>
      <c r="L237">
        <v>1</v>
      </c>
      <c r="M237">
        <v>0</v>
      </c>
    </row>
    <row r="238" spans="1:13" x14ac:dyDescent="0.25">
      <c r="A238" t="s">
        <v>1332</v>
      </c>
      <c r="B238" t="s">
        <v>1333</v>
      </c>
      <c r="C238" t="s">
        <v>1305</v>
      </c>
      <c r="D238" t="s">
        <v>1068</v>
      </c>
      <c r="E238" t="s">
        <v>1542</v>
      </c>
      <c r="F238" t="s">
        <v>1084</v>
      </c>
      <c r="G238">
        <v>1</v>
      </c>
      <c r="H238" s="215">
        <v>46084</v>
      </c>
      <c r="I238" t="s">
        <v>987</v>
      </c>
      <c r="J238">
        <v>805000</v>
      </c>
      <c r="L238">
        <v>1</v>
      </c>
      <c r="M238">
        <v>0</v>
      </c>
    </row>
    <row r="239" spans="1:13" x14ac:dyDescent="0.25">
      <c r="A239" t="s">
        <v>1334</v>
      </c>
      <c r="B239" t="s">
        <v>1335</v>
      </c>
      <c r="C239" t="s">
        <v>1305</v>
      </c>
      <c r="D239" t="s">
        <v>1068</v>
      </c>
      <c r="E239" t="s">
        <v>1542</v>
      </c>
      <c r="F239" t="s">
        <v>1084</v>
      </c>
      <c r="G239">
        <v>1</v>
      </c>
      <c r="H239" s="215">
        <v>46084</v>
      </c>
      <c r="I239" t="s">
        <v>987</v>
      </c>
      <c r="J239">
        <v>575000</v>
      </c>
      <c r="L239">
        <v>1</v>
      </c>
      <c r="M239">
        <v>0</v>
      </c>
    </row>
    <row r="240" spans="1:13" x14ac:dyDescent="0.25">
      <c r="A240" t="s">
        <v>1336</v>
      </c>
      <c r="B240" t="s">
        <v>1337</v>
      </c>
      <c r="C240" t="s">
        <v>1305</v>
      </c>
      <c r="D240" t="s">
        <v>1068</v>
      </c>
      <c r="E240" t="s">
        <v>1542</v>
      </c>
      <c r="F240" t="s">
        <v>1084</v>
      </c>
      <c r="G240">
        <v>5</v>
      </c>
      <c r="H240" s="215">
        <v>46084</v>
      </c>
      <c r="I240" t="s">
        <v>987</v>
      </c>
      <c r="J240">
        <v>272320</v>
      </c>
      <c r="K240">
        <v>24400</v>
      </c>
      <c r="L240">
        <v>1</v>
      </c>
      <c r="M240">
        <v>1</v>
      </c>
    </row>
    <row r="241" spans="1:13" x14ac:dyDescent="0.25">
      <c r="A241" t="s">
        <v>1338</v>
      </c>
      <c r="B241" t="s">
        <v>1339</v>
      </c>
      <c r="C241" t="s">
        <v>1305</v>
      </c>
      <c r="D241" t="s">
        <v>1068</v>
      </c>
      <c r="E241" t="s">
        <v>1542</v>
      </c>
      <c r="F241" t="s">
        <v>1084</v>
      </c>
      <c r="G241">
        <v>10</v>
      </c>
      <c r="H241" s="215">
        <v>46084</v>
      </c>
      <c r="I241" t="s">
        <v>987</v>
      </c>
      <c r="J241">
        <v>224250</v>
      </c>
      <c r="K241">
        <v>18300</v>
      </c>
      <c r="L241">
        <v>1</v>
      </c>
      <c r="M241">
        <v>1</v>
      </c>
    </row>
    <row r="242" spans="1:13" x14ac:dyDescent="0.25">
      <c r="A242" t="s">
        <v>1340</v>
      </c>
      <c r="B242" t="s">
        <v>1341</v>
      </c>
      <c r="C242" t="s">
        <v>1305</v>
      </c>
      <c r="D242" t="s">
        <v>1068</v>
      </c>
      <c r="E242" t="s">
        <v>1542</v>
      </c>
      <c r="F242" t="s">
        <v>1084</v>
      </c>
      <c r="G242">
        <v>1</v>
      </c>
      <c r="H242" s="215">
        <v>46084</v>
      </c>
      <c r="I242" t="s">
        <v>987</v>
      </c>
      <c r="J242">
        <v>1092500</v>
      </c>
      <c r="K242">
        <v>97600</v>
      </c>
      <c r="L242">
        <v>1</v>
      </c>
      <c r="M242">
        <v>1</v>
      </c>
    </row>
    <row r="243" spans="1:13" x14ac:dyDescent="0.25">
      <c r="A243" t="s">
        <v>1342</v>
      </c>
      <c r="B243" t="s">
        <v>1343</v>
      </c>
      <c r="C243" t="s">
        <v>1305</v>
      </c>
      <c r="D243" t="s">
        <v>1068</v>
      </c>
      <c r="E243" t="s">
        <v>1542</v>
      </c>
      <c r="F243" t="s">
        <v>1084</v>
      </c>
      <c r="G243">
        <v>1</v>
      </c>
      <c r="H243" s="215">
        <v>46084</v>
      </c>
      <c r="I243" t="s">
        <v>987</v>
      </c>
      <c r="J243">
        <v>184000</v>
      </c>
      <c r="K243">
        <v>64050</v>
      </c>
      <c r="L243">
        <v>1</v>
      </c>
      <c r="M243">
        <v>1</v>
      </c>
    </row>
    <row r="244" spans="1:13" x14ac:dyDescent="0.25">
      <c r="A244" t="s">
        <v>1344</v>
      </c>
      <c r="B244" t="s">
        <v>1345</v>
      </c>
      <c r="C244" t="s">
        <v>1305</v>
      </c>
      <c r="D244" t="s">
        <v>1068</v>
      </c>
      <c r="E244" t="s">
        <v>1542</v>
      </c>
      <c r="F244" t="s">
        <v>1084</v>
      </c>
      <c r="G244">
        <v>1</v>
      </c>
      <c r="H244" s="215">
        <v>46084</v>
      </c>
      <c r="I244" t="s">
        <v>987</v>
      </c>
      <c r="J244">
        <v>575000</v>
      </c>
      <c r="L244">
        <v>1</v>
      </c>
      <c r="M244">
        <v>0</v>
      </c>
    </row>
    <row r="245" spans="1:13" x14ac:dyDescent="0.25">
      <c r="A245" t="s">
        <v>1346</v>
      </c>
      <c r="B245" t="s">
        <v>1347</v>
      </c>
      <c r="C245" t="s">
        <v>1305</v>
      </c>
      <c r="D245" t="s">
        <v>1068</v>
      </c>
      <c r="E245" t="s">
        <v>1542</v>
      </c>
      <c r="F245" t="s">
        <v>1084</v>
      </c>
      <c r="G245">
        <v>10</v>
      </c>
      <c r="H245" s="215">
        <v>46084</v>
      </c>
      <c r="I245" t="s">
        <v>987</v>
      </c>
      <c r="J245">
        <v>230000</v>
      </c>
      <c r="K245">
        <v>33550</v>
      </c>
      <c r="L245">
        <v>1</v>
      </c>
      <c r="M245">
        <v>1</v>
      </c>
    </row>
    <row r="246" spans="1:13" x14ac:dyDescent="0.25">
      <c r="A246" t="s">
        <v>1348</v>
      </c>
      <c r="B246" t="s">
        <v>1349</v>
      </c>
      <c r="C246" t="s">
        <v>1350</v>
      </c>
      <c r="D246" t="s">
        <v>1068</v>
      </c>
      <c r="E246" t="s">
        <v>1542</v>
      </c>
      <c r="F246" t="s">
        <v>1084</v>
      </c>
      <c r="G246">
        <v>34</v>
      </c>
      <c r="H246" s="215">
        <v>46084</v>
      </c>
      <c r="I246" t="s">
        <v>987</v>
      </c>
      <c r="J246">
        <v>264500</v>
      </c>
      <c r="K246">
        <v>27450</v>
      </c>
      <c r="L246">
        <v>1</v>
      </c>
      <c r="M246">
        <v>1</v>
      </c>
    </row>
    <row r="247" spans="1:13" x14ac:dyDescent="0.25">
      <c r="A247" t="s">
        <v>1351</v>
      </c>
      <c r="B247" t="s">
        <v>1352</v>
      </c>
      <c r="C247" t="s">
        <v>1350</v>
      </c>
      <c r="D247" t="s">
        <v>1068</v>
      </c>
      <c r="E247" t="s">
        <v>1542</v>
      </c>
      <c r="F247" t="s">
        <v>1084</v>
      </c>
      <c r="G247">
        <v>12</v>
      </c>
      <c r="H247" s="215">
        <v>46084</v>
      </c>
      <c r="I247" t="s">
        <v>987</v>
      </c>
      <c r="J247">
        <v>517500</v>
      </c>
      <c r="K247">
        <v>24400</v>
      </c>
      <c r="L247">
        <v>1</v>
      </c>
      <c r="M247">
        <v>1</v>
      </c>
    </row>
    <row r="248" spans="1:13" x14ac:dyDescent="0.25">
      <c r="A248" t="s">
        <v>1353</v>
      </c>
      <c r="B248" t="s">
        <v>1354</v>
      </c>
      <c r="C248" t="s">
        <v>1350</v>
      </c>
      <c r="D248" t="s">
        <v>1068</v>
      </c>
      <c r="E248" t="s">
        <v>1542</v>
      </c>
      <c r="F248" t="s">
        <v>1084</v>
      </c>
      <c r="G248">
        <v>32</v>
      </c>
      <c r="H248" s="215">
        <v>46084</v>
      </c>
      <c r="I248" t="s">
        <v>987</v>
      </c>
      <c r="J248">
        <v>126500</v>
      </c>
      <c r="K248">
        <v>13725</v>
      </c>
      <c r="L248">
        <v>1</v>
      </c>
      <c r="M248">
        <v>1</v>
      </c>
    </row>
    <row r="249" spans="1:13" x14ac:dyDescent="0.25">
      <c r="A249" t="s">
        <v>1355</v>
      </c>
      <c r="B249" t="s">
        <v>1356</v>
      </c>
      <c r="C249" t="s">
        <v>1350</v>
      </c>
      <c r="D249" t="s">
        <v>1068</v>
      </c>
      <c r="E249" t="s">
        <v>1542</v>
      </c>
      <c r="F249" t="s">
        <v>1084</v>
      </c>
      <c r="G249">
        <v>6</v>
      </c>
      <c r="H249" s="215">
        <v>46084</v>
      </c>
      <c r="I249" t="s">
        <v>987</v>
      </c>
      <c r="J249">
        <v>109250</v>
      </c>
      <c r="K249">
        <v>16165</v>
      </c>
      <c r="L249">
        <v>1</v>
      </c>
      <c r="M249">
        <v>1</v>
      </c>
    </row>
    <row r="250" spans="1:13" x14ac:dyDescent="0.25">
      <c r="A250" t="s">
        <v>1357</v>
      </c>
      <c r="B250" t="s">
        <v>1358</v>
      </c>
      <c r="C250" t="s">
        <v>1350</v>
      </c>
      <c r="D250" t="s">
        <v>1068</v>
      </c>
      <c r="E250" t="s">
        <v>1542</v>
      </c>
      <c r="F250" t="s">
        <v>1084</v>
      </c>
      <c r="G250">
        <v>5</v>
      </c>
      <c r="H250" s="215">
        <v>46084</v>
      </c>
      <c r="I250" t="s">
        <v>987</v>
      </c>
      <c r="J250">
        <v>201250</v>
      </c>
      <c r="K250">
        <v>32025</v>
      </c>
      <c r="L250">
        <v>1</v>
      </c>
      <c r="M250">
        <v>1</v>
      </c>
    </row>
    <row r="251" spans="1:13" x14ac:dyDescent="0.25">
      <c r="A251" t="s">
        <v>1359</v>
      </c>
      <c r="B251" t="s">
        <v>1360</v>
      </c>
      <c r="C251" t="s">
        <v>1350</v>
      </c>
      <c r="D251" t="s">
        <v>1068</v>
      </c>
      <c r="E251" t="s">
        <v>1542</v>
      </c>
      <c r="F251" t="s">
        <v>1084</v>
      </c>
      <c r="G251">
        <v>5</v>
      </c>
      <c r="H251" s="215">
        <v>46084</v>
      </c>
      <c r="I251" t="s">
        <v>987</v>
      </c>
      <c r="J251">
        <v>247250</v>
      </c>
      <c r="K251">
        <v>41175</v>
      </c>
      <c r="L251">
        <v>1</v>
      </c>
      <c r="M251">
        <v>1</v>
      </c>
    </row>
    <row r="252" spans="1:13" x14ac:dyDescent="0.25">
      <c r="A252" t="s">
        <v>1361</v>
      </c>
      <c r="B252" t="s">
        <v>1362</v>
      </c>
      <c r="C252" t="s">
        <v>1350</v>
      </c>
      <c r="D252" t="s">
        <v>1068</v>
      </c>
      <c r="E252" t="s">
        <v>1542</v>
      </c>
      <c r="F252" t="s">
        <v>1084</v>
      </c>
      <c r="G252">
        <v>2</v>
      </c>
      <c r="H252" s="215">
        <v>46084</v>
      </c>
      <c r="I252" t="s">
        <v>987</v>
      </c>
      <c r="J252">
        <v>316250</v>
      </c>
      <c r="K252">
        <v>48800</v>
      </c>
      <c r="L252">
        <v>1</v>
      </c>
      <c r="M252">
        <v>1</v>
      </c>
    </row>
    <row r="253" spans="1:13" x14ac:dyDescent="0.25">
      <c r="A253" t="s">
        <v>1363</v>
      </c>
      <c r="B253" t="s">
        <v>1364</v>
      </c>
      <c r="C253" t="s">
        <v>1350</v>
      </c>
      <c r="D253" t="s">
        <v>1068</v>
      </c>
      <c r="E253" t="s">
        <v>1542</v>
      </c>
      <c r="F253" t="s">
        <v>1177</v>
      </c>
      <c r="G253">
        <v>100</v>
      </c>
      <c r="H253" s="215">
        <v>46084</v>
      </c>
      <c r="I253" t="s">
        <v>987</v>
      </c>
      <c r="J253">
        <v>4255</v>
      </c>
      <c r="L253">
        <v>1</v>
      </c>
      <c r="M253">
        <v>0</v>
      </c>
    </row>
    <row r="254" spans="1:13" x14ac:dyDescent="0.25">
      <c r="A254" t="s">
        <v>1365</v>
      </c>
      <c r="B254" t="s">
        <v>1366</v>
      </c>
      <c r="C254" t="s">
        <v>1350</v>
      </c>
      <c r="D254" t="s">
        <v>1068</v>
      </c>
      <c r="E254" t="s">
        <v>1542</v>
      </c>
      <c r="F254" t="s">
        <v>1177</v>
      </c>
      <c r="G254">
        <v>100</v>
      </c>
      <c r="H254" s="215">
        <v>46084</v>
      </c>
      <c r="I254" t="s">
        <v>987</v>
      </c>
      <c r="J254">
        <v>5635</v>
      </c>
      <c r="L254">
        <v>1</v>
      </c>
      <c r="M254">
        <v>0</v>
      </c>
    </row>
    <row r="255" spans="1:13" x14ac:dyDescent="0.25">
      <c r="A255" t="s">
        <v>1367</v>
      </c>
      <c r="B255" t="s">
        <v>1368</v>
      </c>
      <c r="C255" t="s">
        <v>1350</v>
      </c>
      <c r="D255" t="s">
        <v>1068</v>
      </c>
      <c r="E255" t="s">
        <v>1542</v>
      </c>
      <c r="F255" t="s">
        <v>1177</v>
      </c>
      <c r="G255">
        <v>80</v>
      </c>
      <c r="H255" s="215">
        <v>46084</v>
      </c>
      <c r="I255" t="s">
        <v>987</v>
      </c>
      <c r="J255">
        <v>5980</v>
      </c>
      <c r="L255">
        <v>1</v>
      </c>
      <c r="M255">
        <v>0</v>
      </c>
    </row>
    <row r="256" spans="1:13" x14ac:dyDescent="0.25">
      <c r="A256" t="s">
        <v>1369</v>
      </c>
      <c r="B256" t="s">
        <v>1370</v>
      </c>
      <c r="C256" t="s">
        <v>1350</v>
      </c>
      <c r="D256" t="s">
        <v>1068</v>
      </c>
      <c r="E256" t="s">
        <v>1542</v>
      </c>
      <c r="F256" t="s">
        <v>1177</v>
      </c>
      <c r="G256">
        <v>90</v>
      </c>
      <c r="H256" s="215">
        <v>46084</v>
      </c>
      <c r="I256" t="s">
        <v>987</v>
      </c>
      <c r="J256">
        <v>8050</v>
      </c>
      <c r="L256">
        <v>1</v>
      </c>
      <c r="M256">
        <v>0</v>
      </c>
    </row>
    <row r="257" spans="1:13" x14ac:dyDescent="0.25">
      <c r="A257" t="s">
        <v>1371</v>
      </c>
      <c r="B257" t="s">
        <v>1372</v>
      </c>
      <c r="C257" t="s">
        <v>1350</v>
      </c>
      <c r="D257" t="s">
        <v>1068</v>
      </c>
      <c r="E257" t="s">
        <v>1542</v>
      </c>
      <c r="F257" t="s">
        <v>1177</v>
      </c>
      <c r="G257">
        <v>120</v>
      </c>
      <c r="H257" s="215">
        <v>46084</v>
      </c>
      <c r="I257" t="s">
        <v>987</v>
      </c>
      <c r="J257">
        <v>9545</v>
      </c>
      <c r="L257">
        <v>1</v>
      </c>
      <c r="M257">
        <v>0</v>
      </c>
    </row>
    <row r="258" spans="1:13" x14ac:dyDescent="0.25">
      <c r="A258" t="s">
        <v>1373</v>
      </c>
      <c r="B258" t="s">
        <v>1374</v>
      </c>
      <c r="C258" t="s">
        <v>1350</v>
      </c>
      <c r="D258" t="s">
        <v>1068</v>
      </c>
      <c r="E258" t="s">
        <v>1542</v>
      </c>
      <c r="F258" t="s">
        <v>1177</v>
      </c>
      <c r="G258">
        <v>400</v>
      </c>
      <c r="H258" s="215">
        <v>46084</v>
      </c>
      <c r="I258" t="s">
        <v>987</v>
      </c>
      <c r="J258">
        <v>11224</v>
      </c>
      <c r="L258">
        <v>1</v>
      </c>
      <c r="M258">
        <v>0</v>
      </c>
    </row>
    <row r="259" spans="1:13" x14ac:dyDescent="0.25">
      <c r="A259" t="s">
        <v>1375</v>
      </c>
      <c r="B259" t="s">
        <v>1376</v>
      </c>
      <c r="C259" t="s">
        <v>1350</v>
      </c>
      <c r="D259" t="s">
        <v>1068</v>
      </c>
      <c r="E259" t="s">
        <v>1542</v>
      </c>
      <c r="F259" t="s">
        <v>1177</v>
      </c>
      <c r="G259">
        <v>80</v>
      </c>
      <c r="H259" s="215">
        <v>46084</v>
      </c>
      <c r="I259" t="s">
        <v>987</v>
      </c>
      <c r="J259">
        <v>13915</v>
      </c>
      <c r="L259">
        <v>1</v>
      </c>
      <c r="M259">
        <v>0</v>
      </c>
    </row>
    <row r="260" spans="1:13" x14ac:dyDescent="0.25">
      <c r="A260" t="s">
        <v>1377</v>
      </c>
      <c r="B260" t="s">
        <v>1378</v>
      </c>
      <c r="C260" t="s">
        <v>1350</v>
      </c>
      <c r="D260" t="s">
        <v>1068</v>
      </c>
      <c r="E260" t="s">
        <v>1542</v>
      </c>
      <c r="F260" t="s">
        <v>1177</v>
      </c>
      <c r="G260">
        <v>25</v>
      </c>
      <c r="H260" s="215">
        <v>46084</v>
      </c>
      <c r="I260" t="s">
        <v>987</v>
      </c>
      <c r="J260">
        <v>21327</v>
      </c>
      <c r="L260">
        <v>1</v>
      </c>
      <c r="M260">
        <v>0</v>
      </c>
    </row>
    <row r="261" spans="1:13" x14ac:dyDescent="0.25">
      <c r="A261" t="s">
        <v>1379</v>
      </c>
      <c r="B261" t="s">
        <v>1380</v>
      </c>
      <c r="C261" t="s">
        <v>1350</v>
      </c>
      <c r="D261" t="s">
        <v>1068</v>
      </c>
      <c r="E261" t="s">
        <v>1542</v>
      </c>
      <c r="F261" t="s">
        <v>1177</v>
      </c>
      <c r="G261">
        <v>10</v>
      </c>
      <c r="H261" s="215">
        <v>46084</v>
      </c>
      <c r="I261" t="s">
        <v>987</v>
      </c>
      <c r="J261">
        <v>23575</v>
      </c>
      <c r="L261">
        <v>1</v>
      </c>
      <c r="M261">
        <v>0</v>
      </c>
    </row>
    <row r="262" spans="1:13" x14ac:dyDescent="0.25">
      <c r="A262" t="s">
        <v>1381</v>
      </c>
      <c r="B262" t="s">
        <v>1382</v>
      </c>
      <c r="C262" t="s">
        <v>1350</v>
      </c>
      <c r="D262" t="s">
        <v>1068</v>
      </c>
      <c r="E262" t="s">
        <v>1542</v>
      </c>
      <c r="F262" t="s">
        <v>1177</v>
      </c>
      <c r="G262">
        <v>50</v>
      </c>
      <c r="H262" s="215">
        <v>46084</v>
      </c>
      <c r="I262" t="s">
        <v>987</v>
      </c>
      <c r="J262">
        <v>5980</v>
      </c>
      <c r="L262">
        <v>1</v>
      </c>
      <c r="M262">
        <v>0</v>
      </c>
    </row>
    <row r="263" spans="1:13" x14ac:dyDescent="0.25">
      <c r="A263" t="s">
        <v>1383</v>
      </c>
      <c r="B263" t="s">
        <v>1384</v>
      </c>
      <c r="C263" t="s">
        <v>1350</v>
      </c>
      <c r="D263" t="s">
        <v>1068</v>
      </c>
      <c r="E263" t="s">
        <v>1542</v>
      </c>
      <c r="F263" t="s">
        <v>1177</v>
      </c>
      <c r="G263">
        <v>50</v>
      </c>
      <c r="H263" s="215">
        <v>46084</v>
      </c>
      <c r="I263" t="s">
        <v>987</v>
      </c>
      <c r="J263">
        <v>5405</v>
      </c>
      <c r="L263">
        <v>1</v>
      </c>
      <c r="M263">
        <v>0</v>
      </c>
    </row>
    <row r="264" spans="1:13" x14ac:dyDescent="0.25">
      <c r="A264" t="s">
        <v>1385</v>
      </c>
      <c r="B264" t="s">
        <v>1386</v>
      </c>
      <c r="C264" t="s">
        <v>1350</v>
      </c>
      <c r="D264" t="s">
        <v>1068</v>
      </c>
      <c r="E264" t="s">
        <v>1542</v>
      </c>
      <c r="F264" t="s">
        <v>1177</v>
      </c>
      <c r="G264">
        <v>150</v>
      </c>
      <c r="H264" s="215">
        <v>46084</v>
      </c>
      <c r="I264" t="s">
        <v>987</v>
      </c>
      <c r="J264">
        <v>4830</v>
      </c>
      <c r="L264">
        <v>1</v>
      </c>
      <c r="M264">
        <v>0</v>
      </c>
    </row>
    <row r="265" spans="1:13" x14ac:dyDescent="0.25">
      <c r="A265" t="s">
        <v>1387</v>
      </c>
      <c r="B265" t="s">
        <v>1388</v>
      </c>
      <c r="C265" t="s">
        <v>1350</v>
      </c>
      <c r="D265" t="s">
        <v>1068</v>
      </c>
      <c r="E265" t="s">
        <v>1542</v>
      </c>
      <c r="F265" t="s">
        <v>1177</v>
      </c>
      <c r="G265">
        <v>40</v>
      </c>
      <c r="H265" s="215">
        <v>46084</v>
      </c>
      <c r="I265" t="s">
        <v>987</v>
      </c>
      <c r="J265">
        <v>4255</v>
      </c>
      <c r="L265">
        <v>1</v>
      </c>
      <c r="M265">
        <v>0</v>
      </c>
    </row>
    <row r="266" spans="1:13" x14ac:dyDescent="0.25">
      <c r="A266" t="s">
        <v>1389</v>
      </c>
      <c r="B266" t="s">
        <v>1390</v>
      </c>
      <c r="C266" t="s">
        <v>1350</v>
      </c>
      <c r="D266" t="s">
        <v>1068</v>
      </c>
      <c r="E266" t="s">
        <v>1542</v>
      </c>
      <c r="F266" t="s">
        <v>1177</v>
      </c>
      <c r="G266">
        <v>150</v>
      </c>
      <c r="H266" s="215">
        <v>46084</v>
      </c>
      <c r="I266" t="s">
        <v>987</v>
      </c>
      <c r="J266">
        <v>3450</v>
      </c>
      <c r="L266">
        <v>1</v>
      </c>
      <c r="M266">
        <v>0</v>
      </c>
    </row>
    <row r="267" spans="1:13" x14ac:dyDescent="0.25">
      <c r="A267" t="s">
        <v>1391</v>
      </c>
      <c r="B267" t="s">
        <v>1392</v>
      </c>
      <c r="C267" t="s">
        <v>1350</v>
      </c>
      <c r="D267" t="s">
        <v>1068</v>
      </c>
      <c r="E267" t="s">
        <v>1542</v>
      </c>
      <c r="F267" t="s">
        <v>1177</v>
      </c>
      <c r="G267">
        <v>150</v>
      </c>
      <c r="H267" s="215">
        <v>46084</v>
      </c>
      <c r="I267" t="s">
        <v>987</v>
      </c>
      <c r="J267">
        <v>4255</v>
      </c>
      <c r="L267">
        <v>1</v>
      </c>
      <c r="M267">
        <v>0</v>
      </c>
    </row>
    <row r="268" spans="1:13" x14ac:dyDescent="0.25">
      <c r="A268" t="s">
        <v>1393</v>
      </c>
      <c r="B268" t="s">
        <v>1394</v>
      </c>
      <c r="C268" t="s">
        <v>1350</v>
      </c>
      <c r="D268" t="s">
        <v>1068</v>
      </c>
      <c r="E268" t="s">
        <v>1542</v>
      </c>
      <c r="F268" t="s">
        <v>1177</v>
      </c>
      <c r="G268">
        <v>60</v>
      </c>
      <c r="H268" s="215">
        <v>46084</v>
      </c>
      <c r="I268" t="s">
        <v>987</v>
      </c>
      <c r="J268">
        <v>4830</v>
      </c>
      <c r="L268">
        <v>1</v>
      </c>
      <c r="M268">
        <v>0</v>
      </c>
    </row>
    <row r="269" spans="1:13" x14ac:dyDescent="0.25">
      <c r="A269" t="s">
        <v>1395</v>
      </c>
      <c r="B269" t="s">
        <v>1396</v>
      </c>
      <c r="C269" t="s">
        <v>1350</v>
      </c>
      <c r="D269" t="s">
        <v>1068</v>
      </c>
      <c r="E269" t="s">
        <v>1542</v>
      </c>
      <c r="F269" t="s">
        <v>1177</v>
      </c>
      <c r="G269">
        <v>60</v>
      </c>
      <c r="H269" s="215">
        <v>46084</v>
      </c>
      <c r="I269" t="s">
        <v>987</v>
      </c>
      <c r="J269">
        <v>7475</v>
      </c>
      <c r="L269">
        <v>1</v>
      </c>
      <c r="M269">
        <v>0</v>
      </c>
    </row>
    <row r="270" spans="1:13" x14ac:dyDescent="0.25">
      <c r="A270" t="s">
        <v>1397</v>
      </c>
      <c r="B270" t="s">
        <v>1398</v>
      </c>
      <c r="C270" t="s">
        <v>1350</v>
      </c>
      <c r="D270" t="s">
        <v>1068</v>
      </c>
      <c r="E270" t="s">
        <v>1542</v>
      </c>
      <c r="F270" t="s">
        <v>1084</v>
      </c>
      <c r="G270">
        <v>35</v>
      </c>
      <c r="H270" s="215">
        <v>46084</v>
      </c>
      <c r="I270" t="s">
        <v>987</v>
      </c>
      <c r="J270">
        <v>550600</v>
      </c>
      <c r="L270">
        <v>1</v>
      </c>
      <c r="M270">
        <v>0</v>
      </c>
    </row>
    <row r="271" spans="1:13" x14ac:dyDescent="0.25">
      <c r="A271" t="s">
        <v>1399</v>
      </c>
      <c r="B271" t="s">
        <v>1400</v>
      </c>
      <c r="C271" t="s">
        <v>1350</v>
      </c>
      <c r="D271" t="s">
        <v>1068</v>
      </c>
      <c r="E271" t="s">
        <v>1542</v>
      </c>
      <c r="F271" t="s">
        <v>1084</v>
      </c>
      <c r="G271">
        <v>1</v>
      </c>
      <c r="H271" s="215">
        <v>46084</v>
      </c>
      <c r="I271" t="s">
        <v>987</v>
      </c>
      <c r="J271">
        <v>1725000</v>
      </c>
      <c r="L271">
        <v>1</v>
      </c>
      <c r="M271">
        <v>0</v>
      </c>
    </row>
    <row r="272" spans="1:13" x14ac:dyDescent="0.25">
      <c r="A272" t="s">
        <v>1403</v>
      </c>
      <c r="B272" t="s">
        <v>1404</v>
      </c>
      <c r="C272" t="s">
        <v>1350</v>
      </c>
      <c r="D272" t="s">
        <v>1068</v>
      </c>
      <c r="E272" t="s">
        <v>1542</v>
      </c>
      <c r="F272" t="s">
        <v>1084</v>
      </c>
      <c r="G272">
        <v>5</v>
      </c>
      <c r="H272" s="215">
        <v>46084</v>
      </c>
      <c r="I272" t="s">
        <v>987</v>
      </c>
      <c r="J272">
        <v>402500</v>
      </c>
      <c r="L272">
        <v>1</v>
      </c>
      <c r="M272">
        <v>0</v>
      </c>
    </row>
    <row r="273" spans="1:13" x14ac:dyDescent="0.25">
      <c r="A273" t="s">
        <v>1405</v>
      </c>
      <c r="B273" t="s">
        <v>1406</v>
      </c>
      <c r="C273" t="s">
        <v>1350</v>
      </c>
      <c r="D273" t="s">
        <v>1068</v>
      </c>
      <c r="E273" t="s">
        <v>1542</v>
      </c>
      <c r="F273" t="s">
        <v>1084</v>
      </c>
      <c r="G273">
        <v>15</v>
      </c>
      <c r="H273" s="215">
        <v>46084</v>
      </c>
      <c r="I273" t="s">
        <v>987</v>
      </c>
      <c r="J273">
        <v>11500</v>
      </c>
      <c r="L273">
        <v>1</v>
      </c>
      <c r="M273">
        <v>0</v>
      </c>
    </row>
    <row r="274" spans="1:13" x14ac:dyDescent="0.25">
      <c r="A274" t="s">
        <v>1407</v>
      </c>
      <c r="B274" t="s">
        <v>1408</v>
      </c>
      <c r="C274" t="s">
        <v>1350</v>
      </c>
      <c r="D274" t="s">
        <v>1068</v>
      </c>
      <c r="E274" t="s">
        <v>1542</v>
      </c>
      <c r="F274" t="s">
        <v>1084</v>
      </c>
      <c r="G274">
        <v>1</v>
      </c>
      <c r="H274" s="215">
        <v>46084</v>
      </c>
      <c r="I274" t="s">
        <v>987</v>
      </c>
      <c r="J274">
        <v>862500</v>
      </c>
      <c r="L274">
        <v>1</v>
      </c>
      <c r="M274">
        <v>0</v>
      </c>
    </row>
    <row r="275" spans="1:13" x14ac:dyDescent="0.25">
      <c r="A275" t="s">
        <v>1409</v>
      </c>
      <c r="B275" t="s">
        <v>1410</v>
      </c>
      <c r="C275" t="s">
        <v>1350</v>
      </c>
      <c r="D275" t="s">
        <v>1068</v>
      </c>
      <c r="E275" t="s">
        <v>1542</v>
      </c>
      <c r="F275" t="s">
        <v>1084</v>
      </c>
      <c r="G275">
        <v>1</v>
      </c>
      <c r="H275" s="215">
        <v>46084</v>
      </c>
      <c r="I275" t="s">
        <v>987</v>
      </c>
      <c r="J275">
        <v>575000</v>
      </c>
      <c r="L275">
        <v>1</v>
      </c>
      <c r="M275">
        <v>0</v>
      </c>
    </row>
    <row r="276" spans="1:13" x14ac:dyDescent="0.25">
      <c r="A276" t="s">
        <v>1411</v>
      </c>
      <c r="B276" t="s">
        <v>1410</v>
      </c>
      <c r="C276" t="s">
        <v>1350</v>
      </c>
      <c r="D276" t="s">
        <v>1068</v>
      </c>
      <c r="E276" t="s">
        <v>1542</v>
      </c>
      <c r="F276" t="s">
        <v>1084</v>
      </c>
      <c r="G276">
        <v>1</v>
      </c>
      <c r="H276" s="215">
        <v>46084</v>
      </c>
      <c r="I276" t="s">
        <v>987</v>
      </c>
      <c r="J276">
        <v>402500</v>
      </c>
      <c r="L276">
        <v>1</v>
      </c>
      <c r="M276">
        <v>0</v>
      </c>
    </row>
    <row r="277" spans="1:13" x14ac:dyDescent="0.25">
      <c r="A277" t="s">
        <v>1412</v>
      </c>
      <c r="B277" t="s">
        <v>1413</v>
      </c>
      <c r="C277" t="s">
        <v>1350</v>
      </c>
      <c r="D277" t="s">
        <v>1068</v>
      </c>
      <c r="E277" t="s">
        <v>1542</v>
      </c>
      <c r="F277" t="s">
        <v>1084</v>
      </c>
      <c r="G277">
        <v>6</v>
      </c>
      <c r="H277" s="215">
        <v>46084</v>
      </c>
      <c r="I277" t="s">
        <v>987</v>
      </c>
      <c r="J277">
        <v>26450</v>
      </c>
      <c r="L277">
        <v>1</v>
      </c>
      <c r="M277">
        <v>0</v>
      </c>
    </row>
    <row r="278" spans="1:13" x14ac:dyDescent="0.25">
      <c r="A278" t="s">
        <v>1414</v>
      </c>
      <c r="B278" t="s">
        <v>1413</v>
      </c>
      <c r="C278" t="s">
        <v>1350</v>
      </c>
      <c r="D278" t="s">
        <v>1068</v>
      </c>
      <c r="E278" t="s">
        <v>1542</v>
      </c>
      <c r="F278" t="s">
        <v>1084</v>
      </c>
      <c r="G278">
        <v>5</v>
      </c>
      <c r="H278" s="215">
        <v>46084</v>
      </c>
      <c r="I278" t="s">
        <v>987</v>
      </c>
      <c r="J278">
        <v>28750</v>
      </c>
      <c r="L278">
        <v>1</v>
      </c>
      <c r="M278">
        <v>0</v>
      </c>
    </row>
    <row r="279" spans="1:13" x14ac:dyDescent="0.25">
      <c r="A279" t="s">
        <v>1415</v>
      </c>
      <c r="B279" t="s">
        <v>1416</v>
      </c>
      <c r="C279" t="s">
        <v>1350</v>
      </c>
      <c r="D279" t="s">
        <v>1068</v>
      </c>
      <c r="E279" t="s">
        <v>1542</v>
      </c>
      <c r="F279" t="s">
        <v>1177</v>
      </c>
      <c r="G279">
        <v>50</v>
      </c>
      <c r="H279" s="215">
        <v>46084</v>
      </c>
      <c r="I279" t="s">
        <v>987</v>
      </c>
      <c r="J279">
        <v>14375</v>
      </c>
      <c r="L279">
        <v>1</v>
      </c>
      <c r="M279">
        <v>0</v>
      </c>
    </row>
    <row r="280" spans="1:13" x14ac:dyDescent="0.25">
      <c r="A280" t="s">
        <v>1417</v>
      </c>
      <c r="B280" t="s">
        <v>1418</v>
      </c>
      <c r="C280" t="s">
        <v>1350</v>
      </c>
      <c r="D280" t="s">
        <v>1068</v>
      </c>
      <c r="E280" t="s">
        <v>1542</v>
      </c>
      <c r="F280" t="s">
        <v>1177</v>
      </c>
      <c r="G280">
        <v>80</v>
      </c>
      <c r="H280" s="215">
        <v>46084</v>
      </c>
      <c r="I280" t="s">
        <v>987</v>
      </c>
      <c r="J280">
        <v>19550</v>
      </c>
      <c r="L280">
        <v>1</v>
      </c>
      <c r="M280">
        <v>0</v>
      </c>
    </row>
    <row r="281" spans="1:13" x14ac:dyDescent="0.25">
      <c r="A281" t="s">
        <v>1419</v>
      </c>
      <c r="B281" t="s">
        <v>1420</v>
      </c>
      <c r="C281" t="s">
        <v>1350</v>
      </c>
      <c r="D281" t="s">
        <v>1068</v>
      </c>
      <c r="E281" t="s">
        <v>1542</v>
      </c>
      <c r="F281" t="s">
        <v>1177</v>
      </c>
      <c r="G281">
        <v>30</v>
      </c>
      <c r="H281" s="215">
        <v>46084</v>
      </c>
      <c r="I281" t="s">
        <v>987</v>
      </c>
      <c r="J281">
        <v>29210</v>
      </c>
      <c r="L281">
        <v>1</v>
      </c>
      <c r="M281">
        <v>0</v>
      </c>
    </row>
    <row r="282" spans="1:13" x14ac:dyDescent="0.25">
      <c r="A282" t="s">
        <v>1421</v>
      </c>
      <c r="B282" t="s">
        <v>1422</v>
      </c>
      <c r="C282" t="s">
        <v>1423</v>
      </c>
      <c r="D282" t="s">
        <v>1068</v>
      </c>
      <c r="E282" t="s">
        <v>1727</v>
      </c>
      <c r="F282" t="s">
        <v>1110</v>
      </c>
      <c r="G282">
        <v>559</v>
      </c>
      <c r="H282" s="215">
        <v>46084</v>
      </c>
      <c r="I282" t="s">
        <v>987</v>
      </c>
      <c r="J282">
        <v>26450</v>
      </c>
      <c r="L282">
        <v>1</v>
      </c>
      <c r="M282">
        <v>0</v>
      </c>
    </row>
    <row r="283" spans="1:13" x14ac:dyDescent="0.25">
      <c r="A283" t="s">
        <v>1424</v>
      </c>
      <c r="B283" t="s">
        <v>1425</v>
      </c>
      <c r="C283" t="s">
        <v>1423</v>
      </c>
      <c r="D283" t="s">
        <v>1068</v>
      </c>
      <c r="E283" t="s">
        <v>1729</v>
      </c>
      <c r="F283" t="s">
        <v>1110</v>
      </c>
      <c r="G283">
        <v>60.74</v>
      </c>
      <c r="H283" s="215">
        <v>46084</v>
      </c>
      <c r="I283" t="s">
        <v>987</v>
      </c>
      <c r="J283">
        <v>39100</v>
      </c>
      <c r="L283">
        <v>1</v>
      </c>
      <c r="M283">
        <v>0</v>
      </c>
    </row>
    <row r="284" spans="1:13" x14ac:dyDescent="0.25">
      <c r="A284" t="s">
        <v>1426</v>
      </c>
      <c r="B284" t="s">
        <v>1427</v>
      </c>
      <c r="C284" t="s">
        <v>1423</v>
      </c>
      <c r="D284" t="s">
        <v>1068</v>
      </c>
      <c r="E284" t="s">
        <v>1762</v>
      </c>
      <c r="F284" t="s">
        <v>1110</v>
      </c>
      <c r="G284">
        <v>182</v>
      </c>
      <c r="H284" s="215">
        <v>46084</v>
      </c>
      <c r="I284" t="s">
        <v>987</v>
      </c>
      <c r="J284">
        <v>23000</v>
      </c>
      <c r="L284">
        <v>1</v>
      </c>
      <c r="M284">
        <v>0</v>
      </c>
    </row>
    <row r="285" spans="1:13" x14ac:dyDescent="0.25">
      <c r="A285" t="s">
        <v>1428</v>
      </c>
      <c r="B285" t="s">
        <v>1429</v>
      </c>
      <c r="C285" t="s">
        <v>1423</v>
      </c>
      <c r="D285" t="s">
        <v>1068</v>
      </c>
      <c r="E285" t="s">
        <v>1762</v>
      </c>
      <c r="F285" t="s">
        <v>1177</v>
      </c>
      <c r="G285">
        <v>172.84</v>
      </c>
      <c r="H285" s="215">
        <v>46084</v>
      </c>
      <c r="I285" t="s">
        <v>987</v>
      </c>
      <c r="J285">
        <v>5750</v>
      </c>
      <c r="L285">
        <v>1</v>
      </c>
      <c r="M285">
        <v>0</v>
      </c>
    </row>
    <row r="286" spans="1:13" x14ac:dyDescent="0.25">
      <c r="A286" t="s">
        <v>1426</v>
      </c>
      <c r="B286" t="s">
        <v>1427</v>
      </c>
      <c r="C286" t="s">
        <v>1423</v>
      </c>
      <c r="D286" t="s">
        <v>1068</v>
      </c>
      <c r="E286" t="s">
        <v>1765</v>
      </c>
      <c r="F286" t="s">
        <v>1110</v>
      </c>
      <c r="G286">
        <v>182</v>
      </c>
      <c r="H286" s="215">
        <v>46084</v>
      </c>
      <c r="I286" t="s">
        <v>987</v>
      </c>
      <c r="J286">
        <v>23000</v>
      </c>
      <c r="L286">
        <v>1</v>
      </c>
      <c r="M286">
        <v>0</v>
      </c>
    </row>
    <row r="287" spans="1:13" x14ac:dyDescent="0.25">
      <c r="A287" t="s">
        <v>1428</v>
      </c>
      <c r="B287" t="s">
        <v>1429</v>
      </c>
      <c r="C287" t="s">
        <v>1423</v>
      </c>
      <c r="D287" t="s">
        <v>1068</v>
      </c>
      <c r="E287" t="s">
        <v>1765</v>
      </c>
      <c r="F287" t="s">
        <v>1177</v>
      </c>
      <c r="G287">
        <v>172.84</v>
      </c>
      <c r="H287" s="215">
        <v>46084</v>
      </c>
      <c r="I287" t="s">
        <v>987</v>
      </c>
      <c r="J287">
        <v>5750</v>
      </c>
      <c r="L287">
        <v>1</v>
      </c>
      <c r="M287">
        <v>0</v>
      </c>
    </row>
    <row r="288" spans="1:13" x14ac:dyDescent="0.25">
      <c r="A288" t="s">
        <v>1430</v>
      </c>
      <c r="B288" t="s">
        <v>1431</v>
      </c>
      <c r="C288" t="s">
        <v>1432</v>
      </c>
      <c r="D288" t="s">
        <v>1068</v>
      </c>
      <c r="E288" t="s">
        <v>1542</v>
      </c>
      <c r="F288" t="s">
        <v>1084</v>
      </c>
      <c r="G288">
        <v>1</v>
      </c>
      <c r="H288" s="215">
        <v>46084</v>
      </c>
      <c r="I288" t="s">
        <v>987</v>
      </c>
      <c r="J288">
        <v>25300000</v>
      </c>
      <c r="L288">
        <v>1</v>
      </c>
      <c r="M288">
        <v>0</v>
      </c>
    </row>
    <row r="289" spans="1:13" x14ac:dyDescent="0.25">
      <c r="A289" t="s">
        <v>1433</v>
      </c>
      <c r="B289" t="s">
        <v>1434</v>
      </c>
      <c r="C289" t="s">
        <v>1435</v>
      </c>
      <c r="D289" t="s">
        <v>1068</v>
      </c>
      <c r="E289" t="s">
        <v>1542</v>
      </c>
      <c r="F289" t="s">
        <v>1110</v>
      </c>
      <c r="G289">
        <v>190</v>
      </c>
      <c r="H289" s="215">
        <v>46084</v>
      </c>
      <c r="I289" t="s">
        <v>987</v>
      </c>
      <c r="J289">
        <v>174750</v>
      </c>
      <c r="K289">
        <v>9760</v>
      </c>
      <c r="L289">
        <v>1</v>
      </c>
      <c r="M289">
        <v>1</v>
      </c>
    </row>
    <row r="290" spans="1:13" x14ac:dyDescent="0.25">
      <c r="A290" t="s">
        <v>1433</v>
      </c>
      <c r="B290" t="s">
        <v>1434</v>
      </c>
      <c r="C290" t="s">
        <v>1435</v>
      </c>
      <c r="D290" t="s">
        <v>1070</v>
      </c>
      <c r="E290" t="s">
        <v>1542</v>
      </c>
      <c r="F290" t="s">
        <v>1110</v>
      </c>
      <c r="G290">
        <v>233.97</v>
      </c>
      <c r="H290" s="215">
        <v>46084</v>
      </c>
      <c r="I290" t="s">
        <v>987</v>
      </c>
      <c r="J290">
        <v>174750</v>
      </c>
      <c r="K290">
        <v>9760</v>
      </c>
      <c r="L290">
        <v>1</v>
      </c>
      <c r="M290">
        <v>1</v>
      </c>
    </row>
    <row r="291" spans="1:13" x14ac:dyDescent="0.25">
      <c r="A291" t="s">
        <v>1436</v>
      </c>
      <c r="B291" t="s">
        <v>1437</v>
      </c>
      <c r="C291" t="s">
        <v>1438</v>
      </c>
      <c r="D291" t="s">
        <v>1068</v>
      </c>
      <c r="E291" t="s">
        <v>1727</v>
      </c>
      <c r="F291" t="s">
        <v>1110</v>
      </c>
      <c r="G291">
        <v>1701</v>
      </c>
      <c r="H291" s="215">
        <v>46084</v>
      </c>
      <c r="I291" t="s">
        <v>987</v>
      </c>
      <c r="J291">
        <v>575</v>
      </c>
      <c r="K291">
        <v>575</v>
      </c>
      <c r="L291">
        <v>1</v>
      </c>
      <c r="M291">
        <v>1</v>
      </c>
    </row>
    <row r="292" spans="1:13" x14ac:dyDescent="0.25">
      <c r="A292" t="s">
        <v>1439</v>
      </c>
      <c r="B292" t="s">
        <v>1440</v>
      </c>
      <c r="C292" t="s">
        <v>1438</v>
      </c>
      <c r="D292" t="s">
        <v>1068</v>
      </c>
      <c r="E292" t="s">
        <v>1727</v>
      </c>
      <c r="F292" t="s">
        <v>1110</v>
      </c>
      <c r="G292">
        <v>1701</v>
      </c>
      <c r="H292" s="215">
        <v>46084</v>
      </c>
      <c r="I292" t="s">
        <v>987</v>
      </c>
      <c r="J292">
        <v>6325</v>
      </c>
      <c r="K292">
        <v>6325</v>
      </c>
      <c r="L292">
        <v>1</v>
      </c>
      <c r="M292">
        <v>1</v>
      </c>
    </row>
    <row r="293" spans="1:13" x14ac:dyDescent="0.25">
      <c r="A293" t="s">
        <v>1441</v>
      </c>
      <c r="B293" t="s">
        <v>1437</v>
      </c>
      <c r="C293" t="s">
        <v>1438</v>
      </c>
      <c r="D293" t="s">
        <v>1068</v>
      </c>
      <c r="E293" t="s">
        <v>1727</v>
      </c>
      <c r="F293" t="s">
        <v>1110</v>
      </c>
      <c r="G293">
        <v>210</v>
      </c>
      <c r="H293" s="215">
        <v>46084</v>
      </c>
      <c r="I293" t="s">
        <v>987</v>
      </c>
      <c r="J293">
        <v>575</v>
      </c>
      <c r="K293">
        <v>575</v>
      </c>
      <c r="L293">
        <v>1</v>
      </c>
      <c r="M293">
        <v>1</v>
      </c>
    </row>
    <row r="294" spans="1:13" x14ac:dyDescent="0.25">
      <c r="A294" t="s">
        <v>1442</v>
      </c>
      <c r="B294" t="s">
        <v>1440</v>
      </c>
      <c r="C294" t="s">
        <v>1438</v>
      </c>
      <c r="D294" t="s">
        <v>1068</v>
      </c>
      <c r="E294" t="s">
        <v>1727</v>
      </c>
      <c r="F294" t="s">
        <v>1110</v>
      </c>
      <c r="G294">
        <v>210</v>
      </c>
      <c r="H294" s="215">
        <v>46084</v>
      </c>
      <c r="I294" t="s">
        <v>987</v>
      </c>
      <c r="J294">
        <v>6325</v>
      </c>
      <c r="K294">
        <v>6325</v>
      </c>
      <c r="L294">
        <v>1</v>
      </c>
      <c r="M294">
        <v>1</v>
      </c>
    </row>
    <row r="295" spans="1:13" x14ac:dyDescent="0.25">
      <c r="A295" t="s">
        <v>1436</v>
      </c>
      <c r="B295" t="s">
        <v>1437</v>
      </c>
      <c r="C295" t="s">
        <v>1438</v>
      </c>
      <c r="D295" t="s">
        <v>1068</v>
      </c>
      <c r="E295" t="s">
        <v>1729</v>
      </c>
      <c r="F295" t="s">
        <v>1110</v>
      </c>
      <c r="G295">
        <v>1649</v>
      </c>
      <c r="H295" s="215">
        <v>46084</v>
      </c>
      <c r="I295" t="s">
        <v>987</v>
      </c>
      <c r="J295">
        <v>575</v>
      </c>
      <c r="K295">
        <v>575</v>
      </c>
      <c r="L295">
        <v>1</v>
      </c>
      <c r="M295">
        <v>1</v>
      </c>
    </row>
    <row r="296" spans="1:13" x14ac:dyDescent="0.25">
      <c r="A296" t="s">
        <v>1439</v>
      </c>
      <c r="B296" t="s">
        <v>1440</v>
      </c>
      <c r="C296" t="s">
        <v>1438</v>
      </c>
      <c r="D296" t="s">
        <v>1068</v>
      </c>
      <c r="E296" t="s">
        <v>1729</v>
      </c>
      <c r="F296" t="s">
        <v>1110</v>
      </c>
      <c r="G296">
        <v>1649</v>
      </c>
      <c r="H296" s="215">
        <v>46084</v>
      </c>
      <c r="I296" t="s">
        <v>987</v>
      </c>
      <c r="J296">
        <v>6325</v>
      </c>
      <c r="K296">
        <v>6325</v>
      </c>
      <c r="L296">
        <v>1</v>
      </c>
      <c r="M296">
        <v>1</v>
      </c>
    </row>
    <row r="297" spans="1:13" x14ac:dyDescent="0.25">
      <c r="A297" t="s">
        <v>1441</v>
      </c>
      <c r="B297" t="s">
        <v>1437</v>
      </c>
      <c r="C297" t="s">
        <v>1438</v>
      </c>
      <c r="D297" t="s">
        <v>1068</v>
      </c>
      <c r="E297" t="s">
        <v>1729</v>
      </c>
      <c r="F297" t="s">
        <v>1110</v>
      </c>
      <c r="G297">
        <v>804</v>
      </c>
      <c r="H297" s="215">
        <v>46084</v>
      </c>
      <c r="I297" t="s">
        <v>987</v>
      </c>
      <c r="J297">
        <v>575</v>
      </c>
      <c r="K297">
        <v>575</v>
      </c>
      <c r="L297">
        <v>1</v>
      </c>
      <c r="M297">
        <v>1</v>
      </c>
    </row>
    <row r="298" spans="1:13" x14ac:dyDescent="0.25">
      <c r="A298" t="s">
        <v>1442</v>
      </c>
      <c r="B298" t="s">
        <v>1440</v>
      </c>
      <c r="C298" t="s">
        <v>1438</v>
      </c>
      <c r="D298" t="s">
        <v>1068</v>
      </c>
      <c r="E298" t="s">
        <v>1729</v>
      </c>
      <c r="F298" t="s">
        <v>1110</v>
      </c>
      <c r="G298">
        <v>804</v>
      </c>
      <c r="H298" s="215">
        <v>46084</v>
      </c>
      <c r="I298" t="s">
        <v>987</v>
      </c>
      <c r="J298">
        <v>6325</v>
      </c>
      <c r="K298">
        <v>6325</v>
      </c>
      <c r="L298">
        <v>1</v>
      </c>
      <c r="M298">
        <v>1</v>
      </c>
    </row>
    <row r="299" spans="1:13" x14ac:dyDescent="0.25">
      <c r="A299" t="s">
        <v>1436</v>
      </c>
      <c r="B299" t="s">
        <v>1437</v>
      </c>
      <c r="C299" t="s">
        <v>1438</v>
      </c>
      <c r="D299" t="s">
        <v>1068</v>
      </c>
      <c r="E299" t="s">
        <v>1762</v>
      </c>
      <c r="F299" t="s">
        <v>1110</v>
      </c>
      <c r="G299">
        <v>415.08</v>
      </c>
      <c r="H299" s="215">
        <v>46084</v>
      </c>
      <c r="I299" t="s">
        <v>987</v>
      </c>
      <c r="J299">
        <v>575</v>
      </c>
      <c r="K299">
        <v>575</v>
      </c>
      <c r="L299">
        <v>1</v>
      </c>
      <c r="M299">
        <v>1</v>
      </c>
    </row>
    <row r="300" spans="1:13" x14ac:dyDescent="0.25">
      <c r="A300" t="s">
        <v>1439</v>
      </c>
      <c r="B300" t="s">
        <v>1440</v>
      </c>
      <c r="C300" t="s">
        <v>1438</v>
      </c>
      <c r="D300" t="s">
        <v>1068</v>
      </c>
      <c r="E300" t="s">
        <v>1762</v>
      </c>
      <c r="F300" t="s">
        <v>1110</v>
      </c>
      <c r="G300">
        <v>415.08</v>
      </c>
      <c r="H300" s="215">
        <v>46084</v>
      </c>
      <c r="I300" t="s">
        <v>987</v>
      </c>
      <c r="J300">
        <v>6325</v>
      </c>
      <c r="K300">
        <v>6325</v>
      </c>
      <c r="L300">
        <v>1</v>
      </c>
      <c r="M300">
        <v>1</v>
      </c>
    </row>
    <row r="301" spans="1:13" x14ac:dyDescent="0.25">
      <c r="A301" t="s">
        <v>1441</v>
      </c>
      <c r="B301" t="s">
        <v>1437</v>
      </c>
      <c r="C301" t="s">
        <v>1438</v>
      </c>
      <c r="D301" t="s">
        <v>1068</v>
      </c>
      <c r="E301" t="s">
        <v>1762</v>
      </c>
      <c r="F301" t="s">
        <v>1110</v>
      </c>
      <c r="G301">
        <v>182</v>
      </c>
      <c r="H301" s="215">
        <v>46084</v>
      </c>
      <c r="I301" t="s">
        <v>987</v>
      </c>
      <c r="J301">
        <v>575</v>
      </c>
      <c r="K301">
        <v>575</v>
      </c>
      <c r="L301">
        <v>1</v>
      </c>
      <c r="M301">
        <v>1</v>
      </c>
    </row>
    <row r="302" spans="1:13" x14ac:dyDescent="0.25">
      <c r="A302" t="s">
        <v>1442</v>
      </c>
      <c r="B302" t="s">
        <v>1440</v>
      </c>
      <c r="C302" t="s">
        <v>1438</v>
      </c>
      <c r="D302" t="s">
        <v>1068</v>
      </c>
      <c r="E302" t="s">
        <v>1762</v>
      </c>
      <c r="F302" t="s">
        <v>1110</v>
      </c>
      <c r="G302">
        <v>182</v>
      </c>
      <c r="H302" s="215">
        <v>46084</v>
      </c>
      <c r="I302" t="s">
        <v>987</v>
      </c>
      <c r="J302">
        <v>6325</v>
      </c>
      <c r="K302">
        <v>6325</v>
      </c>
      <c r="L302">
        <v>1</v>
      </c>
      <c r="M302">
        <v>1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207E-4878-4224-B323-30FA36CCA034}">
  <sheetPr>
    <tabColor theme="5" tint="-0.249977111117893"/>
  </sheetPr>
  <dimension ref="A1:L101"/>
  <sheetViews>
    <sheetView workbookViewId="0">
      <selection activeCell="B21" sqref="B21"/>
    </sheetView>
  </sheetViews>
  <sheetFormatPr baseColWidth="10" defaultRowHeight="15" x14ac:dyDescent="0.25"/>
  <cols>
    <col min="1" max="1" width="53.5703125" style="1" customWidth="1"/>
    <col min="2" max="2" width="67.28515625" style="1" customWidth="1"/>
    <col min="3" max="3" width="18" style="1" customWidth="1"/>
    <col min="4" max="4" width="17.85546875" style="1" customWidth="1"/>
    <col min="5" max="5" width="17.7109375" style="1" customWidth="1"/>
    <col min="6" max="6" width="18.42578125" style="1" bestFit="1" customWidth="1"/>
    <col min="7" max="7" width="16.85546875" style="1" customWidth="1"/>
    <col min="8" max="8" width="15" style="1" customWidth="1"/>
    <col min="9" max="9" width="24" style="1" customWidth="1"/>
    <col min="10" max="11" width="20" style="1" bestFit="1" customWidth="1"/>
    <col min="12" max="12" width="10" style="1" bestFit="1" customWidth="1"/>
    <col min="13" max="16384" width="11.42578125" style="1"/>
  </cols>
  <sheetData>
    <row r="1" spans="1:12" x14ac:dyDescent="0.25">
      <c r="A1" s="1" t="s">
        <v>1072</v>
      </c>
      <c r="B1" s="1" t="s">
        <v>1073</v>
      </c>
      <c r="C1" s="1" t="s">
        <v>1074</v>
      </c>
      <c r="D1" s="1" t="s">
        <v>1075</v>
      </c>
      <c r="E1" s="1" t="s">
        <v>1443</v>
      </c>
      <c r="F1" s="1" t="s">
        <v>1079</v>
      </c>
      <c r="G1" s="1" t="s">
        <v>1078</v>
      </c>
      <c r="H1" s="1" t="s">
        <v>979</v>
      </c>
      <c r="I1" s="1" t="s">
        <v>1053</v>
      </c>
      <c r="J1" s="1" t="s">
        <v>1444</v>
      </c>
      <c r="K1" s="1" t="s">
        <v>1445</v>
      </c>
      <c r="L1" s="1" t="s">
        <v>982</v>
      </c>
    </row>
    <row r="2" spans="1:12" x14ac:dyDescent="0.25">
      <c r="A2" s="1" t="s">
        <v>1081</v>
      </c>
      <c r="B2" s="1" t="s">
        <v>1082</v>
      </c>
      <c r="C2" s="1" t="s">
        <v>1083</v>
      </c>
      <c r="D2" s="1" t="s">
        <v>1446</v>
      </c>
      <c r="E2" s="1">
        <v>4755250</v>
      </c>
      <c r="F2" s="1" t="s">
        <v>1084</v>
      </c>
      <c r="G2" s="1" t="s">
        <v>1447</v>
      </c>
      <c r="H2" s="1" t="s">
        <v>1086</v>
      </c>
      <c r="J2" s="1">
        <v>4755250</v>
      </c>
      <c r="K2" s="78">
        <v>46084</v>
      </c>
      <c r="L2" s="1" t="s">
        <v>1448</v>
      </c>
    </row>
    <row r="3" spans="1:12" x14ac:dyDescent="0.25">
      <c r="A3" s="1" t="s">
        <v>1088</v>
      </c>
      <c r="B3" s="1" t="s">
        <v>1089</v>
      </c>
      <c r="C3" s="1" t="s">
        <v>1083</v>
      </c>
      <c r="D3" s="1" t="s">
        <v>1446</v>
      </c>
      <c r="E3" s="1">
        <v>3758730</v>
      </c>
      <c r="F3" s="1" t="s">
        <v>1084</v>
      </c>
      <c r="G3" s="1" t="s">
        <v>1447</v>
      </c>
      <c r="H3" s="1" t="s">
        <v>1086</v>
      </c>
      <c r="J3" s="1">
        <v>3758730</v>
      </c>
      <c r="K3" s="78">
        <v>46084</v>
      </c>
      <c r="L3" s="1" t="s">
        <v>1448</v>
      </c>
    </row>
    <row r="4" spans="1:12" x14ac:dyDescent="0.25">
      <c r="A4" s="1" t="s">
        <v>1090</v>
      </c>
      <c r="B4" s="1" t="s">
        <v>1449</v>
      </c>
      <c r="C4" s="1" t="s">
        <v>1083</v>
      </c>
      <c r="D4" s="1" t="s">
        <v>1446</v>
      </c>
      <c r="E4" s="1">
        <v>2507000</v>
      </c>
      <c r="F4" s="1" t="s">
        <v>1084</v>
      </c>
      <c r="G4" s="1" t="s">
        <v>1447</v>
      </c>
      <c r="H4" s="1" t="s">
        <v>1086</v>
      </c>
      <c r="J4" s="1">
        <v>2507000</v>
      </c>
      <c r="K4" s="78">
        <v>46084</v>
      </c>
      <c r="L4" s="1" t="s">
        <v>1448</v>
      </c>
    </row>
    <row r="5" spans="1:12" x14ac:dyDescent="0.25">
      <c r="A5" s="1" t="s">
        <v>1092</v>
      </c>
      <c r="B5" s="1" t="s">
        <v>1450</v>
      </c>
      <c r="C5" s="1" t="s">
        <v>1083</v>
      </c>
      <c r="D5" s="1" t="s">
        <v>1446</v>
      </c>
      <c r="E5" s="1">
        <v>4213438</v>
      </c>
      <c r="F5" s="1" t="s">
        <v>1087</v>
      </c>
      <c r="G5" s="1" t="s">
        <v>1447</v>
      </c>
      <c r="H5" s="1" t="s">
        <v>1086</v>
      </c>
      <c r="J5" s="1">
        <v>4213438</v>
      </c>
      <c r="K5" s="78">
        <v>46084</v>
      </c>
      <c r="L5" s="1" t="s">
        <v>1448</v>
      </c>
    </row>
    <row r="6" spans="1:12" x14ac:dyDescent="0.25">
      <c r="A6" s="1" t="s">
        <v>1094</v>
      </c>
      <c r="B6" s="1" t="s">
        <v>1451</v>
      </c>
      <c r="C6" s="1" t="s">
        <v>1083</v>
      </c>
      <c r="D6" s="1" t="s">
        <v>1446</v>
      </c>
      <c r="E6" s="1">
        <v>4945000</v>
      </c>
      <c r="F6" s="1" t="s">
        <v>1087</v>
      </c>
      <c r="G6" s="1" t="s">
        <v>1447</v>
      </c>
      <c r="H6" s="1" t="s">
        <v>1086</v>
      </c>
      <c r="J6" s="1">
        <v>4945000</v>
      </c>
      <c r="K6" s="78">
        <v>46084</v>
      </c>
      <c r="L6" s="1" t="s">
        <v>1448</v>
      </c>
    </row>
    <row r="7" spans="1:12" x14ac:dyDescent="0.25">
      <c r="A7" s="1" t="s">
        <v>1096</v>
      </c>
      <c r="B7" s="1" t="s">
        <v>1097</v>
      </c>
      <c r="C7" s="1" t="s">
        <v>1083</v>
      </c>
      <c r="D7" s="1" t="s">
        <v>1446</v>
      </c>
      <c r="E7" s="1">
        <v>4795500</v>
      </c>
      <c r="F7" s="1" t="s">
        <v>1087</v>
      </c>
      <c r="G7" s="1" t="s">
        <v>1447</v>
      </c>
      <c r="H7" s="1" t="s">
        <v>1086</v>
      </c>
      <c r="J7" s="1">
        <v>4795500</v>
      </c>
      <c r="K7" s="78">
        <v>46084</v>
      </c>
      <c r="L7" s="1" t="s">
        <v>1448</v>
      </c>
    </row>
    <row r="8" spans="1:12" x14ac:dyDescent="0.25">
      <c r="A8" s="1" t="s">
        <v>1098</v>
      </c>
      <c r="B8" s="1" t="s">
        <v>1452</v>
      </c>
      <c r="C8" s="1" t="s">
        <v>1083</v>
      </c>
      <c r="D8" s="1" t="s">
        <v>1446</v>
      </c>
      <c r="E8" s="1">
        <v>1265000</v>
      </c>
      <c r="F8" s="1" t="s">
        <v>1084</v>
      </c>
      <c r="G8" s="1" t="s">
        <v>1447</v>
      </c>
      <c r="H8" s="1" t="s">
        <v>1086</v>
      </c>
      <c r="J8" s="1">
        <v>1265000</v>
      </c>
      <c r="K8" s="78">
        <v>46084</v>
      </c>
      <c r="L8" s="1" t="s">
        <v>1448</v>
      </c>
    </row>
    <row r="9" spans="1:12" x14ac:dyDescent="0.25">
      <c r="A9" s="1" t="s">
        <v>1100</v>
      </c>
      <c r="B9" s="1" t="s">
        <v>1453</v>
      </c>
      <c r="C9" s="1" t="s">
        <v>1083</v>
      </c>
      <c r="D9" s="1" t="s">
        <v>1446</v>
      </c>
      <c r="E9" s="1">
        <v>1725000</v>
      </c>
      <c r="F9" s="1" t="s">
        <v>1087</v>
      </c>
      <c r="G9" s="1" t="s">
        <v>1447</v>
      </c>
      <c r="H9" s="1" t="s">
        <v>1086</v>
      </c>
      <c r="J9" s="1">
        <v>1725000</v>
      </c>
      <c r="K9" s="78">
        <v>46084</v>
      </c>
      <c r="L9" s="1" t="s">
        <v>1448</v>
      </c>
    </row>
    <row r="10" spans="1:12" x14ac:dyDescent="0.25">
      <c r="A10" s="1" t="s">
        <v>1102</v>
      </c>
      <c r="B10" s="1" t="s">
        <v>1454</v>
      </c>
      <c r="C10" s="1" t="s">
        <v>1083</v>
      </c>
      <c r="D10" s="1" t="s">
        <v>1446</v>
      </c>
      <c r="E10" s="1">
        <v>2587500</v>
      </c>
      <c r="F10" s="1" t="s">
        <v>1087</v>
      </c>
      <c r="G10" s="1" t="s">
        <v>1447</v>
      </c>
      <c r="H10" s="1" t="s">
        <v>1086</v>
      </c>
      <c r="J10" s="1">
        <v>2587500</v>
      </c>
      <c r="K10" s="78">
        <v>46084</v>
      </c>
      <c r="L10" s="1" t="s">
        <v>1448</v>
      </c>
    </row>
    <row r="11" spans="1:12" x14ac:dyDescent="0.25">
      <c r="A11" s="1" t="s">
        <v>1104</v>
      </c>
      <c r="B11" s="1" t="s">
        <v>1455</v>
      </c>
      <c r="C11" s="1" t="s">
        <v>1083</v>
      </c>
      <c r="D11" s="1" t="s">
        <v>1446</v>
      </c>
      <c r="E11" s="1">
        <v>1725000</v>
      </c>
      <c r="F11" s="1" t="s">
        <v>1087</v>
      </c>
      <c r="G11" s="1" t="s">
        <v>1447</v>
      </c>
      <c r="H11" s="1" t="s">
        <v>1086</v>
      </c>
      <c r="J11" s="1">
        <v>1725000</v>
      </c>
      <c r="K11" s="78">
        <v>46084</v>
      </c>
      <c r="L11" s="1" t="s">
        <v>1448</v>
      </c>
    </row>
    <row r="12" spans="1:12" x14ac:dyDescent="0.25">
      <c r="A12" s="1" t="s">
        <v>1106</v>
      </c>
      <c r="B12" s="1" t="s">
        <v>1107</v>
      </c>
      <c r="C12" s="1" t="s">
        <v>1083</v>
      </c>
      <c r="D12" s="1" t="s">
        <v>1446</v>
      </c>
      <c r="E12" s="1">
        <v>552000</v>
      </c>
      <c r="F12" s="1" t="s">
        <v>1087</v>
      </c>
      <c r="G12" s="1" t="s">
        <v>1447</v>
      </c>
      <c r="H12" s="1" t="s">
        <v>1086</v>
      </c>
      <c r="J12" s="1">
        <v>552000</v>
      </c>
      <c r="K12" s="78">
        <v>46084</v>
      </c>
      <c r="L12" s="1" t="s">
        <v>1448</v>
      </c>
    </row>
    <row r="13" spans="1:12" x14ac:dyDescent="0.25">
      <c r="A13" s="1" t="s">
        <v>1111</v>
      </c>
      <c r="B13" s="1" t="s">
        <v>1112</v>
      </c>
      <c r="C13" s="1" t="s">
        <v>1083</v>
      </c>
      <c r="D13" s="1" t="s">
        <v>1457</v>
      </c>
      <c r="E13" s="1">
        <v>338720</v>
      </c>
      <c r="F13" s="1" t="s">
        <v>1087</v>
      </c>
      <c r="G13" s="1" t="s">
        <v>1447</v>
      </c>
      <c r="H13" s="1" t="s">
        <v>1086</v>
      </c>
      <c r="J13" s="1">
        <v>338720</v>
      </c>
      <c r="K13" s="78">
        <v>46084</v>
      </c>
      <c r="L13" s="1" t="s">
        <v>1448</v>
      </c>
    </row>
    <row r="14" spans="1:12" x14ac:dyDescent="0.25">
      <c r="A14" s="1" t="s">
        <v>1114</v>
      </c>
      <c r="B14" s="1" t="s">
        <v>1458</v>
      </c>
      <c r="C14" s="1" t="s">
        <v>1083</v>
      </c>
      <c r="D14" s="1" t="s">
        <v>1457</v>
      </c>
      <c r="E14" s="1">
        <v>189175</v>
      </c>
      <c r="F14" s="1" t="s">
        <v>1087</v>
      </c>
      <c r="G14" s="1" t="s">
        <v>1447</v>
      </c>
      <c r="H14" s="1" t="s">
        <v>1086</v>
      </c>
      <c r="J14" s="1">
        <v>189175</v>
      </c>
      <c r="K14" s="78">
        <v>46084</v>
      </c>
      <c r="L14" s="1" t="s">
        <v>1448</v>
      </c>
    </row>
    <row r="15" spans="1:12" x14ac:dyDescent="0.25">
      <c r="A15" s="1" t="s">
        <v>1116</v>
      </c>
      <c r="B15" s="1" t="s">
        <v>1117</v>
      </c>
      <c r="C15" s="1" t="s">
        <v>1083</v>
      </c>
      <c r="D15" s="1" t="s">
        <v>1456</v>
      </c>
      <c r="E15" s="1">
        <v>3350</v>
      </c>
      <c r="F15" s="1" t="s">
        <v>1087</v>
      </c>
      <c r="G15" s="1" t="s">
        <v>1447</v>
      </c>
      <c r="H15" s="1" t="s">
        <v>1086</v>
      </c>
      <c r="J15" s="1">
        <v>3350</v>
      </c>
      <c r="K15" s="78">
        <v>46084</v>
      </c>
      <c r="L15" s="1" t="s">
        <v>1448</v>
      </c>
    </row>
    <row r="16" spans="1:12" x14ac:dyDescent="0.25">
      <c r="A16" s="1" t="s">
        <v>1118</v>
      </c>
      <c r="B16" s="1" t="s">
        <v>1459</v>
      </c>
      <c r="C16" s="1" t="s">
        <v>1083</v>
      </c>
      <c r="D16" s="1" t="s">
        <v>1460</v>
      </c>
      <c r="E16" s="1">
        <v>370</v>
      </c>
      <c r="F16" s="1" t="s">
        <v>1087</v>
      </c>
      <c r="G16" s="1" t="s">
        <v>1447</v>
      </c>
      <c r="H16" s="1" t="s">
        <v>1086</v>
      </c>
      <c r="J16" s="1">
        <v>370</v>
      </c>
      <c r="K16" s="78">
        <v>46084</v>
      </c>
      <c r="L16" s="1" t="s">
        <v>1448</v>
      </c>
    </row>
    <row r="17" spans="1:12" x14ac:dyDescent="0.25">
      <c r="A17" s="1" t="s">
        <v>1131</v>
      </c>
      <c r="B17" s="1" t="s">
        <v>1461</v>
      </c>
      <c r="C17" s="1" t="s">
        <v>1083</v>
      </c>
      <c r="D17" s="1" t="s">
        <v>1456</v>
      </c>
      <c r="E17" s="1">
        <v>12180</v>
      </c>
      <c r="F17" s="1" t="s">
        <v>1087</v>
      </c>
      <c r="G17" s="1" t="s">
        <v>1447</v>
      </c>
      <c r="H17" s="1" t="s">
        <v>1086</v>
      </c>
      <c r="J17" s="1">
        <v>12180</v>
      </c>
      <c r="K17" s="78">
        <v>46084</v>
      </c>
      <c r="L17" s="1" t="s">
        <v>1448</v>
      </c>
    </row>
    <row r="18" spans="1:12" x14ac:dyDescent="0.25">
      <c r="A18" s="1" t="s">
        <v>1155</v>
      </c>
      <c r="B18" s="1" t="s">
        <v>1462</v>
      </c>
      <c r="C18" s="1" t="s">
        <v>1083</v>
      </c>
      <c r="D18" s="1" t="s">
        <v>1456</v>
      </c>
      <c r="E18" s="1">
        <v>11185</v>
      </c>
      <c r="F18" s="1" t="s">
        <v>1087</v>
      </c>
      <c r="G18" s="1" t="s">
        <v>1447</v>
      </c>
      <c r="H18" s="1" t="s">
        <v>1086</v>
      </c>
      <c r="J18" s="1">
        <v>11185</v>
      </c>
      <c r="K18" s="78">
        <v>46084</v>
      </c>
      <c r="L18" s="1" t="s">
        <v>1448</v>
      </c>
    </row>
    <row r="19" spans="1:12" x14ac:dyDescent="0.25">
      <c r="A19" s="1" t="s">
        <v>1157</v>
      </c>
      <c r="B19" s="1" t="s">
        <v>1158</v>
      </c>
      <c r="C19" s="1" t="s">
        <v>1083</v>
      </c>
      <c r="D19" s="1" t="s">
        <v>1456</v>
      </c>
      <c r="E19" s="1">
        <v>3827</v>
      </c>
      <c r="F19" s="1" t="s">
        <v>1087</v>
      </c>
      <c r="G19" s="1" t="s">
        <v>1447</v>
      </c>
      <c r="H19" s="1" t="s">
        <v>1086</v>
      </c>
      <c r="J19" s="1">
        <v>3827</v>
      </c>
      <c r="K19" s="78">
        <v>46084</v>
      </c>
      <c r="L19" s="1" t="s">
        <v>1448</v>
      </c>
    </row>
    <row r="20" spans="1:12" x14ac:dyDescent="0.25">
      <c r="A20" s="1" t="s">
        <v>1159</v>
      </c>
      <c r="B20" s="1" t="s">
        <v>1160</v>
      </c>
      <c r="C20" s="1" t="s">
        <v>1083</v>
      </c>
      <c r="D20" s="1" t="s">
        <v>1456</v>
      </c>
      <c r="E20" s="1">
        <v>3827</v>
      </c>
      <c r="F20" s="1" t="s">
        <v>1087</v>
      </c>
      <c r="G20" s="1" t="s">
        <v>1447</v>
      </c>
      <c r="H20" s="1" t="s">
        <v>1086</v>
      </c>
      <c r="J20" s="1">
        <v>3827</v>
      </c>
      <c r="K20" s="78">
        <v>46084</v>
      </c>
      <c r="L20" s="1" t="s">
        <v>1448</v>
      </c>
    </row>
    <row r="21" spans="1:12" x14ac:dyDescent="0.25">
      <c r="A21" s="1" t="s">
        <v>1178</v>
      </c>
      <c r="B21" s="1" t="s">
        <v>1463</v>
      </c>
      <c r="C21" s="1" t="s">
        <v>1174</v>
      </c>
      <c r="D21" s="1" t="s">
        <v>1456</v>
      </c>
      <c r="E21" s="1">
        <v>11793</v>
      </c>
      <c r="F21" s="1" t="s">
        <v>1087</v>
      </c>
      <c r="G21" s="1" t="s">
        <v>1447</v>
      </c>
      <c r="H21" s="1" t="s">
        <v>1086</v>
      </c>
      <c r="J21" s="1">
        <v>11793</v>
      </c>
      <c r="K21" s="78">
        <v>46084</v>
      </c>
      <c r="L21" s="1" t="s">
        <v>1448</v>
      </c>
    </row>
    <row r="22" spans="1:12" x14ac:dyDescent="0.25">
      <c r="A22" s="1" t="s">
        <v>1180</v>
      </c>
      <c r="B22" s="1" t="s">
        <v>1181</v>
      </c>
      <c r="C22" s="1" t="s">
        <v>1174</v>
      </c>
      <c r="D22" s="1" t="s">
        <v>1456</v>
      </c>
      <c r="E22" s="1">
        <v>6100</v>
      </c>
      <c r="F22" s="1" t="s">
        <v>1087</v>
      </c>
      <c r="G22" s="1" t="s">
        <v>1447</v>
      </c>
      <c r="H22" s="1" t="s">
        <v>1086</v>
      </c>
      <c r="J22" s="1">
        <v>6100</v>
      </c>
      <c r="K22" s="78">
        <v>46084</v>
      </c>
      <c r="L22" s="1" t="s">
        <v>1448</v>
      </c>
    </row>
    <row r="23" spans="1:12" x14ac:dyDescent="0.25">
      <c r="A23" s="1" t="s">
        <v>1182</v>
      </c>
      <c r="B23" s="1" t="s">
        <v>1176</v>
      </c>
      <c r="C23" s="1" t="s">
        <v>1174</v>
      </c>
      <c r="D23" s="1" t="s">
        <v>1464</v>
      </c>
      <c r="E23" s="1">
        <v>3050</v>
      </c>
      <c r="F23" s="1" t="s">
        <v>1087</v>
      </c>
      <c r="G23" s="1" t="s">
        <v>1447</v>
      </c>
      <c r="H23" s="1" t="s">
        <v>1086</v>
      </c>
      <c r="J23" s="1">
        <v>3050</v>
      </c>
      <c r="K23" s="78">
        <v>46084</v>
      </c>
      <c r="L23" s="1" t="s">
        <v>1448</v>
      </c>
    </row>
    <row r="24" spans="1:12" x14ac:dyDescent="0.25">
      <c r="A24" s="1" t="s">
        <v>1183</v>
      </c>
      <c r="B24" s="1" t="s">
        <v>1465</v>
      </c>
      <c r="C24" s="1" t="s">
        <v>1174</v>
      </c>
      <c r="D24" s="1" t="s">
        <v>1456</v>
      </c>
      <c r="E24" s="1">
        <v>11793</v>
      </c>
      <c r="F24" s="1" t="s">
        <v>1087</v>
      </c>
      <c r="G24" s="1" t="s">
        <v>1447</v>
      </c>
      <c r="H24" s="1" t="s">
        <v>1086</v>
      </c>
      <c r="J24" s="1">
        <v>11793</v>
      </c>
      <c r="K24" s="78">
        <v>46084</v>
      </c>
      <c r="L24" s="1" t="s">
        <v>1448</v>
      </c>
    </row>
    <row r="25" spans="1:12" x14ac:dyDescent="0.25">
      <c r="A25" s="1" t="s">
        <v>1184</v>
      </c>
      <c r="B25" s="1" t="s">
        <v>1466</v>
      </c>
      <c r="C25" s="1" t="s">
        <v>1174</v>
      </c>
      <c r="D25" s="1" t="s">
        <v>1456</v>
      </c>
      <c r="E25" s="1">
        <v>4575</v>
      </c>
      <c r="F25" s="1" t="s">
        <v>1087</v>
      </c>
      <c r="G25" s="1" t="s">
        <v>1447</v>
      </c>
      <c r="H25" s="1" t="s">
        <v>1086</v>
      </c>
      <c r="J25" s="1">
        <v>4575</v>
      </c>
      <c r="K25" s="78">
        <v>46084</v>
      </c>
      <c r="L25" s="1" t="s">
        <v>1448</v>
      </c>
    </row>
    <row r="26" spans="1:12" x14ac:dyDescent="0.25">
      <c r="A26" s="1" t="s">
        <v>1186</v>
      </c>
      <c r="B26" s="1" t="s">
        <v>1176</v>
      </c>
      <c r="C26" s="1" t="s">
        <v>1174</v>
      </c>
      <c r="D26" s="1" t="s">
        <v>1464</v>
      </c>
      <c r="E26" s="1">
        <v>3050</v>
      </c>
      <c r="F26" s="1" t="s">
        <v>1087</v>
      </c>
      <c r="G26" s="1" t="s">
        <v>1447</v>
      </c>
      <c r="H26" s="1" t="s">
        <v>1086</v>
      </c>
      <c r="J26" s="1">
        <v>3050</v>
      </c>
      <c r="K26" s="78">
        <v>46084</v>
      </c>
      <c r="L26" s="1" t="s">
        <v>1448</v>
      </c>
    </row>
    <row r="27" spans="1:12" x14ac:dyDescent="0.25">
      <c r="A27" s="1" t="s">
        <v>1187</v>
      </c>
      <c r="B27" s="1" t="s">
        <v>1188</v>
      </c>
      <c r="C27" s="1" t="s">
        <v>1189</v>
      </c>
      <c r="D27" s="1" t="s">
        <v>1456</v>
      </c>
      <c r="E27" s="1">
        <v>5490</v>
      </c>
      <c r="F27" s="1" t="s">
        <v>1087</v>
      </c>
      <c r="G27" s="1" t="s">
        <v>1447</v>
      </c>
      <c r="H27" s="1" t="s">
        <v>1086</v>
      </c>
      <c r="J27" s="1">
        <v>5490</v>
      </c>
      <c r="K27" s="78">
        <v>46084</v>
      </c>
      <c r="L27" s="1" t="s">
        <v>1448</v>
      </c>
    </row>
    <row r="28" spans="1:12" x14ac:dyDescent="0.25">
      <c r="A28" s="1" t="s">
        <v>1467</v>
      </c>
      <c r="B28" s="1" t="s">
        <v>1468</v>
      </c>
      <c r="C28" s="1" t="s">
        <v>1189</v>
      </c>
      <c r="D28" s="1" t="s">
        <v>1456</v>
      </c>
      <c r="E28" s="1">
        <v>10065</v>
      </c>
      <c r="F28" s="1" t="s">
        <v>1087</v>
      </c>
      <c r="G28" s="1" t="s">
        <v>1447</v>
      </c>
      <c r="H28" s="1" t="s">
        <v>1086</v>
      </c>
      <c r="J28" s="1">
        <v>10065</v>
      </c>
      <c r="K28" s="78">
        <v>46084</v>
      </c>
      <c r="L28" s="1" t="s">
        <v>1448</v>
      </c>
    </row>
    <row r="29" spans="1:12" x14ac:dyDescent="0.25">
      <c r="A29" s="1" t="s">
        <v>1192</v>
      </c>
      <c r="B29" s="1" t="s">
        <v>1469</v>
      </c>
      <c r="C29" s="1" t="s">
        <v>1189</v>
      </c>
      <c r="D29" s="1" t="s">
        <v>1464</v>
      </c>
      <c r="E29" s="1">
        <v>2745</v>
      </c>
      <c r="F29" s="1" t="s">
        <v>1087</v>
      </c>
      <c r="G29" s="1" t="s">
        <v>1447</v>
      </c>
      <c r="H29" s="1" t="s">
        <v>1086</v>
      </c>
      <c r="J29" s="1">
        <v>2745</v>
      </c>
      <c r="K29" s="78">
        <v>46084</v>
      </c>
      <c r="L29" s="1" t="s">
        <v>1448</v>
      </c>
    </row>
    <row r="30" spans="1:12" x14ac:dyDescent="0.25">
      <c r="A30" s="1" t="s">
        <v>1194</v>
      </c>
      <c r="B30" s="1" t="s">
        <v>1470</v>
      </c>
      <c r="C30" s="1" t="s">
        <v>1189</v>
      </c>
      <c r="D30" s="1" t="s">
        <v>1464</v>
      </c>
      <c r="E30" s="1">
        <v>42700</v>
      </c>
      <c r="F30" s="1" t="s">
        <v>1087</v>
      </c>
      <c r="G30" s="1" t="s">
        <v>1447</v>
      </c>
      <c r="H30" s="1" t="s">
        <v>1086</v>
      </c>
      <c r="J30" s="1">
        <v>42700</v>
      </c>
      <c r="K30" s="78">
        <v>46084</v>
      </c>
      <c r="L30" s="1" t="s">
        <v>1448</v>
      </c>
    </row>
    <row r="31" spans="1:12" x14ac:dyDescent="0.25">
      <c r="A31" s="1" t="s">
        <v>1196</v>
      </c>
      <c r="B31" s="1" t="s">
        <v>1197</v>
      </c>
      <c r="C31" s="1" t="s">
        <v>1198</v>
      </c>
      <c r="D31" s="1" t="s">
        <v>1456</v>
      </c>
      <c r="E31" s="1">
        <v>35075</v>
      </c>
      <c r="F31" s="1" t="s">
        <v>1087</v>
      </c>
      <c r="G31" s="1" t="s">
        <v>1447</v>
      </c>
      <c r="H31" s="1" t="s">
        <v>1086</v>
      </c>
      <c r="J31" s="1">
        <v>35075</v>
      </c>
      <c r="K31" s="78">
        <v>46084</v>
      </c>
      <c r="L31" s="1" t="s">
        <v>1448</v>
      </c>
    </row>
    <row r="32" spans="1:12" x14ac:dyDescent="0.25">
      <c r="A32" s="1" t="s">
        <v>1199</v>
      </c>
      <c r="B32" s="1" t="s">
        <v>1200</v>
      </c>
      <c r="C32" s="1" t="s">
        <v>1198</v>
      </c>
      <c r="D32" s="1" t="s">
        <v>1456</v>
      </c>
      <c r="E32" s="1">
        <v>25925</v>
      </c>
      <c r="F32" s="1" t="s">
        <v>1087</v>
      </c>
      <c r="G32" s="1" t="s">
        <v>1447</v>
      </c>
      <c r="H32" s="1" t="s">
        <v>1086</v>
      </c>
      <c r="J32" s="1">
        <v>25925</v>
      </c>
      <c r="K32" s="78">
        <v>46084</v>
      </c>
      <c r="L32" s="1" t="s">
        <v>1448</v>
      </c>
    </row>
    <row r="33" spans="1:12" x14ac:dyDescent="0.25">
      <c r="A33" s="1" t="s">
        <v>1201</v>
      </c>
      <c r="B33" s="1" t="s">
        <v>1202</v>
      </c>
      <c r="C33" s="1" t="s">
        <v>1203</v>
      </c>
      <c r="D33" s="1" t="s">
        <v>1446</v>
      </c>
      <c r="E33" s="1">
        <v>131150</v>
      </c>
      <c r="F33" s="1" t="s">
        <v>1087</v>
      </c>
      <c r="G33" s="1" t="s">
        <v>1447</v>
      </c>
      <c r="H33" s="1" t="s">
        <v>1086</v>
      </c>
      <c r="J33" s="1">
        <v>131150</v>
      </c>
      <c r="K33" s="78">
        <v>46084</v>
      </c>
      <c r="L33" s="1" t="s">
        <v>1448</v>
      </c>
    </row>
    <row r="34" spans="1:12" x14ac:dyDescent="0.25">
      <c r="A34" s="1" t="s">
        <v>1204</v>
      </c>
      <c r="B34" s="1" t="s">
        <v>1205</v>
      </c>
      <c r="C34" s="1" t="s">
        <v>1203</v>
      </c>
      <c r="D34" s="1" t="s">
        <v>1446</v>
      </c>
      <c r="E34" s="1">
        <v>76250</v>
      </c>
      <c r="F34" s="1" t="s">
        <v>1087</v>
      </c>
      <c r="G34" s="1" t="s">
        <v>1447</v>
      </c>
      <c r="H34" s="1" t="s">
        <v>1086</v>
      </c>
      <c r="J34" s="1">
        <v>76250</v>
      </c>
      <c r="K34" s="78">
        <v>46084</v>
      </c>
      <c r="L34" s="1" t="s">
        <v>1448</v>
      </c>
    </row>
    <row r="35" spans="1:12" x14ac:dyDescent="0.25">
      <c r="A35" s="1" t="s">
        <v>1206</v>
      </c>
      <c r="B35" s="1" t="s">
        <v>1471</v>
      </c>
      <c r="C35" s="1" t="s">
        <v>1203</v>
      </c>
      <c r="D35" s="1" t="s">
        <v>1456</v>
      </c>
      <c r="E35" s="1">
        <v>39650</v>
      </c>
      <c r="F35" s="1" t="s">
        <v>1087</v>
      </c>
      <c r="G35" s="1" t="s">
        <v>1447</v>
      </c>
      <c r="H35" s="1" t="s">
        <v>1086</v>
      </c>
      <c r="J35" s="1">
        <v>39650</v>
      </c>
      <c r="K35" s="78">
        <v>46084</v>
      </c>
      <c r="L35" s="1" t="s">
        <v>1448</v>
      </c>
    </row>
    <row r="36" spans="1:12" x14ac:dyDescent="0.25">
      <c r="A36" s="1" t="s">
        <v>1208</v>
      </c>
      <c r="B36" s="1" t="s">
        <v>1472</v>
      </c>
      <c r="C36" s="1" t="s">
        <v>1203</v>
      </c>
      <c r="D36" s="1" t="s">
        <v>1446</v>
      </c>
      <c r="E36" s="1">
        <v>366000</v>
      </c>
      <c r="F36" s="1" t="s">
        <v>1087</v>
      </c>
      <c r="G36" s="1" t="s">
        <v>1447</v>
      </c>
      <c r="H36" s="1" t="s">
        <v>1086</v>
      </c>
      <c r="J36" s="1">
        <v>366000</v>
      </c>
      <c r="K36" s="78">
        <v>46084</v>
      </c>
      <c r="L36" s="1" t="s">
        <v>1448</v>
      </c>
    </row>
    <row r="37" spans="1:12" x14ac:dyDescent="0.25">
      <c r="A37" s="1" t="s">
        <v>1210</v>
      </c>
      <c r="B37" s="1" t="s">
        <v>1473</v>
      </c>
      <c r="C37" s="1" t="s">
        <v>1203</v>
      </c>
      <c r="D37" s="1" t="s">
        <v>1456</v>
      </c>
      <c r="E37" s="1">
        <v>22875</v>
      </c>
      <c r="F37" s="1" t="s">
        <v>1087</v>
      </c>
      <c r="G37" s="1" t="s">
        <v>1447</v>
      </c>
      <c r="H37" s="1" t="s">
        <v>1086</v>
      </c>
      <c r="J37" s="1">
        <v>22875</v>
      </c>
      <c r="K37" s="78">
        <v>46084</v>
      </c>
      <c r="L37" s="1" t="s">
        <v>1448</v>
      </c>
    </row>
    <row r="38" spans="1:12" x14ac:dyDescent="0.25">
      <c r="A38" s="1" t="s">
        <v>1212</v>
      </c>
      <c r="B38" s="1" t="s">
        <v>1474</v>
      </c>
      <c r="C38" s="1" t="s">
        <v>1203</v>
      </c>
      <c r="D38" s="1" t="s">
        <v>1456</v>
      </c>
      <c r="E38" s="1">
        <v>12200</v>
      </c>
      <c r="F38" s="1" t="s">
        <v>1087</v>
      </c>
      <c r="G38" s="1" t="s">
        <v>1447</v>
      </c>
      <c r="H38" s="1" t="s">
        <v>1086</v>
      </c>
      <c r="J38" s="1">
        <v>12200</v>
      </c>
      <c r="K38" s="78">
        <v>46084</v>
      </c>
      <c r="L38" s="1" t="s">
        <v>1448</v>
      </c>
    </row>
    <row r="39" spans="1:12" x14ac:dyDescent="0.25">
      <c r="A39" s="1" t="s">
        <v>1214</v>
      </c>
      <c r="B39" s="1" t="s">
        <v>1215</v>
      </c>
      <c r="C39" s="1" t="s">
        <v>1216</v>
      </c>
      <c r="D39" s="1" t="s">
        <v>1446</v>
      </c>
      <c r="E39" s="1">
        <v>152500</v>
      </c>
      <c r="F39" s="1" t="s">
        <v>1087</v>
      </c>
      <c r="G39" s="1" t="s">
        <v>1447</v>
      </c>
      <c r="H39" s="1" t="s">
        <v>1086</v>
      </c>
      <c r="J39" s="1">
        <v>152500</v>
      </c>
      <c r="K39" s="78">
        <v>46084</v>
      </c>
      <c r="L39" s="1" t="s">
        <v>1448</v>
      </c>
    </row>
    <row r="40" spans="1:12" x14ac:dyDescent="0.25">
      <c r="A40" s="1" t="s">
        <v>1217</v>
      </c>
      <c r="B40" s="1" t="s">
        <v>1218</v>
      </c>
      <c r="C40" s="1" t="s">
        <v>1216</v>
      </c>
      <c r="D40" s="1" t="s">
        <v>1446</v>
      </c>
      <c r="E40" s="1">
        <v>35075</v>
      </c>
      <c r="F40" s="1" t="s">
        <v>1087</v>
      </c>
      <c r="G40" s="1" t="s">
        <v>1447</v>
      </c>
      <c r="H40" s="1" t="s">
        <v>1086</v>
      </c>
      <c r="J40" s="1">
        <v>35075</v>
      </c>
      <c r="K40" s="78">
        <v>46084</v>
      </c>
      <c r="L40" s="1" t="s">
        <v>1448</v>
      </c>
    </row>
    <row r="41" spans="1:12" x14ac:dyDescent="0.25">
      <c r="A41" s="1" t="s">
        <v>1219</v>
      </c>
      <c r="B41" s="1" t="s">
        <v>1475</v>
      </c>
      <c r="C41" s="1" t="s">
        <v>1216</v>
      </c>
      <c r="D41" s="1" t="s">
        <v>1464</v>
      </c>
      <c r="E41" s="1">
        <v>41175</v>
      </c>
      <c r="F41" s="1" t="s">
        <v>1087</v>
      </c>
      <c r="G41" s="1" t="s">
        <v>1447</v>
      </c>
      <c r="H41" s="1" t="s">
        <v>1086</v>
      </c>
      <c r="J41" s="1">
        <v>41175</v>
      </c>
      <c r="K41" s="78">
        <v>46084</v>
      </c>
      <c r="L41" s="1" t="s">
        <v>1448</v>
      </c>
    </row>
    <row r="42" spans="1:12" x14ac:dyDescent="0.25">
      <c r="A42" s="1" t="s">
        <v>1221</v>
      </c>
      <c r="B42" s="1" t="s">
        <v>1476</v>
      </c>
      <c r="C42" s="1" t="s">
        <v>1216</v>
      </c>
      <c r="D42" s="1" t="s">
        <v>1464</v>
      </c>
      <c r="E42" s="1">
        <v>47275</v>
      </c>
      <c r="F42" s="1" t="s">
        <v>1087</v>
      </c>
      <c r="G42" s="1" t="s">
        <v>1447</v>
      </c>
      <c r="H42" s="1" t="s">
        <v>1086</v>
      </c>
      <c r="J42" s="1">
        <v>47275</v>
      </c>
      <c r="K42" s="78">
        <v>46084</v>
      </c>
      <c r="L42" s="1" t="s">
        <v>1448</v>
      </c>
    </row>
    <row r="43" spans="1:12" x14ac:dyDescent="0.25">
      <c r="A43" s="1" t="s">
        <v>1223</v>
      </c>
      <c r="B43" s="1" t="s">
        <v>1477</v>
      </c>
      <c r="C43" s="1" t="s">
        <v>1216</v>
      </c>
      <c r="D43" s="1" t="s">
        <v>1464</v>
      </c>
      <c r="E43" s="1">
        <v>47275</v>
      </c>
      <c r="F43" s="1" t="s">
        <v>1087</v>
      </c>
      <c r="G43" s="1" t="s">
        <v>1447</v>
      </c>
      <c r="H43" s="1" t="s">
        <v>1086</v>
      </c>
      <c r="J43" s="1">
        <v>47275</v>
      </c>
      <c r="K43" s="78">
        <v>46084</v>
      </c>
      <c r="L43" s="1" t="s">
        <v>1448</v>
      </c>
    </row>
    <row r="44" spans="1:12" x14ac:dyDescent="0.25">
      <c r="A44" s="1" t="s">
        <v>1225</v>
      </c>
      <c r="B44" s="1" t="s">
        <v>1478</v>
      </c>
      <c r="C44" s="1" t="s">
        <v>1216</v>
      </c>
      <c r="D44" s="1" t="s">
        <v>1464</v>
      </c>
      <c r="E44" s="1">
        <v>47275</v>
      </c>
      <c r="F44" s="1" t="s">
        <v>1087</v>
      </c>
      <c r="G44" s="1" t="s">
        <v>1447</v>
      </c>
      <c r="H44" s="1" t="s">
        <v>1086</v>
      </c>
      <c r="J44" s="1">
        <v>47275</v>
      </c>
      <c r="K44" s="78">
        <v>46084</v>
      </c>
      <c r="L44" s="1" t="s">
        <v>1448</v>
      </c>
    </row>
    <row r="45" spans="1:12" x14ac:dyDescent="0.25">
      <c r="A45" s="1" t="s">
        <v>1227</v>
      </c>
      <c r="B45" s="1" t="s">
        <v>1479</v>
      </c>
      <c r="C45" s="1" t="s">
        <v>1229</v>
      </c>
      <c r="D45" s="1" t="s">
        <v>1480</v>
      </c>
      <c r="E45" s="1">
        <v>7320</v>
      </c>
      <c r="F45" s="1" t="s">
        <v>1087</v>
      </c>
      <c r="G45" s="1" t="s">
        <v>1447</v>
      </c>
      <c r="H45" s="1" t="s">
        <v>1086</v>
      </c>
      <c r="J45" s="1">
        <v>7320</v>
      </c>
      <c r="K45" s="78">
        <v>46084</v>
      </c>
      <c r="L45" s="1" t="s">
        <v>1448</v>
      </c>
    </row>
    <row r="46" spans="1:12" x14ac:dyDescent="0.25">
      <c r="A46" s="1" t="s">
        <v>1481</v>
      </c>
      <c r="B46" s="1" t="s">
        <v>1482</v>
      </c>
      <c r="C46" s="1" t="s">
        <v>1229</v>
      </c>
      <c r="D46" s="1" t="s">
        <v>1480</v>
      </c>
      <c r="E46" s="1">
        <v>5185</v>
      </c>
      <c r="F46" s="1" t="s">
        <v>1087</v>
      </c>
      <c r="G46" s="1" t="s">
        <v>1447</v>
      </c>
      <c r="H46" s="1" t="s">
        <v>1086</v>
      </c>
      <c r="J46" s="1">
        <v>5185</v>
      </c>
      <c r="K46" s="78">
        <v>46084</v>
      </c>
      <c r="L46" s="1" t="s">
        <v>1448</v>
      </c>
    </row>
    <row r="47" spans="1:12" x14ac:dyDescent="0.25">
      <c r="A47" s="1" t="s">
        <v>1483</v>
      </c>
      <c r="B47" s="1" t="s">
        <v>1484</v>
      </c>
      <c r="C47" s="1" t="s">
        <v>1229</v>
      </c>
      <c r="D47" s="1" t="s">
        <v>1480</v>
      </c>
      <c r="E47" s="1">
        <v>6100</v>
      </c>
      <c r="F47" s="1" t="s">
        <v>1087</v>
      </c>
      <c r="G47" s="1" t="s">
        <v>1447</v>
      </c>
      <c r="H47" s="1" t="s">
        <v>1086</v>
      </c>
      <c r="J47" s="1">
        <v>6100</v>
      </c>
      <c r="K47" s="78">
        <v>46084</v>
      </c>
      <c r="L47" s="1" t="s">
        <v>1448</v>
      </c>
    </row>
    <row r="48" spans="1:12" x14ac:dyDescent="0.25">
      <c r="A48" s="1" t="s">
        <v>1485</v>
      </c>
      <c r="B48" s="1" t="s">
        <v>1486</v>
      </c>
      <c r="C48" s="1" t="s">
        <v>1229</v>
      </c>
      <c r="D48" s="1" t="s">
        <v>1480</v>
      </c>
      <c r="E48" s="1">
        <v>7625</v>
      </c>
      <c r="F48" s="1" t="s">
        <v>1087</v>
      </c>
      <c r="G48" s="1" t="s">
        <v>1447</v>
      </c>
      <c r="H48" s="1" t="s">
        <v>1086</v>
      </c>
      <c r="J48" s="1">
        <v>7625</v>
      </c>
      <c r="K48" s="78">
        <v>46084</v>
      </c>
      <c r="L48" s="1" t="s">
        <v>1448</v>
      </c>
    </row>
    <row r="49" spans="1:12" x14ac:dyDescent="0.25">
      <c r="A49" s="1" t="s">
        <v>1236</v>
      </c>
      <c r="B49" s="1" t="s">
        <v>1237</v>
      </c>
      <c r="C49" s="1" t="s">
        <v>1229</v>
      </c>
      <c r="D49" s="1" t="s">
        <v>1480</v>
      </c>
      <c r="E49" s="1">
        <v>2440</v>
      </c>
      <c r="F49" s="1" t="s">
        <v>1087</v>
      </c>
      <c r="G49" s="1" t="s">
        <v>1447</v>
      </c>
      <c r="H49" s="1" t="s">
        <v>1086</v>
      </c>
      <c r="J49" s="1">
        <v>2440</v>
      </c>
      <c r="K49" s="78">
        <v>46084</v>
      </c>
      <c r="L49" s="1" t="s">
        <v>1448</v>
      </c>
    </row>
    <row r="50" spans="1:12" x14ac:dyDescent="0.25">
      <c r="A50" s="1" t="s">
        <v>1238</v>
      </c>
      <c r="B50" s="1" t="s">
        <v>1487</v>
      </c>
      <c r="C50" s="1" t="s">
        <v>1229</v>
      </c>
      <c r="D50" s="1" t="s">
        <v>1480</v>
      </c>
      <c r="E50" s="1">
        <v>3355</v>
      </c>
      <c r="F50" s="1" t="s">
        <v>1087</v>
      </c>
      <c r="G50" s="1" t="s">
        <v>1447</v>
      </c>
      <c r="H50" s="1" t="s">
        <v>1086</v>
      </c>
      <c r="J50" s="1">
        <v>3355</v>
      </c>
      <c r="K50" s="78">
        <v>46084</v>
      </c>
      <c r="L50" s="1" t="s">
        <v>1448</v>
      </c>
    </row>
    <row r="51" spans="1:12" x14ac:dyDescent="0.25">
      <c r="A51" s="1" t="s">
        <v>1240</v>
      </c>
      <c r="B51" s="1" t="s">
        <v>1488</v>
      </c>
      <c r="C51" s="1" t="s">
        <v>1229</v>
      </c>
      <c r="D51" s="1" t="s">
        <v>1480</v>
      </c>
      <c r="E51" s="1">
        <v>4880</v>
      </c>
      <c r="F51" s="1" t="s">
        <v>1087</v>
      </c>
      <c r="G51" s="1" t="s">
        <v>1447</v>
      </c>
      <c r="H51" s="1" t="s">
        <v>1086</v>
      </c>
      <c r="J51" s="1">
        <v>4880</v>
      </c>
      <c r="K51" s="78">
        <v>46084</v>
      </c>
      <c r="L51" s="1" t="s">
        <v>1448</v>
      </c>
    </row>
    <row r="52" spans="1:12" x14ac:dyDescent="0.25">
      <c r="A52" s="1" t="s">
        <v>1242</v>
      </c>
      <c r="B52" s="1" t="s">
        <v>1489</v>
      </c>
      <c r="C52" s="1" t="s">
        <v>1229</v>
      </c>
      <c r="D52" s="1" t="s">
        <v>1480</v>
      </c>
      <c r="E52" s="1">
        <v>2745</v>
      </c>
      <c r="F52" s="1" t="s">
        <v>1087</v>
      </c>
      <c r="G52" s="1" t="s">
        <v>1447</v>
      </c>
      <c r="H52" s="1" t="s">
        <v>1086</v>
      </c>
      <c r="J52" s="1">
        <v>2745</v>
      </c>
      <c r="K52" s="78">
        <v>46084</v>
      </c>
      <c r="L52" s="1" t="s">
        <v>1448</v>
      </c>
    </row>
    <row r="53" spans="1:12" x14ac:dyDescent="0.25">
      <c r="A53" s="1" t="s">
        <v>1490</v>
      </c>
      <c r="B53" s="1" t="s">
        <v>1491</v>
      </c>
      <c r="C53" s="1" t="s">
        <v>1229</v>
      </c>
      <c r="D53" s="1" t="s">
        <v>1480</v>
      </c>
      <c r="E53" s="1">
        <v>2440</v>
      </c>
      <c r="F53" s="1" t="s">
        <v>1087</v>
      </c>
      <c r="G53" s="1" t="s">
        <v>1447</v>
      </c>
      <c r="H53" s="1" t="s">
        <v>1086</v>
      </c>
      <c r="J53" s="1">
        <v>2440</v>
      </c>
      <c r="K53" s="78">
        <v>46084</v>
      </c>
      <c r="L53" s="1" t="s">
        <v>1448</v>
      </c>
    </row>
    <row r="54" spans="1:12" x14ac:dyDescent="0.25">
      <c r="A54" s="1" t="s">
        <v>1492</v>
      </c>
      <c r="B54" s="1" t="s">
        <v>1493</v>
      </c>
      <c r="C54" s="1" t="s">
        <v>1229</v>
      </c>
      <c r="D54" s="1" t="s">
        <v>1480</v>
      </c>
      <c r="E54" s="1">
        <v>3050</v>
      </c>
      <c r="F54" s="1" t="s">
        <v>1087</v>
      </c>
      <c r="G54" s="1" t="s">
        <v>1447</v>
      </c>
      <c r="H54" s="1" t="s">
        <v>1086</v>
      </c>
      <c r="J54" s="1">
        <v>3050</v>
      </c>
      <c r="K54" s="78">
        <v>46084</v>
      </c>
      <c r="L54" s="1" t="s">
        <v>1448</v>
      </c>
    </row>
    <row r="55" spans="1:12" x14ac:dyDescent="0.25">
      <c r="A55" s="1" t="s">
        <v>1494</v>
      </c>
      <c r="B55" s="1" t="s">
        <v>1495</v>
      </c>
      <c r="C55" s="1" t="s">
        <v>1229</v>
      </c>
      <c r="D55" s="1" t="s">
        <v>1480</v>
      </c>
      <c r="E55" s="1">
        <v>1680</v>
      </c>
      <c r="F55" s="1" t="s">
        <v>1087</v>
      </c>
      <c r="G55" s="1" t="s">
        <v>1447</v>
      </c>
      <c r="H55" s="1" t="s">
        <v>1086</v>
      </c>
      <c r="J55" s="1">
        <v>1680</v>
      </c>
      <c r="K55" s="78">
        <v>46084</v>
      </c>
      <c r="L55" s="1" t="s">
        <v>1448</v>
      </c>
    </row>
    <row r="56" spans="1:12" x14ac:dyDescent="0.25">
      <c r="A56" s="1" t="s">
        <v>1250</v>
      </c>
      <c r="B56" s="1" t="s">
        <v>1496</v>
      </c>
      <c r="C56" s="1" t="s">
        <v>1229</v>
      </c>
      <c r="D56" s="1" t="s">
        <v>1480</v>
      </c>
      <c r="E56" s="1">
        <v>14030</v>
      </c>
      <c r="F56" s="1" t="s">
        <v>1497</v>
      </c>
      <c r="G56" s="1" t="s">
        <v>1447</v>
      </c>
      <c r="H56" s="1" t="s">
        <v>1086</v>
      </c>
      <c r="J56" s="1">
        <v>14030</v>
      </c>
      <c r="K56" s="78">
        <v>46084</v>
      </c>
      <c r="L56" s="1" t="s">
        <v>1448</v>
      </c>
    </row>
    <row r="57" spans="1:12" x14ac:dyDescent="0.25">
      <c r="A57" s="1" t="s">
        <v>1252</v>
      </c>
      <c r="B57" s="1" t="s">
        <v>1498</v>
      </c>
      <c r="C57" s="1" t="s">
        <v>1229</v>
      </c>
      <c r="D57" s="1" t="s">
        <v>1480</v>
      </c>
      <c r="E57" s="1">
        <v>9760</v>
      </c>
      <c r="F57" s="1" t="s">
        <v>1497</v>
      </c>
      <c r="G57" s="1" t="s">
        <v>1447</v>
      </c>
      <c r="H57" s="1" t="s">
        <v>1086</v>
      </c>
      <c r="J57" s="1">
        <v>9760</v>
      </c>
      <c r="K57" s="78">
        <v>46084</v>
      </c>
      <c r="L57" s="1" t="s">
        <v>1448</v>
      </c>
    </row>
    <row r="58" spans="1:12" x14ac:dyDescent="0.25">
      <c r="A58" s="1" t="s">
        <v>1254</v>
      </c>
      <c r="B58" s="1" t="s">
        <v>1255</v>
      </c>
      <c r="C58" s="1" t="s">
        <v>1229</v>
      </c>
      <c r="D58" s="1" t="s">
        <v>1480</v>
      </c>
      <c r="E58" s="1">
        <v>580</v>
      </c>
      <c r="F58" s="1" t="s">
        <v>1087</v>
      </c>
      <c r="G58" s="1" t="s">
        <v>1447</v>
      </c>
      <c r="H58" s="1" t="s">
        <v>1086</v>
      </c>
      <c r="J58" s="1">
        <v>580</v>
      </c>
      <c r="K58" s="78">
        <v>46084</v>
      </c>
      <c r="L58" s="1" t="s">
        <v>1448</v>
      </c>
    </row>
    <row r="59" spans="1:12" x14ac:dyDescent="0.25">
      <c r="A59" s="1" t="s">
        <v>1256</v>
      </c>
      <c r="B59" s="1" t="s">
        <v>1257</v>
      </c>
      <c r="C59" s="1" t="s">
        <v>1229</v>
      </c>
      <c r="D59" s="1" t="s">
        <v>1480</v>
      </c>
      <c r="E59" s="1">
        <v>640</v>
      </c>
      <c r="F59" s="1" t="s">
        <v>1087</v>
      </c>
      <c r="G59" s="1" t="s">
        <v>1447</v>
      </c>
      <c r="H59" s="1" t="s">
        <v>1086</v>
      </c>
      <c r="J59" s="1">
        <v>640</v>
      </c>
      <c r="K59" s="78">
        <v>46084</v>
      </c>
      <c r="L59" s="1" t="s">
        <v>1448</v>
      </c>
    </row>
    <row r="60" spans="1:12" x14ac:dyDescent="0.25">
      <c r="A60" s="1" t="s">
        <v>1258</v>
      </c>
      <c r="B60" s="1" t="s">
        <v>1499</v>
      </c>
      <c r="C60" s="1" t="s">
        <v>1229</v>
      </c>
      <c r="D60" s="1" t="s">
        <v>1480</v>
      </c>
      <c r="E60" s="1">
        <v>855</v>
      </c>
      <c r="F60" s="1" t="s">
        <v>1087</v>
      </c>
      <c r="G60" s="1" t="s">
        <v>1447</v>
      </c>
      <c r="H60" s="1" t="s">
        <v>1086</v>
      </c>
      <c r="J60" s="1">
        <v>855</v>
      </c>
      <c r="K60" s="78">
        <v>46084</v>
      </c>
      <c r="L60" s="1" t="s">
        <v>1448</v>
      </c>
    </row>
    <row r="61" spans="1:12" x14ac:dyDescent="0.25">
      <c r="A61" s="1" t="s">
        <v>1260</v>
      </c>
      <c r="B61" s="1" t="s">
        <v>1500</v>
      </c>
      <c r="C61" s="1" t="s">
        <v>1229</v>
      </c>
      <c r="D61" s="1" t="s">
        <v>1480</v>
      </c>
      <c r="E61" s="1">
        <v>4270</v>
      </c>
      <c r="F61" s="1" t="s">
        <v>1087</v>
      </c>
      <c r="G61" s="1" t="s">
        <v>1447</v>
      </c>
      <c r="H61" s="1" t="s">
        <v>1086</v>
      </c>
      <c r="J61" s="1">
        <v>4270</v>
      </c>
      <c r="K61" s="78">
        <v>46084</v>
      </c>
      <c r="L61" s="1" t="s">
        <v>1448</v>
      </c>
    </row>
    <row r="62" spans="1:12" x14ac:dyDescent="0.25">
      <c r="A62" s="1" t="s">
        <v>1262</v>
      </c>
      <c r="B62" s="1" t="s">
        <v>1263</v>
      </c>
      <c r="C62" s="1" t="s">
        <v>1229</v>
      </c>
      <c r="D62" s="1" t="s">
        <v>1480</v>
      </c>
      <c r="E62" s="1">
        <v>610000</v>
      </c>
      <c r="F62" s="1" t="s">
        <v>1087</v>
      </c>
      <c r="G62" s="1" t="s">
        <v>1447</v>
      </c>
      <c r="H62" s="1" t="s">
        <v>1086</v>
      </c>
      <c r="J62" s="1">
        <v>610000</v>
      </c>
      <c r="K62" s="78">
        <v>46084</v>
      </c>
      <c r="L62" s="1" t="s">
        <v>1448</v>
      </c>
    </row>
    <row r="63" spans="1:12" x14ac:dyDescent="0.25">
      <c r="A63" s="1" t="s">
        <v>1264</v>
      </c>
      <c r="B63" s="1" t="s">
        <v>1501</v>
      </c>
      <c r="C63" s="1" t="s">
        <v>1229</v>
      </c>
      <c r="D63" s="1" t="s">
        <v>1480</v>
      </c>
      <c r="E63" s="1">
        <v>490</v>
      </c>
      <c r="F63" s="1" t="s">
        <v>1087</v>
      </c>
      <c r="G63" s="1" t="s">
        <v>1447</v>
      </c>
      <c r="H63" s="1" t="s">
        <v>1086</v>
      </c>
      <c r="J63" s="1">
        <v>490</v>
      </c>
      <c r="K63" s="78">
        <v>46084</v>
      </c>
      <c r="L63" s="1" t="s">
        <v>1448</v>
      </c>
    </row>
    <row r="64" spans="1:12" x14ac:dyDescent="0.25">
      <c r="A64" s="1" t="s">
        <v>1266</v>
      </c>
      <c r="B64" s="1" t="s">
        <v>1502</v>
      </c>
      <c r="C64" s="1" t="s">
        <v>1229</v>
      </c>
      <c r="D64" s="1" t="s">
        <v>1480</v>
      </c>
      <c r="E64" s="1">
        <v>640</v>
      </c>
      <c r="F64" s="1" t="s">
        <v>1087</v>
      </c>
      <c r="G64" s="1" t="s">
        <v>1447</v>
      </c>
      <c r="H64" s="1" t="s">
        <v>1086</v>
      </c>
      <c r="J64" s="1">
        <v>640</v>
      </c>
      <c r="K64" s="78">
        <v>46084</v>
      </c>
      <c r="L64" s="1" t="s">
        <v>1448</v>
      </c>
    </row>
    <row r="65" spans="1:12" x14ac:dyDescent="0.25">
      <c r="A65" s="1" t="s">
        <v>1268</v>
      </c>
      <c r="B65" s="1" t="s">
        <v>1503</v>
      </c>
      <c r="C65" s="1" t="s">
        <v>1229</v>
      </c>
      <c r="D65" s="1" t="s">
        <v>1480</v>
      </c>
      <c r="E65" s="1">
        <v>915</v>
      </c>
      <c r="F65" s="1" t="s">
        <v>1087</v>
      </c>
      <c r="G65" s="1" t="s">
        <v>1447</v>
      </c>
      <c r="H65" s="1" t="s">
        <v>1086</v>
      </c>
      <c r="J65" s="1">
        <v>915</v>
      </c>
      <c r="K65" s="78">
        <v>46084</v>
      </c>
      <c r="L65" s="1" t="s">
        <v>1448</v>
      </c>
    </row>
    <row r="66" spans="1:12" x14ac:dyDescent="0.25">
      <c r="A66" s="1" t="s">
        <v>1270</v>
      </c>
      <c r="B66" s="1" t="s">
        <v>1271</v>
      </c>
      <c r="C66" s="1" t="s">
        <v>1229</v>
      </c>
      <c r="D66" s="1" t="s">
        <v>1480</v>
      </c>
      <c r="E66" s="1">
        <v>700</v>
      </c>
      <c r="F66" s="1" t="s">
        <v>1087</v>
      </c>
      <c r="G66" s="1" t="s">
        <v>1447</v>
      </c>
      <c r="H66" s="1" t="s">
        <v>1086</v>
      </c>
      <c r="J66" s="1">
        <v>700</v>
      </c>
      <c r="K66" s="78">
        <v>46084</v>
      </c>
      <c r="L66" s="1" t="s">
        <v>1448</v>
      </c>
    </row>
    <row r="67" spans="1:12" x14ac:dyDescent="0.25">
      <c r="A67" s="1" t="s">
        <v>1272</v>
      </c>
      <c r="B67" s="1" t="s">
        <v>1273</v>
      </c>
      <c r="C67" s="1" t="s">
        <v>1229</v>
      </c>
      <c r="D67" s="1" t="s">
        <v>1480</v>
      </c>
      <c r="E67" s="1">
        <v>700</v>
      </c>
      <c r="F67" s="1" t="s">
        <v>1087</v>
      </c>
      <c r="G67" s="1" t="s">
        <v>1447</v>
      </c>
      <c r="H67" s="1" t="s">
        <v>1086</v>
      </c>
      <c r="J67" s="1">
        <v>700</v>
      </c>
      <c r="K67" s="78">
        <v>46084</v>
      </c>
      <c r="L67" s="1" t="s">
        <v>1448</v>
      </c>
    </row>
    <row r="68" spans="1:12" x14ac:dyDescent="0.25">
      <c r="A68" s="1" t="s">
        <v>1274</v>
      </c>
      <c r="B68" s="1" t="s">
        <v>1504</v>
      </c>
      <c r="C68" s="1" t="s">
        <v>1229</v>
      </c>
      <c r="D68" s="1" t="s">
        <v>1480</v>
      </c>
      <c r="E68" s="1">
        <v>975</v>
      </c>
      <c r="F68" s="1" t="s">
        <v>1087</v>
      </c>
      <c r="G68" s="1" t="s">
        <v>1447</v>
      </c>
      <c r="H68" s="1" t="s">
        <v>1086</v>
      </c>
      <c r="J68" s="1">
        <v>975</v>
      </c>
      <c r="K68" s="78">
        <v>46084</v>
      </c>
      <c r="L68" s="1" t="s">
        <v>1448</v>
      </c>
    </row>
    <row r="69" spans="1:12" x14ac:dyDescent="0.25">
      <c r="A69" s="1" t="s">
        <v>1276</v>
      </c>
      <c r="B69" s="1" t="s">
        <v>1505</v>
      </c>
      <c r="C69" s="1" t="s">
        <v>1278</v>
      </c>
      <c r="D69" s="1" t="s">
        <v>1480</v>
      </c>
      <c r="E69" s="1">
        <v>457500</v>
      </c>
      <c r="F69" s="1" t="s">
        <v>1087</v>
      </c>
      <c r="G69" s="1" t="s">
        <v>1447</v>
      </c>
      <c r="H69" s="1" t="s">
        <v>1086</v>
      </c>
      <c r="J69" s="1">
        <v>457500</v>
      </c>
      <c r="K69" s="78">
        <v>46084</v>
      </c>
      <c r="L69" s="1" t="s">
        <v>1448</v>
      </c>
    </row>
    <row r="70" spans="1:12" x14ac:dyDescent="0.25">
      <c r="A70" s="1" t="s">
        <v>1279</v>
      </c>
      <c r="B70" s="1" t="s">
        <v>1506</v>
      </c>
      <c r="C70" s="1" t="s">
        <v>1278</v>
      </c>
      <c r="D70" s="1" t="s">
        <v>1480</v>
      </c>
      <c r="E70" s="1">
        <v>91500</v>
      </c>
      <c r="F70" s="1" t="s">
        <v>1087</v>
      </c>
      <c r="G70" s="1" t="s">
        <v>1447</v>
      </c>
      <c r="H70" s="1" t="s">
        <v>1086</v>
      </c>
      <c r="J70" s="1">
        <v>91500</v>
      </c>
      <c r="K70" s="78">
        <v>46084</v>
      </c>
      <c r="L70" s="1" t="s">
        <v>1448</v>
      </c>
    </row>
    <row r="71" spans="1:12" x14ac:dyDescent="0.25">
      <c r="A71" s="1" t="s">
        <v>1281</v>
      </c>
      <c r="B71" s="1" t="s">
        <v>1507</v>
      </c>
      <c r="C71" s="1" t="s">
        <v>1278</v>
      </c>
      <c r="D71" s="1" t="s">
        <v>1480</v>
      </c>
      <c r="E71" s="1">
        <v>118950</v>
      </c>
      <c r="F71" s="1" t="s">
        <v>1087</v>
      </c>
      <c r="G71" s="1" t="s">
        <v>1447</v>
      </c>
      <c r="H71" s="1" t="s">
        <v>1086</v>
      </c>
      <c r="J71" s="1">
        <v>118950</v>
      </c>
      <c r="K71" s="78">
        <v>46084</v>
      </c>
      <c r="L71" s="1" t="s">
        <v>1448</v>
      </c>
    </row>
    <row r="72" spans="1:12" x14ac:dyDescent="0.25">
      <c r="A72" s="1" t="s">
        <v>1283</v>
      </c>
      <c r="B72" s="1" t="s">
        <v>1508</v>
      </c>
      <c r="C72" s="1" t="s">
        <v>1278</v>
      </c>
      <c r="D72" s="1" t="s">
        <v>1480</v>
      </c>
      <c r="E72" s="1">
        <v>152500</v>
      </c>
      <c r="F72" s="1" t="s">
        <v>1087</v>
      </c>
      <c r="G72" s="1" t="s">
        <v>1447</v>
      </c>
      <c r="H72" s="1" t="s">
        <v>1086</v>
      </c>
      <c r="J72" s="1">
        <v>152500</v>
      </c>
      <c r="K72" s="78">
        <v>46084</v>
      </c>
      <c r="L72" s="1" t="s">
        <v>1448</v>
      </c>
    </row>
    <row r="73" spans="1:12" x14ac:dyDescent="0.25">
      <c r="A73" s="1" t="s">
        <v>1287</v>
      </c>
      <c r="B73" s="1" t="s">
        <v>1509</v>
      </c>
      <c r="C73" s="1" t="s">
        <v>1278</v>
      </c>
      <c r="D73" s="1" t="s">
        <v>1480</v>
      </c>
      <c r="E73" s="1">
        <v>2745</v>
      </c>
      <c r="F73" s="1" t="s">
        <v>1087</v>
      </c>
      <c r="G73" s="1" t="s">
        <v>1447</v>
      </c>
      <c r="H73" s="1" t="s">
        <v>1086</v>
      </c>
      <c r="J73" s="1">
        <v>2745</v>
      </c>
      <c r="K73" s="78">
        <v>46084</v>
      </c>
      <c r="L73" s="1" t="s">
        <v>1448</v>
      </c>
    </row>
    <row r="74" spans="1:12" x14ac:dyDescent="0.25">
      <c r="A74" s="1" t="s">
        <v>1510</v>
      </c>
      <c r="B74" s="1" t="s">
        <v>1511</v>
      </c>
      <c r="C74" s="1" t="s">
        <v>1278</v>
      </c>
      <c r="D74" s="1" t="s">
        <v>1480</v>
      </c>
      <c r="E74" s="1">
        <v>4880</v>
      </c>
      <c r="F74" s="1" t="s">
        <v>1087</v>
      </c>
      <c r="G74" s="1" t="s">
        <v>1447</v>
      </c>
      <c r="H74" s="1" t="s">
        <v>1086</v>
      </c>
      <c r="J74" s="1">
        <v>4880</v>
      </c>
      <c r="K74" s="78">
        <v>46084</v>
      </c>
      <c r="L74" s="1" t="s">
        <v>1448</v>
      </c>
    </row>
    <row r="75" spans="1:12" x14ac:dyDescent="0.25">
      <c r="A75" s="1" t="s">
        <v>1512</v>
      </c>
      <c r="B75" s="1" t="s">
        <v>1513</v>
      </c>
      <c r="C75" s="1" t="s">
        <v>1278</v>
      </c>
      <c r="D75" s="1" t="s">
        <v>1480</v>
      </c>
      <c r="E75" s="1">
        <v>6405</v>
      </c>
      <c r="F75" s="1" t="s">
        <v>1087</v>
      </c>
      <c r="G75" s="1" t="s">
        <v>1447</v>
      </c>
      <c r="H75" s="1" t="s">
        <v>1086</v>
      </c>
      <c r="J75" s="1">
        <v>6405</v>
      </c>
      <c r="K75" s="78">
        <v>46084</v>
      </c>
      <c r="L75" s="1" t="s">
        <v>1448</v>
      </c>
    </row>
    <row r="76" spans="1:12" x14ac:dyDescent="0.25">
      <c r="A76" s="1" t="s">
        <v>1514</v>
      </c>
      <c r="B76" s="1" t="s">
        <v>1515</v>
      </c>
      <c r="C76" s="1" t="s">
        <v>1278</v>
      </c>
      <c r="D76" s="1" t="s">
        <v>1480</v>
      </c>
      <c r="E76" s="1">
        <v>7930</v>
      </c>
      <c r="F76" s="1" t="s">
        <v>1087</v>
      </c>
      <c r="G76" s="1" t="s">
        <v>1447</v>
      </c>
      <c r="H76" s="1" t="s">
        <v>1086</v>
      </c>
      <c r="J76" s="1">
        <v>7930</v>
      </c>
      <c r="K76" s="78">
        <v>46084</v>
      </c>
      <c r="L76" s="1" t="s">
        <v>1448</v>
      </c>
    </row>
    <row r="77" spans="1:12" x14ac:dyDescent="0.25">
      <c r="A77" s="1" t="s">
        <v>1303</v>
      </c>
      <c r="B77" s="1" t="s">
        <v>1304</v>
      </c>
      <c r="C77" s="1" t="s">
        <v>1305</v>
      </c>
      <c r="D77" s="1" t="s">
        <v>1480</v>
      </c>
      <c r="E77" s="1">
        <v>7015</v>
      </c>
      <c r="F77" s="1" t="s">
        <v>1087</v>
      </c>
      <c r="G77" s="1" t="s">
        <v>1447</v>
      </c>
      <c r="H77" s="1" t="s">
        <v>1086</v>
      </c>
      <c r="J77" s="1">
        <v>7015</v>
      </c>
      <c r="K77" s="78">
        <v>46084</v>
      </c>
      <c r="L77" s="1" t="s">
        <v>1448</v>
      </c>
    </row>
    <row r="78" spans="1:12" x14ac:dyDescent="0.25">
      <c r="A78" s="1" t="s">
        <v>1306</v>
      </c>
      <c r="B78" s="1" t="s">
        <v>1307</v>
      </c>
      <c r="C78" s="1" t="s">
        <v>1305</v>
      </c>
      <c r="D78" s="1" t="s">
        <v>1480</v>
      </c>
      <c r="E78" s="1">
        <v>8540</v>
      </c>
      <c r="F78" s="1" t="s">
        <v>1087</v>
      </c>
      <c r="G78" s="1" t="s">
        <v>1447</v>
      </c>
      <c r="H78" s="1" t="s">
        <v>1086</v>
      </c>
      <c r="J78" s="1">
        <v>8540</v>
      </c>
      <c r="K78" s="78">
        <v>46084</v>
      </c>
      <c r="L78" s="1" t="s">
        <v>1448</v>
      </c>
    </row>
    <row r="79" spans="1:12" x14ac:dyDescent="0.25">
      <c r="A79" s="1" t="s">
        <v>1308</v>
      </c>
      <c r="B79" s="1" t="s">
        <v>1309</v>
      </c>
      <c r="C79" s="1" t="s">
        <v>1305</v>
      </c>
      <c r="D79" s="1" t="s">
        <v>1480</v>
      </c>
      <c r="E79" s="1">
        <v>21350</v>
      </c>
      <c r="F79" s="1" t="s">
        <v>1087</v>
      </c>
      <c r="G79" s="1" t="s">
        <v>1447</v>
      </c>
      <c r="H79" s="1" t="s">
        <v>1086</v>
      </c>
      <c r="J79" s="1">
        <v>21350</v>
      </c>
      <c r="K79" s="78">
        <v>46084</v>
      </c>
      <c r="L79" s="1" t="s">
        <v>1448</v>
      </c>
    </row>
    <row r="80" spans="1:12" x14ac:dyDescent="0.25">
      <c r="A80" s="1" t="s">
        <v>1312</v>
      </c>
      <c r="B80" s="1" t="s">
        <v>1313</v>
      </c>
      <c r="C80" s="1" t="s">
        <v>1305</v>
      </c>
      <c r="D80" s="1" t="s">
        <v>1480</v>
      </c>
      <c r="E80" s="1">
        <v>7015</v>
      </c>
      <c r="F80" s="1" t="s">
        <v>1087</v>
      </c>
      <c r="G80" s="1" t="s">
        <v>1447</v>
      </c>
      <c r="H80" s="1" t="s">
        <v>1086</v>
      </c>
      <c r="J80" s="1">
        <v>7015</v>
      </c>
      <c r="K80" s="78">
        <v>46084</v>
      </c>
      <c r="L80" s="1" t="s">
        <v>1448</v>
      </c>
    </row>
    <row r="81" spans="1:12" x14ac:dyDescent="0.25">
      <c r="A81" s="1" t="s">
        <v>1314</v>
      </c>
      <c r="B81" s="1" t="s">
        <v>1516</v>
      </c>
      <c r="C81" s="1" t="s">
        <v>1305</v>
      </c>
      <c r="D81" s="1" t="s">
        <v>1480</v>
      </c>
      <c r="E81" s="1">
        <v>5185</v>
      </c>
      <c r="F81" s="1" t="s">
        <v>1087</v>
      </c>
      <c r="G81" s="1" t="s">
        <v>1447</v>
      </c>
      <c r="H81" s="1" t="s">
        <v>1086</v>
      </c>
      <c r="J81" s="1">
        <v>5185</v>
      </c>
      <c r="K81" s="78">
        <v>46084</v>
      </c>
      <c r="L81" s="1" t="s">
        <v>1448</v>
      </c>
    </row>
    <row r="82" spans="1:12" x14ac:dyDescent="0.25">
      <c r="A82" s="1" t="s">
        <v>1517</v>
      </c>
      <c r="B82" s="1" t="s">
        <v>1518</v>
      </c>
      <c r="C82" s="1" t="s">
        <v>1305</v>
      </c>
      <c r="D82" s="1" t="s">
        <v>1480</v>
      </c>
      <c r="E82" s="1">
        <v>8540</v>
      </c>
      <c r="F82" s="1" t="s">
        <v>1087</v>
      </c>
      <c r="G82" s="1" t="s">
        <v>1447</v>
      </c>
      <c r="H82" s="1" t="s">
        <v>1086</v>
      </c>
      <c r="J82" s="1">
        <v>8540</v>
      </c>
      <c r="K82" s="78">
        <v>46084</v>
      </c>
      <c r="L82" s="1" t="s">
        <v>1448</v>
      </c>
    </row>
    <row r="83" spans="1:12" x14ac:dyDescent="0.25">
      <c r="A83" s="1" t="s">
        <v>1519</v>
      </c>
      <c r="B83" s="1" t="s">
        <v>1520</v>
      </c>
      <c r="C83" s="1" t="s">
        <v>1305</v>
      </c>
      <c r="D83" s="1" t="s">
        <v>1480</v>
      </c>
      <c r="E83" s="1">
        <v>16775</v>
      </c>
      <c r="F83" s="1" t="s">
        <v>1087</v>
      </c>
      <c r="G83" s="1" t="s">
        <v>1447</v>
      </c>
      <c r="H83" s="1" t="s">
        <v>1086</v>
      </c>
      <c r="J83" s="1">
        <v>16775</v>
      </c>
      <c r="K83" s="78">
        <v>46084</v>
      </c>
      <c r="L83" s="1" t="s">
        <v>1448</v>
      </c>
    </row>
    <row r="84" spans="1:12" x14ac:dyDescent="0.25">
      <c r="A84" s="1" t="s">
        <v>1326</v>
      </c>
      <c r="B84" s="1" t="s">
        <v>1521</v>
      </c>
      <c r="C84" s="1" t="s">
        <v>1305</v>
      </c>
      <c r="D84" s="1" t="s">
        <v>1480</v>
      </c>
      <c r="E84" s="1">
        <v>12200</v>
      </c>
      <c r="F84" s="1" t="s">
        <v>1087</v>
      </c>
      <c r="G84" s="1" t="s">
        <v>1447</v>
      </c>
      <c r="H84" s="1" t="s">
        <v>1086</v>
      </c>
      <c r="J84" s="1">
        <v>12200</v>
      </c>
      <c r="K84" s="78">
        <v>46084</v>
      </c>
      <c r="L84" s="1" t="s">
        <v>1448</v>
      </c>
    </row>
    <row r="85" spans="1:12" x14ac:dyDescent="0.25">
      <c r="A85" s="1" t="s">
        <v>1336</v>
      </c>
      <c r="B85" s="1" t="s">
        <v>1522</v>
      </c>
      <c r="C85" s="1" t="s">
        <v>1305</v>
      </c>
      <c r="D85" s="1" t="s">
        <v>1480</v>
      </c>
      <c r="E85" s="1">
        <v>24400</v>
      </c>
      <c r="F85" s="1" t="s">
        <v>1087</v>
      </c>
      <c r="G85" s="1" t="s">
        <v>1447</v>
      </c>
      <c r="H85" s="1" t="s">
        <v>1086</v>
      </c>
      <c r="J85" s="1">
        <v>24400</v>
      </c>
      <c r="K85" s="78">
        <v>46084</v>
      </c>
      <c r="L85" s="1" t="s">
        <v>1448</v>
      </c>
    </row>
    <row r="86" spans="1:12" x14ac:dyDescent="0.25">
      <c r="A86" s="1" t="s">
        <v>1338</v>
      </c>
      <c r="B86" s="1" t="s">
        <v>1523</v>
      </c>
      <c r="C86" s="1" t="s">
        <v>1305</v>
      </c>
      <c r="D86" s="1" t="s">
        <v>1480</v>
      </c>
      <c r="E86" s="1">
        <v>18300</v>
      </c>
      <c r="F86" s="1" t="s">
        <v>1087</v>
      </c>
      <c r="G86" s="1" t="s">
        <v>1447</v>
      </c>
      <c r="H86" s="1" t="s">
        <v>1086</v>
      </c>
      <c r="J86" s="1">
        <v>18300</v>
      </c>
      <c r="K86" s="78">
        <v>46084</v>
      </c>
      <c r="L86" s="1" t="s">
        <v>1448</v>
      </c>
    </row>
    <row r="87" spans="1:12" x14ac:dyDescent="0.25">
      <c r="A87" s="1" t="s">
        <v>1340</v>
      </c>
      <c r="B87" s="1" t="s">
        <v>1524</v>
      </c>
      <c r="C87" s="1" t="s">
        <v>1305</v>
      </c>
      <c r="D87" s="1" t="s">
        <v>1480</v>
      </c>
      <c r="E87" s="1">
        <v>97600</v>
      </c>
      <c r="F87" s="1" t="s">
        <v>1087</v>
      </c>
      <c r="G87" s="1" t="s">
        <v>1447</v>
      </c>
      <c r="H87" s="1" t="s">
        <v>1086</v>
      </c>
      <c r="J87" s="1">
        <v>97600</v>
      </c>
      <c r="K87" s="78">
        <v>46084</v>
      </c>
      <c r="L87" s="1" t="s">
        <v>1448</v>
      </c>
    </row>
    <row r="88" spans="1:12" x14ac:dyDescent="0.25">
      <c r="A88" s="1" t="s">
        <v>1342</v>
      </c>
      <c r="B88" s="1" t="s">
        <v>1525</v>
      </c>
      <c r="C88" s="1" t="s">
        <v>1305</v>
      </c>
      <c r="D88" s="1" t="s">
        <v>1480</v>
      </c>
      <c r="E88" s="1">
        <v>64050</v>
      </c>
      <c r="F88" s="1" t="s">
        <v>1087</v>
      </c>
      <c r="G88" s="1" t="s">
        <v>1447</v>
      </c>
      <c r="H88" s="1" t="s">
        <v>1086</v>
      </c>
      <c r="J88" s="1">
        <v>64050</v>
      </c>
      <c r="K88" s="78">
        <v>46084</v>
      </c>
      <c r="L88" s="1" t="s">
        <v>1448</v>
      </c>
    </row>
    <row r="89" spans="1:12" x14ac:dyDescent="0.25">
      <c r="A89" s="1" t="s">
        <v>1346</v>
      </c>
      <c r="B89" s="1" t="s">
        <v>1526</v>
      </c>
      <c r="C89" s="1" t="s">
        <v>1305</v>
      </c>
      <c r="D89" s="1" t="s">
        <v>1480</v>
      </c>
      <c r="E89" s="1">
        <v>33550</v>
      </c>
      <c r="F89" s="1" t="s">
        <v>1087</v>
      </c>
      <c r="G89" s="1" t="s">
        <v>1447</v>
      </c>
      <c r="H89" s="1" t="s">
        <v>1086</v>
      </c>
      <c r="J89" s="1">
        <v>33550</v>
      </c>
      <c r="K89" s="78">
        <v>46084</v>
      </c>
      <c r="L89" s="1" t="s">
        <v>1448</v>
      </c>
    </row>
    <row r="90" spans="1:12" x14ac:dyDescent="0.25">
      <c r="A90" s="1" t="s">
        <v>1348</v>
      </c>
      <c r="B90" s="1" t="s">
        <v>1527</v>
      </c>
      <c r="C90" s="1" t="s">
        <v>1350</v>
      </c>
      <c r="D90" s="1" t="s">
        <v>1446</v>
      </c>
      <c r="E90" s="1">
        <v>27450</v>
      </c>
      <c r="F90" s="1" t="s">
        <v>1497</v>
      </c>
      <c r="G90" s="1" t="s">
        <v>1447</v>
      </c>
      <c r="H90" s="1" t="s">
        <v>1086</v>
      </c>
      <c r="J90" s="1">
        <v>27450</v>
      </c>
      <c r="K90" s="78">
        <v>46084</v>
      </c>
      <c r="L90" s="1" t="s">
        <v>1448</v>
      </c>
    </row>
    <row r="91" spans="1:12" x14ac:dyDescent="0.25">
      <c r="A91" s="1" t="s">
        <v>1351</v>
      </c>
      <c r="B91" s="1" t="s">
        <v>1352</v>
      </c>
      <c r="C91" s="1" t="s">
        <v>1350</v>
      </c>
      <c r="D91" s="1" t="s">
        <v>1480</v>
      </c>
      <c r="E91" s="1">
        <v>24400</v>
      </c>
      <c r="F91" s="1" t="s">
        <v>1087</v>
      </c>
      <c r="G91" s="1" t="s">
        <v>1447</v>
      </c>
      <c r="H91" s="1" t="s">
        <v>1086</v>
      </c>
      <c r="J91" s="1">
        <v>24400</v>
      </c>
      <c r="K91" s="78">
        <v>46084</v>
      </c>
      <c r="L91" s="1" t="s">
        <v>1448</v>
      </c>
    </row>
    <row r="92" spans="1:12" x14ac:dyDescent="0.25">
      <c r="A92" s="1" t="s">
        <v>1353</v>
      </c>
      <c r="B92" s="1" t="s">
        <v>1528</v>
      </c>
      <c r="C92" s="1" t="s">
        <v>1350</v>
      </c>
      <c r="D92" s="1" t="s">
        <v>1480</v>
      </c>
      <c r="E92" s="1">
        <v>13725</v>
      </c>
      <c r="F92" s="1" t="s">
        <v>1497</v>
      </c>
      <c r="G92" s="1" t="s">
        <v>1447</v>
      </c>
      <c r="H92" s="1" t="s">
        <v>1086</v>
      </c>
      <c r="J92" s="1">
        <v>13725</v>
      </c>
      <c r="K92" s="78">
        <v>46084</v>
      </c>
      <c r="L92" s="1" t="s">
        <v>1448</v>
      </c>
    </row>
    <row r="93" spans="1:12" x14ac:dyDescent="0.25">
      <c r="A93" s="1" t="s">
        <v>1355</v>
      </c>
      <c r="B93" s="1" t="s">
        <v>1529</v>
      </c>
      <c r="C93" s="1" t="s">
        <v>1350</v>
      </c>
      <c r="D93" s="1" t="s">
        <v>1480</v>
      </c>
      <c r="E93" s="1">
        <v>16165</v>
      </c>
      <c r="F93" s="1" t="s">
        <v>1087</v>
      </c>
      <c r="G93" s="1" t="s">
        <v>1447</v>
      </c>
      <c r="H93" s="1" t="s">
        <v>1086</v>
      </c>
      <c r="J93" s="1">
        <v>16165</v>
      </c>
      <c r="K93" s="78">
        <v>46084</v>
      </c>
      <c r="L93" s="1" t="s">
        <v>1448</v>
      </c>
    </row>
    <row r="94" spans="1:12" x14ac:dyDescent="0.25">
      <c r="A94" s="1" t="s">
        <v>1357</v>
      </c>
      <c r="B94" s="1" t="s">
        <v>1530</v>
      </c>
      <c r="C94" s="1" t="s">
        <v>1350</v>
      </c>
      <c r="D94" s="1" t="s">
        <v>1480</v>
      </c>
      <c r="E94" s="1">
        <v>32025</v>
      </c>
      <c r="F94" s="1" t="s">
        <v>1497</v>
      </c>
      <c r="G94" s="1" t="s">
        <v>1447</v>
      </c>
      <c r="H94" s="1" t="s">
        <v>1086</v>
      </c>
      <c r="J94" s="1">
        <v>32025</v>
      </c>
      <c r="K94" s="78">
        <v>46084</v>
      </c>
      <c r="L94" s="1" t="s">
        <v>1448</v>
      </c>
    </row>
    <row r="95" spans="1:12" x14ac:dyDescent="0.25">
      <c r="A95" s="1" t="s">
        <v>1359</v>
      </c>
      <c r="B95" s="1" t="s">
        <v>1531</v>
      </c>
      <c r="C95" s="1" t="s">
        <v>1350</v>
      </c>
      <c r="D95" s="1" t="s">
        <v>1480</v>
      </c>
      <c r="E95" s="1">
        <v>41175</v>
      </c>
      <c r="F95" s="1" t="s">
        <v>1497</v>
      </c>
      <c r="G95" s="1" t="s">
        <v>1447</v>
      </c>
      <c r="H95" s="1" t="s">
        <v>1086</v>
      </c>
      <c r="J95" s="1">
        <v>41175</v>
      </c>
      <c r="K95" s="78">
        <v>46084</v>
      </c>
      <c r="L95" s="1" t="s">
        <v>1448</v>
      </c>
    </row>
    <row r="96" spans="1:12" x14ac:dyDescent="0.25">
      <c r="A96" s="1" t="s">
        <v>1361</v>
      </c>
      <c r="B96" s="1" t="s">
        <v>1532</v>
      </c>
      <c r="C96" s="1" t="s">
        <v>1350</v>
      </c>
      <c r="D96" s="1" t="s">
        <v>1480</v>
      </c>
      <c r="E96" s="1">
        <v>48800</v>
      </c>
      <c r="F96" s="1" t="s">
        <v>1497</v>
      </c>
      <c r="G96" s="1" t="s">
        <v>1447</v>
      </c>
      <c r="H96" s="1" t="s">
        <v>1086</v>
      </c>
      <c r="J96" s="1">
        <v>48800</v>
      </c>
      <c r="K96" s="78">
        <v>46084</v>
      </c>
      <c r="L96" s="1" t="s">
        <v>1448</v>
      </c>
    </row>
    <row r="97" spans="1:12" x14ac:dyDescent="0.25">
      <c r="A97" s="1" t="s">
        <v>1433</v>
      </c>
      <c r="B97" s="1" t="s">
        <v>1533</v>
      </c>
      <c r="C97" s="1" t="s">
        <v>1435</v>
      </c>
      <c r="D97" s="1" t="s">
        <v>1456</v>
      </c>
      <c r="E97" s="1">
        <v>9760</v>
      </c>
      <c r="F97" s="1" t="s">
        <v>1087</v>
      </c>
      <c r="G97" s="1" t="s">
        <v>1447</v>
      </c>
      <c r="H97" s="1" t="s">
        <v>1086</v>
      </c>
      <c r="J97" s="1">
        <v>9760</v>
      </c>
      <c r="K97" s="78">
        <v>46084</v>
      </c>
      <c r="L97" s="1" t="s">
        <v>1448</v>
      </c>
    </row>
    <row r="98" spans="1:12" x14ac:dyDescent="0.25">
      <c r="A98" s="1" t="s">
        <v>1436</v>
      </c>
      <c r="B98" s="1" t="s">
        <v>1534</v>
      </c>
      <c r="C98" s="1" t="s">
        <v>1438</v>
      </c>
      <c r="D98" s="1" t="s">
        <v>1456</v>
      </c>
      <c r="E98" s="1">
        <v>575</v>
      </c>
      <c r="F98" s="1" t="s">
        <v>1087</v>
      </c>
      <c r="G98" s="1" t="s">
        <v>1447</v>
      </c>
      <c r="H98" s="1" t="s">
        <v>1086</v>
      </c>
      <c r="J98" s="1">
        <v>575</v>
      </c>
      <c r="K98" s="78">
        <v>46084</v>
      </c>
      <c r="L98" s="1" t="s">
        <v>1448</v>
      </c>
    </row>
    <row r="99" spans="1:12" x14ac:dyDescent="0.25">
      <c r="A99" s="1" t="s">
        <v>1439</v>
      </c>
      <c r="B99" s="1" t="s">
        <v>1535</v>
      </c>
      <c r="C99" s="1" t="s">
        <v>1438</v>
      </c>
      <c r="D99" s="1" t="s">
        <v>1456</v>
      </c>
      <c r="E99" s="1">
        <v>6325</v>
      </c>
      <c r="F99" s="1" t="s">
        <v>1087</v>
      </c>
      <c r="G99" s="1" t="s">
        <v>1447</v>
      </c>
      <c r="H99" s="1" t="s">
        <v>1086</v>
      </c>
      <c r="J99" s="1">
        <v>6325</v>
      </c>
      <c r="K99" s="78">
        <v>46084</v>
      </c>
      <c r="L99" s="1" t="s">
        <v>1448</v>
      </c>
    </row>
    <row r="100" spans="1:12" x14ac:dyDescent="0.25">
      <c r="A100" s="1" t="s">
        <v>1441</v>
      </c>
      <c r="B100" s="1" t="s">
        <v>1536</v>
      </c>
      <c r="C100" s="1" t="s">
        <v>1438</v>
      </c>
      <c r="D100" s="1" t="s">
        <v>1456</v>
      </c>
      <c r="E100" s="1">
        <v>575</v>
      </c>
      <c r="F100" s="1" t="s">
        <v>1087</v>
      </c>
      <c r="G100" s="1" t="s">
        <v>1447</v>
      </c>
      <c r="H100" s="1" t="s">
        <v>1086</v>
      </c>
      <c r="J100" s="1">
        <v>575</v>
      </c>
      <c r="K100" s="78">
        <v>46084</v>
      </c>
      <c r="L100" s="1" t="s">
        <v>1448</v>
      </c>
    </row>
    <row r="101" spans="1:12" x14ac:dyDescent="0.25">
      <c r="A101" s="1" t="s">
        <v>1442</v>
      </c>
      <c r="B101" s="1" t="s">
        <v>1537</v>
      </c>
      <c r="C101" s="1" t="s">
        <v>1438</v>
      </c>
      <c r="D101" s="1" t="s">
        <v>1456</v>
      </c>
      <c r="E101" s="1">
        <v>6325</v>
      </c>
      <c r="F101" s="1" t="s">
        <v>1087</v>
      </c>
      <c r="G101" s="1" t="s">
        <v>1447</v>
      </c>
      <c r="H101" s="1" t="s">
        <v>1086</v>
      </c>
      <c r="J101" s="1">
        <v>6325</v>
      </c>
      <c r="K101" s="78">
        <v>46084</v>
      </c>
      <c r="L101" s="1" t="s">
        <v>1448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60AF-A31A-4AE3-A46C-4112E708C897}">
  <sheetPr>
    <tabColor rgb="FFFF0000"/>
  </sheetPr>
  <dimension ref="A1"/>
  <sheetViews>
    <sheetView workbookViewId="0"/>
  </sheetViews>
  <sheetFormatPr baseColWidth="10" defaultRowHeight="15" x14ac:dyDescent="0.25"/>
  <cols>
    <col min="1" max="16384" width="11.42578125" style="1"/>
  </cols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1435A-D0FC-4440-A841-591CAAC663E2}">
  <sheetPr>
    <tabColor theme="9" tint="-0.249977111117893"/>
  </sheetPr>
  <dimension ref="A1:I302"/>
  <sheetViews>
    <sheetView workbookViewId="0">
      <selection activeCell="B18" sqref="B18"/>
    </sheetView>
  </sheetViews>
  <sheetFormatPr baseColWidth="10" defaultRowHeight="15" x14ac:dyDescent="0.25"/>
  <cols>
    <col min="1" max="1" width="43.140625" style="1" bestFit="1" customWidth="1"/>
    <col min="2" max="2" width="81.140625" style="1" bestFit="1" customWidth="1"/>
    <col min="3" max="3" width="6.7109375" style="1" bestFit="1" customWidth="1"/>
    <col min="4" max="4" width="15.42578125" style="1" bestFit="1" customWidth="1"/>
    <col min="5" max="5" width="13.140625" style="1" bestFit="1" customWidth="1"/>
    <col min="6" max="6" width="8.7109375" style="1" bestFit="1" customWidth="1"/>
    <col min="7" max="7" width="7" style="1" bestFit="1" customWidth="1"/>
    <col min="8" max="8" width="12.7109375" style="1" bestFit="1" customWidth="1"/>
    <col min="9" max="9" width="21.5703125" style="1" bestFit="1" customWidth="1"/>
    <col min="10" max="16384" width="11.42578125" style="1"/>
  </cols>
  <sheetData>
    <row r="1" spans="1:9" x14ac:dyDescent="0.25">
      <c r="A1" s="1" t="s">
        <v>1072</v>
      </c>
      <c r="B1" t="s">
        <v>1073</v>
      </c>
      <c r="C1" s="1" t="s">
        <v>1074</v>
      </c>
      <c r="D1" s="1" t="s">
        <v>1066</v>
      </c>
      <c r="E1" s="1" t="s">
        <v>1538</v>
      </c>
      <c r="F1" s="1" t="s">
        <v>1075</v>
      </c>
      <c r="G1" s="1" t="s">
        <v>1539</v>
      </c>
      <c r="H1" s="1" t="s">
        <v>1540</v>
      </c>
      <c r="I1" s="1" t="s">
        <v>979</v>
      </c>
    </row>
    <row r="2" spans="1:9" x14ac:dyDescent="0.25">
      <c r="A2" s="1" t="s">
        <v>1081</v>
      </c>
      <c r="B2" s="1" t="s">
        <v>1082</v>
      </c>
      <c r="C2" s="1" t="s">
        <v>1083</v>
      </c>
      <c r="D2" s="1" t="s">
        <v>1068</v>
      </c>
      <c r="E2" s="1" t="s">
        <v>1542</v>
      </c>
      <c r="F2" s="1" t="s">
        <v>1084</v>
      </c>
      <c r="G2" s="1">
        <v>1</v>
      </c>
      <c r="H2" s="78">
        <v>46084</v>
      </c>
      <c r="I2" s="1" t="s">
        <v>987</v>
      </c>
    </row>
    <row r="3" spans="1:9" x14ac:dyDescent="0.25">
      <c r="A3" s="1" t="s">
        <v>1088</v>
      </c>
      <c r="B3" s="1" t="s">
        <v>1089</v>
      </c>
      <c r="C3" s="1" t="s">
        <v>1083</v>
      </c>
      <c r="D3" s="1" t="s">
        <v>1068</v>
      </c>
      <c r="E3" s="1" t="s">
        <v>1542</v>
      </c>
      <c r="F3" s="1" t="s">
        <v>1084</v>
      </c>
      <c r="G3" s="1">
        <v>1</v>
      </c>
      <c r="H3" s="78">
        <v>46084</v>
      </c>
      <c r="I3" s="1" t="s">
        <v>987</v>
      </c>
    </row>
    <row r="4" spans="1:9" x14ac:dyDescent="0.25">
      <c r="A4" s="1" t="s">
        <v>1090</v>
      </c>
      <c r="B4" s="1" t="s">
        <v>1091</v>
      </c>
      <c r="C4" s="1" t="s">
        <v>1083</v>
      </c>
      <c r="D4" s="1" t="s">
        <v>1068</v>
      </c>
      <c r="E4" s="1" t="s">
        <v>1542</v>
      </c>
      <c r="F4" s="1" t="s">
        <v>1084</v>
      </c>
      <c r="G4" s="1">
        <v>1</v>
      </c>
      <c r="H4" s="78">
        <v>46084</v>
      </c>
      <c r="I4" s="1" t="s">
        <v>987</v>
      </c>
    </row>
    <row r="5" spans="1:9" x14ac:dyDescent="0.25">
      <c r="A5" s="1" t="s">
        <v>1092</v>
      </c>
      <c r="B5" s="1" t="s">
        <v>1093</v>
      </c>
      <c r="C5" s="1" t="s">
        <v>1083</v>
      </c>
      <c r="D5" s="1" t="s">
        <v>1068</v>
      </c>
      <c r="E5" s="1" t="s">
        <v>1542</v>
      </c>
      <c r="F5" s="1" t="s">
        <v>1084</v>
      </c>
      <c r="G5" s="1">
        <v>1</v>
      </c>
      <c r="H5" s="78">
        <v>46084</v>
      </c>
      <c r="I5" s="1" t="s">
        <v>987</v>
      </c>
    </row>
    <row r="6" spans="1:9" x14ac:dyDescent="0.25">
      <c r="A6" s="1" t="s">
        <v>1094</v>
      </c>
      <c r="B6" s="1" t="s">
        <v>1095</v>
      </c>
      <c r="C6" s="1" t="s">
        <v>1083</v>
      </c>
      <c r="D6" s="1" t="s">
        <v>1068</v>
      </c>
      <c r="E6" s="1" t="s">
        <v>1542</v>
      </c>
      <c r="F6" s="1" t="s">
        <v>1084</v>
      </c>
      <c r="G6" s="1">
        <v>1</v>
      </c>
      <c r="H6" s="78">
        <v>46084</v>
      </c>
      <c r="I6" s="1" t="s">
        <v>987</v>
      </c>
    </row>
    <row r="7" spans="1:9" x14ac:dyDescent="0.25">
      <c r="A7" s="1" t="s">
        <v>1096</v>
      </c>
      <c r="B7" s="1" t="s">
        <v>1097</v>
      </c>
      <c r="C7" s="1" t="s">
        <v>1083</v>
      </c>
      <c r="D7" s="1" t="s">
        <v>1068</v>
      </c>
      <c r="E7" s="1" t="s">
        <v>1542</v>
      </c>
      <c r="F7" s="1" t="s">
        <v>1084</v>
      </c>
      <c r="G7" s="1">
        <v>1</v>
      </c>
      <c r="H7" s="78">
        <v>46084</v>
      </c>
      <c r="I7" s="1" t="s">
        <v>987</v>
      </c>
    </row>
    <row r="8" spans="1:9" x14ac:dyDescent="0.25">
      <c r="A8" s="1" t="s">
        <v>1098</v>
      </c>
      <c r="B8" s="1" t="s">
        <v>1099</v>
      </c>
      <c r="C8" s="1" t="s">
        <v>1083</v>
      </c>
      <c r="D8" s="1" t="s">
        <v>1068</v>
      </c>
      <c r="E8" s="1" t="s">
        <v>1542</v>
      </c>
      <c r="F8" s="1" t="s">
        <v>1084</v>
      </c>
      <c r="G8" s="1">
        <v>1</v>
      </c>
      <c r="H8" s="78">
        <v>46084</v>
      </c>
      <c r="I8" s="1" t="s">
        <v>987</v>
      </c>
    </row>
    <row r="9" spans="1:9" x14ac:dyDescent="0.25">
      <c r="A9" s="1" t="s">
        <v>1100</v>
      </c>
      <c r="B9" s="1" t="s">
        <v>1101</v>
      </c>
      <c r="C9" s="1" t="s">
        <v>1083</v>
      </c>
      <c r="D9" s="1" t="s">
        <v>1068</v>
      </c>
      <c r="E9" s="1" t="s">
        <v>1727</v>
      </c>
      <c r="F9" s="1" t="s">
        <v>1084</v>
      </c>
      <c r="G9" s="1">
        <v>1</v>
      </c>
      <c r="H9" s="78">
        <v>46084</v>
      </c>
      <c r="I9" s="1" t="s">
        <v>987</v>
      </c>
    </row>
    <row r="10" spans="1:9" x14ac:dyDescent="0.25">
      <c r="A10" s="1" t="s">
        <v>1102</v>
      </c>
      <c r="B10" s="1" t="s">
        <v>1103</v>
      </c>
      <c r="C10" s="1" t="s">
        <v>1083</v>
      </c>
      <c r="D10" s="1" t="s">
        <v>1070</v>
      </c>
      <c r="E10" s="1" t="s">
        <v>1729</v>
      </c>
      <c r="F10" s="1" t="s">
        <v>1084</v>
      </c>
      <c r="G10" s="1">
        <v>1</v>
      </c>
      <c r="H10" s="78">
        <v>46084</v>
      </c>
      <c r="I10" s="1" t="s">
        <v>987</v>
      </c>
    </row>
    <row r="11" spans="1:9" x14ac:dyDescent="0.25">
      <c r="A11" s="1" t="s">
        <v>1104</v>
      </c>
      <c r="B11" s="1" t="s">
        <v>1105</v>
      </c>
      <c r="C11" s="1" t="s">
        <v>1083</v>
      </c>
      <c r="D11" s="1" t="s">
        <v>1068</v>
      </c>
      <c r="E11" s="1" t="s">
        <v>1730</v>
      </c>
      <c r="F11" s="1" t="s">
        <v>1084</v>
      </c>
      <c r="G11" s="1">
        <v>1</v>
      </c>
      <c r="H11" s="78">
        <v>46084</v>
      </c>
      <c r="I11" s="1" t="s">
        <v>987</v>
      </c>
    </row>
    <row r="12" spans="1:9" x14ac:dyDescent="0.25">
      <c r="A12" s="1" t="s">
        <v>1106</v>
      </c>
      <c r="B12" s="1" t="s">
        <v>1107</v>
      </c>
      <c r="C12" s="1" t="s">
        <v>1083</v>
      </c>
      <c r="D12" s="1" t="s">
        <v>1068</v>
      </c>
      <c r="E12" s="1" t="s">
        <v>1542</v>
      </c>
      <c r="F12" s="1" t="s">
        <v>1084</v>
      </c>
      <c r="G12" s="1">
        <v>1</v>
      </c>
      <c r="H12" s="78">
        <v>46084</v>
      </c>
      <c r="I12" s="1" t="s">
        <v>987</v>
      </c>
    </row>
    <row r="13" spans="1:9" x14ac:dyDescent="0.25">
      <c r="A13" s="1" t="s">
        <v>1108</v>
      </c>
      <c r="B13" s="1" t="s">
        <v>1109</v>
      </c>
      <c r="C13" s="1" t="s">
        <v>1083</v>
      </c>
      <c r="D13" s="1" t="s">
        <v>1068</v>
      </c>
      <c r="E13" s="1" t="s">
        <v>1727</v>
      </c>
      <c r="F13" s="1" t="s">
        <v>1110</v>
      </c>
      <c r="G13" s="1">
        <v>460</v>
      </c>
      <c r="H13" s="78">
        <v>46084</v>
      </c>
      <c r="I13" s="1" t="s">
        <v>987</v>
      </c>
    </row>
    <row r="14" spans="1:9" x14ac:dyDescent="0.25">
      <c r="A14" s="1" t="s">
        <v>1111</v>
      </c>
      <c r="B14" s="1" t="s">
        <v>1112</v>
      </c>
      <c r="C14" s="1" t="s">
        <v>1083</v>
      </c>
      <c r="D14" s="1" t="s">
        <v>1068</v>
      </c>
      <c r="E14" s="1" t="s">
        <v>1731</v>
      </c>
      <c r="F14" s="1" t="s">
        <v>1113</v>
      </c>
      <c r="G14" s="1">
        <v>3.07</v>
      </c>
      <c r="H14" s="78">
        <v>46084</v>
      </c>
      <c r="I14" s="1" t="s">
        <v>987</v>
      </c>
    </row>
    <row r="15" spans="1:9" x14ac:dyDescent="0.25">
      <c r="A15" s="1" t="s">
        <v>1114</v>
      </c>
      <c r="B15" s="1" t="s">
        <v>1115</v>
      </c>
      <c r="C15" s="1" t="s">
        <v>1083</v>
      </c>
      <c r="D15" s="1" t="s">
        <v>1068</v>
      </c>
      <c r="E15" s="1" t="s">
        <v>1731</v>
      </c>
      <c r="F15" s="1" t="s">
        <v>1113</v>
      </c>
      <c r="G15" s="1">
        <v>4.3600000000000003</v>
      </c>
      <c r="H15" s="78">
        <v>46084</v>
      </c>
      <c r="I15" s="1" t="s">
        <v>987</v>
      </c>
    </row>
    <row r="16" spans="1:9" x14ac:dyDescent="0.25">
      <c r="A16" s="1" t="s">
        <v>1116</v>
      </c>
      <c r="B16" s="1" t="s">
        <v>1117</v>
      </c>
      <c r="C16" s="1" t="s">
        <v>1083</v>
      </c>
      <c r="D16" s="1" t="s">
        <v>1068</v>
      </c>
      <c r="E16" s="1" t="s">
        <v>1731</v>
      </c>
      <c r="F16" s="1" t="s">
        <v>1110</v>
      </c>
      <c r="G16" s="1">
        <v>15.84</v>
      </c>
      <c r="H16" s="78">
        <v>46084</v>
      </c>
      <c r="I16" s="1" t="s">
        <v>987</v>
      </c>
    </row>
    <row r="17" spans="1:9" x14ac:dyDescent="0.25">
      <c r="A17" s="1" t="s">
        <v>1118</v>
      </c>
      <c r="B17" s="1" t="s">
        <v>1119</v>
      </c>
      <c r="C17" s="1" t="s">
        <v>1083</v>
      </c>
      <c r="D17" s="1" t="s">
        <v>1068</v>
      </c>
      <c r="E17" s="1" t="s">
        <v>1731</v>
      </c>
      <c r="F17" s="1" t="s">
        <v>1120</v>
      </c>
      <c r="G17" s="1">
        <v>436</v>
      </c>
      <c r="H17" s="78">
        <v>46084</v>
      </c>
      <c r="I17" s="1" t="s">
        <v>987</v>
      </c>
    </row>
    <row r="18" spans="1:9" x14ac:dyDescent="0.25">
      <c r="A18" s="1" t="s">
        <v>1121</v>
      </c>
      <c r="B18" s="1" t="s">
        <v>1732</v>
      </c>
      <c r="C18" s="1" t="s">
        <v>1083</v>
      </c>
      <c r="D18" s="1" t="s">
        <v>1068</v>
      </c>
      <c r="E18" s="1" t="s">
        <v>1731</v>
      </c>
      <c r="F18" s="1" t="s">
        <v>1113</v>
      </c>
      <c r="G18" s="1">
        <v>1.65</v>
      </c>
      <c r="H18" s="78">
        <v>46084</v>
      </c>
      <c r="I18" s="1" t="s">
        <v>987</v>
      </c>
    </row>
    <row r="19" spans="1:9" x14ac:dyDescent="0.25">
      <c r="A19" s="1" t="s">
        <v>1122</v>
      </c>
      <c r="B19" s="1" t="s">
        <v>1733</v>
      </c>
      <c r="C19" s="1" t="s">
        <v>1083</v>
      </c>
      <c r="D19" s="1" t="s">
        <v>1068</v>
      </c>
      <c r="E19" s="1" t="s">
        <v>1731</v>
      </c>
      <c r="F19" s="1" t="s">
        <v>1110</v>
      </c>
      <c r="G19" s="1">
        <v>26.4</v>
      </c>
      <c r="H19" s="78">
        <v>46084</v>
      </c>
      <c r="I19" s="1" t="s">
        <v>987</v>
      </c>
    </row>
    <row r="20" spans="1:9" x14ac:dyDescent="0.25">
      <c r="A20" s="1" t="s">
        <v>1123</v>
      </c>
      <c r="B20" s="1" t="s">
        <v>1734</v>
      </c>
      <c r="C20" s="1" t="s">
        <v>1083</v>
      </c>
      <c r="D20" s="1" t="s">
        <v>1068</v>
      </c>
      <c r="E20" s="1" t="s">
        <v>1731</v>
      </c>
      <c r="F20" s="1" t="s">
        <v>1120</v>
      </c>
      <c r="G20" s="1">
        <v>198</v>
      </c>
      <c r="H20" s="78">
        <v>46084</v>
      </c>
      <c r="I20" s="1" t="s">
        <v>987</v>
      </c>
    </row>
    <row r="21" spans="1:9" x14ac:dyDescent="0.25">
      <c r="A21" s="1" t="s">
        <v>1124</v>
      </c>
      <c r="B21" s="1" t="s">
        <v>1735</v>
      </c>
      <c r="C21" s="1" t="s">
        <v>1083</v>
      </c>
      <c r="D21" s="1" t="s">
        <v>1068</v>
      </c>
      <c r="E21" s="1" t="s">
        <v>1731</v>
      </c>
      <c r="F21" s="1" t="s">
        <v>1113</v>
      </c>
      <c r="G21" s="1">
        <v>3.72</v>
      </c>
      <c r="H21" s="78">
        <v>46084</v>
      </c>
      <c r="I21" s="1" t="s">
        <v>987</v>
      </c>
    </row>
    <row r="22" spans="1:9" x14ac:dyDescent="0.25">
      <c r="A22" s="1" t="s">
        <v>1125</v>
      </c>
      <c r="B22" s="1" t="s">
        <v>1736</v>
      </c>
      <c r="C22" s="1" t="s">
        <v>1083</v>
      </c>
      <c r="D22" s="1" t="s">
        <v>1068</v>
      </c>
      <c r="E22" s="1" t="s">
        <v>1731</v>
      </c>
      <c r="F22" s="1" t="s">
        <v>1110</v>
      </c>
      <c r="G22" s="1">
        <v>37.33</v>
      </c>
      <c r="H22" s="78">
        <v>46084</v>
      </c>
      <c r="I22" s="1" t="s">
        <v>987</v>
      </c>
    </row>
    <row r="23" spans="1:9" x14ac:dyDescent="0.25">
      <c r="A23" s="1" t="s">
        <v>1126</v>
      </c>
      <c r="B23" s="1" t="s">
        <v>1737</v>
      </c>
      <c r="C23" s="1" t="s">
        <v>1083</v>
      </c>
      <c r="D23" s="1" t="s">
        <v>1068</v>
      </c>
      <c r="E23" s="1" t="s">
        <v>1731</v>
      </c>
      <c r="F23" s="1" t="s">
        <v>1120</v>
      </c>
      <c r="G23" s="1">
        <v>484</v>
      </c>
      <c r="H23" s="78">
        <v>46084</v>
      </c>
      <c r="I23" s="1" t="s">
        <v>987</v>
      </c>
    </row>
    <row r="24" spans="1:9" x14ac:dyDescent="0.25">
      <c r="A24" s="1" t="s">
        <v>1127</v>
      </c>
      <c r="B24" s="1" t="s">
        <v>1738</v>
      </c>
      <c r="C24" s="1" t="s">
        <v>1083</v>
      </c>
      <c r="D24" s="1" t="s">
        <v>1068</v>
      </c>
      <c r="E24" s="1" t="s">
        <v>1731</v>
      </c>
      <c r="F24" s="1" t="s">
        <v>1113</v>
      </c>
      <c r="G24" s="1">
        <v>33.200000000000003</v>
      </c>
      <c r="H24" s="78">
        <v>46084</v>
      </c>
      <c r="I24" s="1" t="s">
        <v>987</v>
      </c>
    </row>
    <row r="25" spans="1:9" x14ac:dyDescent="0.25">
      <c r="A25" s="1" t="s">
        <v>1129</v>
      </c>
      <c r="B25" s="1" t="s">
        <v>1739</v>
      </c>
      <c r="C25" s="1" t="s">
        <v>1083</v>
      </c>
      <c r="D25" s="1" t="s">
        <v>1068</v>
      </c>
      <c r="E25" s="1" t="s">
        <v>1731</v>
      </c>
      <c r="F25" s="1" t="s">
        <v>1110</v>
      </c>
      <c r="G25" s="1">
        <v>66.8</v>
      </c>
      <c r="H25" s="78">
        <v>46084</v>
      </c>
      <c r="I25" s="1" t="s">
        <v>987</v>
      </c>
    </row>
    <row r="26" spans="1:9" x14ac:dyDescent="0.25">
      <c r="A26" s="1" t="s">
        <v>1130</v>
      </c>
      <c r="B26" s="1" t="s">
        <v>1740</v>
      </c>
      <c r="C26" s="1" t="s">
        <v>1083</v>
      </c>
      <c r="D26" s="1" t="s">
        <v>1068</v>
      </c>
      <c r="E26" s="1" t="s">
        <v>1731</v>
      </c>
      <c r="F26" s="1" t="s">
        <v>1120</v>
      </c>
      <c r="G26" s="1">
        <v>2324</v>
      </c>
      <c r="H26" s="78">
        <v>46084</v>
      </c>
      <c r="I26" s="1" t="s">
        <v>987</v>
      </c>
    </row>
    <row r="27" spans="1:9" x14ac:dyDescent="0.25">
      <c r="A27" s="1" t="s">
        <v>1131</v>
      </c>
      <c r="B27" s="1" t="s">
        <v>1132</v>
      </c>
      <c r="C27" s="1" t="s">
        <v>1083</v>
      </c>
      <c r="D27" s="1" t="s">
        <v>1068</v>
      </c>
      <c r="E27" s="1" t="s">
        <v>1731</v>
      </c>
      <c r="F27" s="1" t="s">
        <v>1110</v>
      </c>
      <c r="G27" s="1">
        <v>78.98</v>
      </c>
      <c r="H27" s="78">
        <v>46084</v>
      </c>
      <c r="I27" s="1" t="s">
        <v>987</v>
      </c>
    </row>
    <row r="28" spans="1:9" x14ac:dyDescent="0.25">
      <c r="A28" s="1" t="s">
        <v>1133</v>
      </c>
      <c r="B28" s="1" t="s">
        <v>1741</v>
      </c>
      <c r="C28" s="1" t="s">
        <v>1083</v>
      </c>
      <c r="D28" s="1" t="s">
        <v>1070</v>
      </c>
      <c r="E28" s="1" t="s">
        <v>1731</v>
      </c>
      <c r="F28" s="1" t="s">
        <v>1113</v>
      </c>
      <c r="G28" s="1">
        <v>30.3</v>
      </c>
      <c r="H28" s="78">
        <v>46084</v>
      </c>
      <c r="I28" s="1" t="s">
        <v>987</v>
      </c>
    </row>
    <row r="29" spans="1:9" x14ac:dyDescent="0.25">
      <c r="A29" s="1" t="s">
        <v>1134</v>
      </c>
      <c r="B29" s="1" t="s">
        <v>1742</v>
      </c>
      <c r="C29" s="1" t="s">
        <v>1083</v>
      </c>
      <c r="D29" s="1" t="s">
        <v>1070</v>
      </c>
      <c r="E29" s="1" t="s">
        <v>1731</v>
      </c>
      <c r="F29" s="1" t="s">
        <v>1110</v>
      </c>
      <c r="G29" s="1">
        <v>10.8</v>
      </c>
      <c r="H29" s="78">
        <v>46084</v>
      </c>
      <c r="I29" s="1" t="s">
        <v>987</v>
      </c>
    </row>
    <row r="30" spans="1:9" x14ac:dyDescent="0.25">
      <c r="A30" s="1" t="s">
        <v>1135</v>
      </c>
      <c r="B30" s="1" t="s">
        <v>1743</v>
      </c>
      <c r="C30" s="1" t="s">
        <v>1083</v>
      </c>
      <c r="D30" s="1" t="s">
        <v>1070</v>
      </c>
      <c r="E30" s="1" t="s">
        <v>1731</v>
      </c>
      <c r="F30" s="1" t="s">
        <v>1120</v>
      </c>
      <c r="G30" s="1">
        <v>1818</v>
      </c>
      <c r="H30" s="78">
        <v>46084</v>
      </c>
      <c r="I30" s="1" t="s">
        <v>987</v>
      </c>
    </row>
    <row r="31" spans="1:9" x14ac:dyDescent="0.25">
      <c r="A31" s="1" t="s">
        <v>1136</v>
      </c>
      <c r="B31" s="1" t="s">
        <v>1744</v>
      </c>
      <c r="C31" s="1" t="s">
        <v>1083</v>
      </c>
      <c r="D31" s="1" t="s">
        <v>1068</v>
      </c>
      <c r="E31" s="1" t="s">
        <v>1727</v>
      </c>
      <c r="F31" s="1" t="s">
        <v>1113</v>
      </c>
      <c r="G31" s="1">
        <v>2.48</v>
      </c>
      <c r="H31" s="78">
        <v>46084</v>
      </c>
      <c r="I31" s="1" t="s">
        <v>987</v>
      </c>
    </row>
    <row r="32" spans="1:9" x14ac:dyDescent="0.25">
      <c r="A32" s="1" t="s">
        <v>1138</v>
      </c>
      <c r="B32" s="1" t="s">
        <v>1745</v>
      </c>
      <c r="C32" s="1" t="s">
        <v>1083</v>
      </c>
      <c r="D32" s="1" t="s">
        <v>1068</v>
      </c>
      <c r="E32" s="1" t="s">
        <v>1727</v>
      </c>
      <c r="F32" s="1" t="s">
        <v>1110</v>
      </c>
      <c r="G32" s="1">
        <v>39.6</v>
      </c>
      <c r="H32" s="78">
        <v>46084</v>
      </c>
      <c r="I32" s="1" t="s">
        <v>987</v>
      </c>
    </row>
    <row r="33" spans="1:9" x14ac:dyDescent="0.25">
      <c r="A33" s="1" t="s">
        <v>1139</v>
      </c>
      <c r="B33" s="1" t="s">
        <v>1746</v>
      </c>
      <c r="C33" s="1" t="s">
        <v>1083</v>
      </c>
      <c r="D33" s="1" t="s">
        <v>1068</v>
      </c>
      <c r="E33" s="1" t="s">
        <v>1727</v>
      </c>
      <c r="F33" s="1" t="s">
        <v>1120</v>
      </c>
      <c r="G33" s="1">
        <v>297.60000000000002</v>
      </c>
      <c r="H33" s="78">
        <v>46084</v>
      </c>
      <c r="I33" s="1" t="s">
        <v>987</v>
      </c>
    </row>
    <row r="34" spans="1:9" x14ac:dyDescent="0.25">
      <c r="A34" s="1" t="s">
        <v>1140</v>
      </c>
      <c r="B34" s="1" t="s">
        <v>1747</v>
      </c>
      <c r="C34" s="1" t="s">
        <v>1083</v>
      </c>
      <c r="D34" s="1" t="s">
        <v>1068</v>
      </c>
      <c r="E34" s="1" t="s">
        <v>1727</v>
      </c>
      <c r="F34" s="1" t="s">
        <v>1113</v>
      </c>
      <c r="G34" s="1">
        <v>3.72</v>
      </c>
      <c r="H34" s="78">
        <v>46084</v>
      </c>
      <c r="I34" s="1" t="s">
        <v>987</v>
      </c>
    </row>
    <row r="35" spans="1:9" x14ac:dyDescent="0.25">
      <c r="A35" s="1" t="s">
        <v>1141</v>
      </c>
      <c r="B35" s="1" t="s">
        <v>1748</v>
      </c>
      <c r="C35" s="1" t="s">
        <v>1083</v>
      </c>
      <c r="D35" s="1" t="s">
        <v>1068</v>
      </c>
      <c r="E35" s="1" t="s">
        <v>1727</v>
      </c>
      <c r="F35" s="1" t="s">
        <v>1110</v>
      </c>
      <c r="G35" s="1">
        <v>46.46</v>
      </c>
      <c r="H35" s="78">
        <v>46084</v>
      </c>
      <c r="I35" s="1" t="s">
        <v>987</v>
      </c>
    </row>
    <row r="36" spans="1:9" x14ac:dyDescent="0.25">
      <c r="A36" s="1" t="s">
        <v>1142</v>
      </c>
      <c r="B36" s="1" t="s">
        <v>1749</v>
      </c>
      <c r="C36" s="1" t="s">
        <v>1083</v>
      </c>
      <c r="D36" s="1" t="s">
        <v>1068</v>
      </c>
      <c r="E36" s="1" t="s">
        <v>1727</v>
      </c>
      <c r="F36" s="1" t="s">
        <v>1120</v>
      </c>
      <c r="G36" s="1">
        <v>483.6</v>
      </c>
      <c r="H36" s="78">
        <v>46084</v>
      </c>
      <c r="I36" s="1" t="s">
        <v>987</v>
      </c>
    </row>
    <row r="37" spans="1:9" x14ac:dyDescent="0.25">
      <c r="A37" s="1" t="s">
        <v>1143</v>
      </c>
      <c r="B37" s="1" t="s">
        <v>1750</v>
      </c>
      <c r="C37" s="1" t="s">
        <v>1083</v>
      </c>
      <c r="D37" s="1" t="s">
        <v>1068</v>
      </c>
      <c r="E37" s="1" t="s">
        <v>1727</v>
      </c>
      <c r="F37" s="1" t="s">
        <v>1113</v>
      </c>
      <c r="G37" s="1">
        <v>5.31</v>
      </c>
      <c r="H37" s="78">
        <v>46084</v>
      </c>
      <c r="I37" s="1" t="s">
        <v>987</v>
      </c>
    </row>
    <row r="38" spans="1:9" x14ac:dyDescent="0.25">
      <c r="A38" s="1" t="s">
        <v>1145</v>
      </c>
      <c r="B38" s="1" t="s">
        <v>1751</v>
      </c>
      <c r="C38" s="1" t="s">
        <v>1083</v>
      </c>
      <c r="D38" s="1" t="s">
        <v>1068</v>
      </c>
      <c r="E38" s="1" t="s">
        <v>1727</v>
      </c>
      <c r="F38" s="1" t="s">
        <v>1110</v>
      </c>
      <c r="G38" s="1">
        <v>79.63</v>
      </c>
      <c r="H38" s="78">
        <v>46084</v>
      </c>
      <c r="I38" s="1" t="s">
        <v>987</v>
      </c>
    </row>
    <row r="39" spans="1:9" x14ac:dyDescent="0.25">
      <c r="A39" s="1" t="s">
        <v>1146</v>
      </c>
      <c r="B39" s="1" t="s">
        <v>1752</v>
      </c>
      <c r="C39" s="1" t="s">
        <v>1083</v>
      </c>
      <c r="D39" s="1" t="s">
        <v>1068</v>
      </c>
      <c r="E39" s="1" t="s">
        <v>1727</v>
      </c>
      <c r="F39" s="1" t="s">
        <v>1120</v>
      </c>
      <c r="G39" s="1">
        <v>1113.5999999999999</v>
      </c>
      <c r="H39" s="78">
        <v>46084</v>
      </c>
      <c r="I39" s="1" t="s">
        <v>987</v>
      </c>
    </row>
    <row r="40" spans="1:9" x14ac:dyDescent="0.25">
      <c r="A40" s="1" t="s">
        <v>1147</v>
      </c>
      <c r="B40" s="1" t="s">
        <v>1753</v>
      </c>
      <c r="C40" s="1" t="s">
        <v>1083</v>
      </c>
      <c r="D40" s="1" t="s">
        <v>1068</v>
      </c>
      <c r="E40" s="1" t="s">
        <v>1727</v>
      </c>
      <c r="F40" s="1" t="s">
        <v>1113</v>
      </c>
      <c r="G40" s="1">
        <v>4.74</v>
      </c>
      <c r="H40" s="78">
        <v>46084</v>
      </c>
      <c r="I40" s="1" t="s">
        <v>987</v>
      </c>
    </row>
    <row r="41" spans="1:9" x14ac:dyDescent="0.25">
      <c r="A41" s="1" t="s">
        <v>1148</v>
      </c>
      <c r="B41" s="1" t="s">
        <v>1754</v>
      </c>
      <c r="C41" s="1" t="s">
        <v>1083</v>
      </c>
      <c r="D41" s="1" t="s">
        <v>1068</v>
      </c>
      <c r="E41" s="1" t="s">
        <v>1727</v>
      </c>
      <c r="F41" s="1" t="s">
        <v>1110</v>
      </c>
      <c r="G41" s="1">
        <v>71.099999999999994</v>
      </c>
      <c r="H41" s="78">
        <v>46084</v>
      </c>
      <c r="I41" s="1" t="s">
        <v>987</v>
      </c>
    </row>
    <row r="42" spans="1:9" x14ac:dyDescent="0.25">
      <c r="A42" s="1" t="s">
        <v>1149</v>
      </c>
      <c r="B42" s="1" t="s">
        <v>1755</v>
      </c>
      <c r="C42" s="1" t="s">
        <v>1083</v>
      </c>
      <c r="D42" s="1" t="s">
        <v>1068</v>
      </c>
      <c r="E42" s="1" t="s">
        <v>1727</v>
      </c>
      <c r="F42" s="1" t="s">
        <v>1120</v>
      </c>
      <c r="G42" s="1">
        <v>331.8</v>
      </c>
      <c r="H42" s="78">
        <v>46084</v>
      </c>
      <c r="I42" s="1" t="s">
        <v>987</v>
      </c>
    </row>
    <row r="43" spans="1:9" x14ac:dyDescent="0.25">
      <c r="A43" s="1" t="s">
        <v>1150</v>
      </c>
      <c r="B43" s="1" t="s">
        <v>1756</v>
      </c>
      <c r="C43" s="1" t="s">
        <v>1083</v>
      </c>
      <c r="D43" s="1" t="s">
        <v>1068</v>
      </c>
      <c r="E43" s="1" t="s">
        <v>1727</v>
      </c>
      <c r="F43" s="1" t="s">
        <v>1113</v>
      </c>
      <c r="G43" s="1">
        <v>9.2799999999999994</v>
      </c>
      <c r="H43" s="78">
        <v>46084</v>
      </c>
      <c r="I43" s="1" t="s">
        <v>987</v>
      </c>
    </row>
    <row r="44" spans="1:9" x14ac:dyDescent="0.25">
      <c r="A44" s="1" t="s">
        <v>1151</v>
      </c>
      <c r="B44" s="1" t="s">
        <v>1757</v>
      </c>
      <c r="C44" s="1" t="s">
        <v>1083</v>
      </c>
      <c r="D44" s="1" t="s">
        <v>1068</v>
      </c>
      <c r="E44" s="1" t="s">
        <v>1727</v>
      </c>
      <c r="F44" s="1" t="s">
        <v>1110</v>
      </c>
      <c r="G44" s="1">
        <v>51.33</v>
      </c>
      <c r="H44" s="78">
        <v>46084</v>
      </c>
      <c r="I44" s="1" t="s">
        <v>987</v>
      </c>
    </row>
    <row r="45" spans="1:9" x14ac:dyDescent="0.25">
      <c r="A45" s="1" t="s">
        <v>1153</v>
      </c>
      <c r="B45" s="1" t="s">
        <v>1758</v>
      </c>
      <c r="C45" s="1" t="s">
        <v>1083</v>
      </c>
      <c r="D45" s="1" t="s">
        <v>1068</v>
      </c>
      <c r="E45" s="1" t="s">
        <v>1727</v>
      </c>
      <c r="F45" s="1" t="s">
        <v>1120</v>
      </c>
      <c r="G45" s="1">
        <v>1113.5999999999999</v>
      </c>
      <c r="H45" s="78">
        <v>46084</v>
      </c>
      <c r="I45" s="1" t="s">
        <v>987</v>
      </c>
    </row>
    <row r="46" spans="1:9" x14ac:dyDescent="0.25">
      <c r="A46" s="1" t="s">
        <v>1154</v>
      </c>
      <c r="B46" s="1" t="s">
        <v>1758</v>
      </c>
      <c r="C46" s="1" t="s">
        <v>1083</v>
      </c>
      <c r="D46" s="1" t="s">
        <v>1068</v>
      </c>
      <c r="E46" s="1" t="s">
        <v>1727</v>
      </c>
      <c r="F46" s="1" t="s">
        <v>1120</v>
      </c>
      <c r="G46" s="1">
        <v>1113.5999999999999</v>
      </c>
      <c r="H46" s="78">
        <v>46084</v>
      </c>
      <c r="I46" s="1" t="s">
        <v>987</v>
      </c>
    </row>
    <row r="47" spans="1:9" x14ac:dyDescent="0.25">
      <c r="A47" s="1" t="s">
        <v>1155</v>
      </c>
      <c r="B47" s="1" t="s">
        <v>1156</v>
      </c>
      <c r="C47" s="1" t="s">
        <v>1083</v>
      </c>
      <c r="D47" s="1" t="s">
        <v>1068</v>
      </c>
      <c r="E47" s="1" t="s">
        <v>1727</v>
      </c>
      <c r="F47" s="1" t="s">
        <v>1110</v>
      </c>
      <c r="G47" s="1">
        <v>1</v>
      </c>
      <c r="H47" s="78">
        <v>46084</v>
      </c>
      <c r="I47" s="1" t="s">
        <v>987</v>
      </c>
    </row>
    <row r="48" spans="1:9" x14ac:dyDescent="0.25">
      <c r="A48" s="1" t="s">
        <v>1157</v>
      </c>
      <c r="B48" s="1" t="s">
        <v>1158</v>
      </c>
      <c r="C48" s="1" t="s">
        <v>1083</v>
      </c>
      <c r="D48" s="1" t="s">
        <v>1068</v>
      </c>
      <c r="E48" s="1" t="s">
        <v>1727</v>
      </c>
      <c r="F48" s="1" t="s">
        <v>1110</v>
      </c>
      <c r="G48" s="1">
        <v>1</v>
      </c>
      <c r="H48" s="78">
        <v>46084</v>
      </c>
      <c r="I48" s="1" t="s">
        <v>987</v>
      </c>
    </row>
    <row r="49" spans="1:9" x14ac:dyDescent="0.25">
      <c r="A49" s="1" t="s">
        <v>1159</v>
      </c>
      <c r="B49" s="1" t="s">
        <v>1160</v>
      </c>
      <c r="C49" s="1" t="s">
        <v>1083</v>
      </c>
      <c r="D49" s="1" t="s">
        <v>1068</v>
      </c>
      <c r="E49" s="1" t="s">
        <v>1727</v>
      </c>
      <c r="F49" s="1" t="s">
        <v>1110</v>
      </c>
      <c r="G49" s="1">
        <v>1</v>
      </c>
      <c r="H49" s="78">
        <v>46084</v>
      </c>
      <c r="I49" s="1" t="s">
        <v>987</v>
      </c>
    </row>
    <row r="50" spans="1:9" x14ac:dyDescent="0.25">
      <c r="A50" s="1" t="s">
        <v>1161</v>
      </c>
      <c r="B50" s="1" t="s">
        <v>1162</v>
      </c>
      <c r="C50" s="1" t="s">
        <v>1083</v>
      </c>
      <c r="D50" s="1" t="s">
        <v>1068</v>
      </c>
      <c r="E50" s="1" t="s">
        <v>1727</v>
      </c>
      <c r="F50" s="1" t="s">
        <v>1084</v>
      </c>
      <c r="G50" s="1">
        <v>1</v>
      </c>
      <c r="H50" s="78">
        <v>46084</v>
      </c>
      <c r="I50" s="1" t="s">
        <v>987</v>
      </c>
    </row>
    <row r="51" spans="1:9" x14ac:dyDescent="0.25">
      <c r="A51" s="1" t="s">
        <v>1163</v>
      </c>
      <c r="B51" s="1" t="s">
        <v>1164</v>
      </c>
      <c r="C51" s="1" t="s">
        <v>1083</v>
      </c>
      <c r="D51" s="1" t="s">
        <v>1068</v>
      </c>
      <c r="E51" s="1" t="s">
        <v>1727</v>
      </c>
      <c r="F51" s="1" t="s">
        <v>1084</v>
      </c>
      <c r="G51" s="1">
        <v>1</v>
      </c>
      <c r="H51" s="78">
        <v>46084</v>
      </c>
      <c r="I51" s="1" t="s">
        <v>987</v>
      </c>
    </row>
    <row r="52" spans="1:9" x14ac:dyDescent="0.25">
      <c r="A52" s="1" t="s">
        <v>1165</v>
      </c>
      <c r="B52" s="1" t="s">
        <v>1759</v>
      </c>
      <c r="C52" s="1" t="s">
        <v>1083</v>
      </c>
      <c r="D52" s="1" t="s">
        <v>1068</v>
      </c>
      <c r="E52" s="1" t="s">
        <v>1727</v>
      </c>
      <c r="F52" s="1" t="s">
        <v>1113</v>
      </c>
      <c r="G52" s="1">
        <v>1</v>
      </c>
      <c r="H52" s="78">
        <v>46084</v>
      </c>
      <c r="I52" s="1" t="s">
        <v>987</v>
      </c>
    </row>
    <row r="53" spans="1:9" x14ac:dyDescent="0.25">
      <c r="A53" s="1" t="s">
        <v>1166</v>
      </c>
      <c r="B53" s="1" t="s">
        <v>1760</v>
      </c>
      <c r="C53" s="1" t="s">
        <v>1083</v>
      </c>
      <c r="D53" s="1" t="s">
        <v>1068</v>
      </c>
      <c r="E53" s="1" t="s">
        <v>1727</v>
      </c>
      <c r="F53" s="1" t="s">
        <v>1110</v>
      </c>
      <c r="G53" s="1">
        <v>1</v>
      </c>
      <c r="H53" s="78">
        <v>46084</v>
      </c>
      <c r="I53" s="1" t="s">
        <v>987</v>
      </c>
    </row>
    <row r="54" spans="1:9" x14ac:dyDescent="0.25">
      <c r="A54" s="1" t="s">
        <v>1167</v>
      </c>
      <c r="B54" s="1" t="s">
        <v>1761</v>
      </c>
      <c r="C54" s="1" t="s">
        <v>1083</v>
      </c>
      <c r="D54" s="1" t="s">
        <v>1068</v>
      </c>
      <c r="E54" s="1" t="s">
        <v>1762</v>
      </c>
      <c r="F54" s="1" t="s">
        <v>1113</v>
      </c>
      <c r="G54" s="1">
        <v>21.9</v>
      </c>
      <c r="H54" s="78">
        <v>46084</v>
      </c>
      <c r="I54" s="1" t="s">
        <v>987</v>
      </c>
    </row>
    <row r="55" spans="1:9" x14ac:dyDescent="0.25">
      <c r="A55" s="1" t="s">
        <v>1168</v>
      </c>
      <c r="B55" s="1" t="s">
        <v>1763</v>
      </c>
      <c r="C55" s="1" t="s">
        <v>1083</v>
      </c>
      <c r="D55" s="1" t="s">
        <v>1068</v>
      </c>
      <c r="E55" s="1" t="s">
        <v>1762</v>
      </c>
      <c r="F55" s="1" t="s">
        <v>1110</v>
      </c>
      <c r="G55" s="1">
        <v>101.18</v>
      </c>
      <c r="H55" s="78">
        <v>46084</v>
      </c>
      <c r="I55" s="1" t="s">
        <v>987</v>
      </c>
    </row>
    <row r="56" spans="1:9" x14ac:dyDescent="0.25">
      <c r="A56" s="1" t="s">
        <v>1169</v>
      </c>
      <c r="B56" s="1" t="s">
        <v>1764</v>
      </c>
      <c r="C56" s="1" t="s">
        <v>1083</v>
      </c>
      <c r="D56" s="1" t="s">
        <v>1068</v>
      </c>
      <c r="E56" s="1" t="s">
        <v>1762</v>
      </c>
      <c r="F56" s="1" t="s">
        <v>1120</v>
      </c>
      <c r="G56" s="1">
        <v>2628</v>
      </c>
      <c r="H56" s="78">
        <v>46084</v>
      </c>
      <c r="I56" s="1" t="s">
        <v>987</v>
      </c>
    </row>
    <row r="57" spans="1:9" x14ac:dyDescent="0.25">
      <c r="A57" s="1" t="s">
        <v>1170</v>
      </c>
      <c r="B57" s="1" t="s">
        <v>1171</v>
      </c>
      <c r="C57" s="1" t="s">
        <v>1083</v>
      </c>
      <c r="D57" s="1" t="s">
        <v>1068</v>
      </c>
      <c r="E57" s="1" t="s">
        <v>1762</v>
      </c>
      <c r="F57" s="1" t="s">
        <v>1084</v>
      </c>
      <c r="G57" s="1">
        <v>1</v>
      </c>
      <c r="H57" s="78">
        <v>46084</v>
      </c>
      <c r="I57" s="1" t="s">
        <v>987</v>
      </c>
    </row>
    <row r="58" spans="1:9" x14ac:dyDescent="0.25">
      <c r="A58" s="1" t="s">
        <v>1172</v>
      </c>
      <c r="B58" s="1" t="s">
        <v>1173</v>
      </c>
      <c r="C58" s="1" t="s">
        <v>1174</v>
      </c>
      <c r="D58" s="1" t="s">
        <v>1068</v>
      </c>
      <c r="E58" s="1" t="s">
        <v>1729</v>
      </c>
      <c r="F58" s="1" t="s">
        <v>1110</v>
      </c>
      <c r="G58" s="1">
        <v>107.66</v>
      </c>
      <c r="H58" s="78">
        <v>46084</v>
      </c>
      <c r="I58" s="1" t="s">
        <v>987</v>
      </c>
    </row>
    <row r="59" spans="1:9" x14ac:dyDescent="0.25">
      <c r="A59" s="1" t="s">
        <v>1175</v>
      </c>
      <c r="B59" s="1" t="s">
        <v>1176</v>
      </c>
      <c r="C59" s="1" t="s">
        <v>1174</v>
      </c>
      <c r="D59" s="1" t="s">
        <v>1068</v>
      </c>
      <c r="E59" s="1" t="s">
        <v>1729</v>
      </c>
      <c r="F59" s="1" t="s">
        <v>1177</v>
      </c>
      <c r="G59" s="1">
        <v>182.88</v>
      </c>
      <c r="H59" s="78">
        <v>46084</v>
      </c>
      <c r="I59" s="1" t="s">
        <v>987</v>
      </c>
    </row>
    <row r="60" spans="1:9" x14ac:dyDescent="0.25">
      <c r="A60" s="1" t="s">
        <v>1172</v>
      </c>
      <c r="B60" s="1" t="s">
        <v>1173</v>
      </c>
      <c r="C60" s="1" t="s">
        <v>1174</v>
      </c>
      <c r="D60" s="1" t="s">
        <v>1068</v>
      </c>
      <c r="E60" s="1" t="s">
        <v>1730</v>
      </c>
      <c r="F60" s="1" t="s">
        <v>1110</v>
      </c>
      <c r="G60" s="1">
        <v>99.69</v>
      </c>
      <c r="H60" s="78">
        <v>46084</v>
      </c>
      <c r="I60" s="1" t="s">
        <v>987</v>
      </c>
    </row>
    <row r="61" spans="1:9" x14ac:dyDescent="0.25">
      <c r="A61" s="1" t="s">
        <v>1175</v>
      </c>
      <c r="B61" s="1" t="s">
        <v>1176</v>
      </c>
      <c r="C61" s="1" t="s">
        <v>1174</v>
      </c>
      <c r="D61" s="1" t="s">
        <v>1068</v>
      </c>
      <c r="E61" s="1" t="s">
        <v>1730</v>
      </c>
      <c r="F61" s="1" t="s">
        <v>1177</v>
      </c>
      <c r="G61" s="1">
        <v>159.12</v>
      </c>
      <c r="H61" s="78">
        <v>46084</v>
      </c>
      <c r="I61" s="1" t="s">
        <v>987</v>
      </c>
    </row>
    <row r="62" spans="1:9" x14ac:dyDescent="0.25">
      <c r="A62" s="1" t="s">
        <v>1172</v>
      </c>
      <c r="B62" s="1" t="s">
        <v>1173</v>
      </c>
      <c r="C62" s="1" t="s">
        <v>1174</v>
      </c>
      <c r="D62" s="1" t="s">
        <v>1068</v>
      </c>
      <c r="E62" s="1" t="s">
        <v>1762</v>
      </c>
      <c r="F62" s="1" t="s">
        <v>1110</v>
      </c>
      <c r="G62" s="1">
        <v>24.95</v>
      </c>
      <c r="H62" s="78">
        <v>46084</v>
      </c>
      <c r="I62" s="1" t="s">
        <v>987</v>
      </c>
    </row>
    <row r="63" spans="1:9" x14ac:dyDescent="0.25">
      <c r="A63" s="1" t="s">
        <v>1175</v>
      </c>
      <c r="B63" s="1" t="s">
        <v>1176</v>
      </c>
      <c r="C63" s="1" t="s">
        <v>1174</v>
      </c>
      <c r="D63" s="1" t="s">
        <v>1068</v>
      </c>
      <c r="E63" s="1" t="s">
        <v>1762</v>
      </c>
      <c r="F63" s="1" t="s">
        <v>1177</v>
      </c>
      <c r="G63" s="1">
        <v>56.14</v>
      </c>
      <c r="H63" s="78">
        <v>46084</v>
      </c>
      <c r="I63" s="1" t="s">
        <v>987</v>
      </c>
    </row>
    <row r="64" spans="1:9" x14ac:dyDescent="0.25">
      <c r="A64" s="1" t="s">
        <v>1178</v>
      </c>
      <c r="B64" s="1" t="s">
        <v>1179</v>
      </c>
      <c r="C64" s="1" t="s">
        <v>1174</v>
      </c>
      <c r="D64" s="1" t="s">
        <v>1068</v>
      </c>
      <c r="E64" s="1" t="s">
        <v>1762</v>
      </c>
      <c r="F64" s="1" t="s">
        <v>1110</v>
      </c>
      <c r="G64" s="1">
        <v>320</v>
      </c>
      <c r="H64" s="78">
        <v>46084</v>
      </c>
      <c r="I64" s="1" t="s">
        <v>987</v>
      </c>
    </row>
    <row r="65" spans="1:9" x14ac:dyDescent="0.25">
      <c r="A65" s="1" t="s">
        <v>1180</v>
      </c>
      <c r="B65" s="1" t="s">
        <v>1181</v>
      </c>
      <c r="C65" s="1" t="s">
        <v>1174</v>
      </c>
      <c r="D65" s="1" t="s">
        <v>1068</v>
      </c>
      <c r="E65" s="1" t="s">
        <v>1762</v>
      </c>
      <c r="F65" s="1" t="s">
        <v>1110</v>
      </c>
      <c r="G65" s="1">
        <v>320</v>
      </c>
      <c r="H65" s="78">
        <v>46084</v>
      </c>
      <c r="I65" s="1" t="s">
        <v>987</v>
      </c>
    </row>
    <row r="66" spans="1:9" x14ac:dyDescent="0.25">
      <c r="A66" s="1" t="s">
        <v>1182</v>
      </c>
      <c r="B66" s="1" t="s">
        <v>1176</v>
      </c>
      <c r="C66" s="1" t="s">
        <v>1174</v>
      </c>
      <c r="D66" s="1" t="s">
        <v>1068</v>
      </c>
      <c r="E66" s="1" t="s">
        <v>1762</v>
      </c>
      <c r="F66" s="1" t="s">
        <v>1177</v>
      </c>
      <c r="G66" s="1">
        <v>120</v>
      </c>
      <c r="H66" s="78">
        <v>46084</v>
      </c>
      <c r="I66" s="1" t="s">
        <v>987</v>
      </c>
    </row>
    <row r="67" spans="1:9" x14ac:dyDescent="0.25">
      <c r="A67" s="1" t="s">
        <v>1183</v>
      </c>
      <c r="B67" s="1" t="s">
        <v>1179</v>
      </c>
      <c r="C67" s="1" t="s">
        <v>1174</v>
      </c>
      <c r="D67" s="1" t="s">
        <v>1068</v>
      </c>
      <c r="E67" s="1" t="s">
        <v>1762</v>
      </c>
      <c r="F67" s="1" t="s">
        <v>1110</v>
      </c>
      <c r="G67" s="1">
        <v>56.75</v>
      </c>
      <c r="H67" s="78">
        <v>46084</v>
      </c>
      <c r="I67" s="1" t="s">
        <v>987</v>
      </c>
    </row>
    <row r="68" spans="1:9" x14ac:dyDescent="0.25">
      <c r="A68" s="1" t="s">
        <v>1184</v>
      </c>
      <c r="B68" s="1" t="s">
        <v>1185</v>
      </c>
      <c r="C68" s="1" t="s">
        <v>1174</v>
      </c>
      <c r="D68" s="1" t="s">
        <v>1068</v>
      </c>
      <c r="E68" s="1" t="s">
        <v>1762</v>
      </c>
      <c r="F68" s="1" t="s">
        <v>1110</v>
      </c>
      <c r="G68" s="1">
        <v>56.75</v>
      </c>
      <c r="H68" s="78">
        <v>46084</v>
      </c>
      <c r="I68" s="1" t="s">
        <v>987</v>
      </c>
    </row>
    <row r="69" spans="1:9" x14ac:dyDescent="0.25">
      <c r="A69" s="1" t="s">
        <v>1186</v>
      </c>
      <c r="B69" s="1" t="s">
        <v>1176</v>
      </c>
      <c r="C69" s="1" t="s">
        <v>1174</v>
      </c>
      <c r="D69" s="1" t="s">
        <v>1068</v>
      </c>
      <c r="E69" s="1" t="s">
        <v>1762</v>
      </c>
      <c r="F69" s="1" t="s">
        <v>1177</v>
      </c>
      <c r="G69" s="1">
        <v>36</v>
      </c>
      <c r="H69" s="78">
        <v>46084</v>
      </c>
      <c r="I69" s="1" t="s">
        <v>987</v>
      </c>
    </row>
    <row r="70" spans="1:9" x14ac:dyDescent="0.25">
      <c r="A70" s="1" t="s">
        <v>1172</v>
      </c>
      <c r="B70" s="1" t="s">
        <v>1173</v>
      </c>
      <c r="C70" s="1" t="s">
        <v>1174</v>
      </c>
      <c r="D70" s="1" t="s">
        <v>1068</v>
      </c>
      <c r="E70" s="1" t="s">
        <v>1765</v>
      </c>
      <c r="F70" s="1" t="s">
        <v>1110</v>
      </c>
      <c r="G70" s="1">
        <v>55.52</v>
      </c>
      <c r="H70" s="78">
        <v>46084</v>
      </c>
      <c r="I70" s="1" t="s">
        <v>987</v>
      </c>
    </row>
    <row r="71" spans="1:9" x14ac:dyDescent="0.25">
      <c r="A71" s="1" t="s">
        <v>1175</v>
      </c>
      <c r="B71" s="1" t="s">
        <v>1176</v>
      </c>
      <c r="C71" s="1" t="s">
        <v>1174</v>
      </c>
      <c r="D71" s="1" t="s">
        <v>1068</v>
      </c>
      <c r="E71" s="1" t="s">
        <v>1765</v>
      </c>
      <c r="F71" s="1" t="s">
        <v>1177</v>
      </c>
      <c r="G71" s="1">
        <v>89.96</v>
      </c>
      <c r="H71" s="78">
        <v>46084</v>
      </c>
      <c r="I71" s="1" t="s">
        <v>987</v>
      </c>
    </row>
    <row r="72" spans="1:9" x14ac:dyDescent="0.25">
      <c r="A72" s="1" t="s">
        <v>1183</v>
      </c>
      <c r="B72" s="1" t="s">
        <v>1179</v>
      </c>
      <c r="C72" s="1" t="s">
        <v>1174</v>
      </c>
      <c r="D72" s="1" t="s">
        <v>1068</v>
      </c>
      <c r="E72" s="1" t="s">
        <v>1766</v>
      </c>
      <c r="F72" s="1" t="s">
        <v>1110</v>
      </c>
      <c r="G72" s="1">
        <v>83</v>
      </c>
      <c r="H72" s="78">
        <v>46084</v>
      </c>
      <c r="I72" s="1" t="s">
        <v>987</v>
      </c>
    </row>
    <row r="73" spans="1:9" x14ac:dyDescent="0.25">
      <c r="A73" s="1" t="s">
        <v>1184</v>
      </c>
      <c r="B73" s="1" t="s">
        <v>1466</v>
      </c>
      <c r="C73" s="1" t="s">
        <v>1174</v>
      </c>
      <c r="D73" s="1" t="s">
        <v>1068</v>
      </c>
      <c r="E73" s="1" t="s">
        <v>1766</v>
      </c>
      <c r="F73" s="1" t="s">
        <v>1110</v>
      </c>
      <c r="G73" s="1">
        <v>83</v>
      </c>
      <c r="H73" s="78">
        <v>46084</v>
      </c>
      <c r="I73" s="1" t="s">
        <v>987</v>
      </c>
    </row>
    <row r="74" spans="1:9" x14ac:dyDescent="0.25">
      <c r="A74" s="1" t="s">
        <v>1186</v>
      </c>
      <c r="B74" s="1" t="s">
        <v>1176</v>
      </c>
      <c r="C74" s="1" t="s">
        <v>1174</v>
      </c>
      <c r="D74" s="1" t="s">
        <v>1068</v>
      </c>
      <c r="E74" s="1" t="s">
        <v>1766</v>
      </c>
      <c r="F74" s="1" t="s">
        <v>1177</v>
      </c>
      <c r="G74" s="1">
        <v>11.87</v>
      </c>
      <c r="H74" s="78">
        <v>46084</v>
      </c>
      <c r="I74" s="1" t="s">
        <v>987</v>
      </c>
    </row>
    <row r="75" spans="1:9" x14ac:dyDescent="0.25">
      <c r="A75" s="1" t="s">
        <v>1172</v>
      </c>
      <c r="B75" s="1" t="s">
        <v>1767</v>
      </c>
      <c r="C75" s="1" t="s">
        <v>1174</v>
      </c>
      <c r="D75" s="1" t="s">
        <v>1070</v>
      </c>
      <c r="E75" s="1" t="s">
        <v>1729</v>
      </c>
      <c r="F75" s="1" t="s">
        <v>1110</v>
      </c>
      <c r="G75" s="1">
        <v>61.54</v>
      </c>
      <c r="H75" s="78">
        <v>46084</v>
      </c>
      <c r="I75" s="1" t="s">
        <v>987</v>
      </c>
    </row>
    <row r="76" spans="1:9" x14ac:dyDescent="0.25">
      <c r="A76" s="1" t="s">
        <v>1175</v>
      </c>
      <c r="B76" s="1" t="s">
        <v>1176</v>
      </c>
      <c r="C76" s="1" t="s">
        <v>1174</v>
      </c>
      <c r="D76" s="1" t="s">
        <v>1070</v>
      </c>
      <c r="E76" s="1" t="s">
        <v>1729</v>
      </c>
      <c r="F76" s="1" t="s">
        <v>1177</v>
      </c>
      <c r="G76" s="1">
        <v>77.72</v>
      </c>
      <c r="H76" s="78">
        <v>46084</v>
      </c>
      <c r="I76" s="1" t="s">
        <v>987</v>
      </c>
    </row>
    <row r="77" spans="1:9" x14ac:dyDescent="0.25">
      <c r="A77" s="1" t="s">
        <v>1183</v>
      </c>
      <c r="B77" s="1" t="s">
        <v>1179</v>
      </c>
      <c r="C77" s="1" t="s">
        <v>1174</v>
      </c>
      <c r="D77" s="1" t="s">
        <v>1070</v>
      </c>
      <c r="E77" s="1" t="s">
        <v>1766</v>
      </c>
      <c r="F77" s="1" t="s">
        <v>1110</v>
      </c>
      <c r="G77" s="1">
        <v>231</v>
      </c>
      <c r="H77" s="78">
        <v>46084</v>
      </c>
      <c r="I77" s="1" t="s">
        <v>987</v>
      </c>
    </row>
    <row r="78" spans="1:9" x14ac:dyDescent="0.25">
      <c r="A78" s="1" t="s">
        <v>1184</v>
      </c>
      <c r="B78" s="1" t="s">
        <v>1768</v>
      </c>
      <c r="C78" s="1" t="s">
        <v>1174</v>
      </c>
      <c r="D78" s="1" t="s">
        <v>1070</v>
      </c>
      <c r="E78" s="1" t="s">
        <v>1766</v>
      </c>
      <c r="F78" s="1" t="s">
        <v>1110</v>
      </c>
      <c r="G78" s="1">
        <v>231</v>
      </c>
      <c r="H78" s="78">
        <v>46084</v>
      </c>
      <c r="I78" s="1" t="s">
        <v>987</v>
      </c>
    </row>
    <row r="79" spans="1:9" x14ac:dyDescent="0.25">
      <c r="A79" s="1" t="s">
        <v>1186</v>
      </c>
      <c r="B79" s="1" t="s">
        <v>1176</v>
      </c>
      <c r="C79" s="1" t="s">
        <v>1174</v>
      </c>
      <c r="D79" s="1" t="s">
        <v>1070</v>
      </c>
      <c r="E79" s="1" t="s">
        <v>1766</v>
      </c>
      <c r="F79" s="1" t="s">
        <v>1177</v>
      </c>
      <c r="G79" s="1">
        <v>101.1</v>
      </c>
      <c r="H79" s="78">
        <v>46084</v>
      </c>
      <c r="I79" s="1" t="s">
        <v>987</v>
      </c>
    </row>
    <row r="80" spans="1:9" x14ac:dyDescent="0.25">
      <c r="A80" s="1" t="s">
        <v>1187</v>
      </c>
      <c r="B80" s="1" t="s">
        <v>1188</v>
      </c>
      <c r="C80" s="1" t="s">
        <v>1189</v>
      </c>
      <c r="D80" s="1" t="s">
        <v>1068</v>
      </c>
      <c r="E80" s="1" t="s">
        <v>1727</v>
      </c>
      <c r="F80" s="1" t="s">
        <v>1110</v>
      </c>
      <c r="G80" s="1">
        <v>314.58999999999997</v>
      </c>
      <c r="H80" s="78">
        <v>46084</v>
      </c>
      <c r="I80" s="1" t="s">
        <v>987</v>
      </c>
    </row>
    <row r="81" spans="1:9" x14ac:dyDescent="0.25">
      <c r="A81" s="1" t="s">
        <v>1190</v>
      </c>
      <c r="B81" s="1" t="s">
        <v>1191</v>
      </c>
      <c r="C81" s="1" t="s">
        <v>1189</v>
      </c>
      <c r="D81" s="1" t="s">
        <v>1068</v>
      </c>
      <c r="E81" s="1" t="s">
        <v>1727</v>
      </c>
      <c r="F81" s="1" t="s">
        <v>1110</v>
      </c>
      <c r="G81" s="1">
        <v>559</v>
      </c>
      <c r="H81" s="78">
        <v>46084</v>
      </c>
      <c r="I81" s="1" t="s">
        <v>987</v>
      </c>
    </row>
    <row r="82" spans="1:9" x14ac:dyDescent="0.25">
      <c r="A82" s="1" t="s">
        <v>1192</v>
      </c>
      <c r="B82" s="1" t="s">
        <v>1193</v>
      </c>
      <c r="C82" s="1" t="s">
        <v>1189</v>
      </c>
      <c r="D82" s="1" t="s">
        <v>1068</v>
      </c>
      <c r="E82" s="1" t="s">
        <v>1727</v>
      </c>
      <c r="F82" s="1" t="s">
        <v>1177</v>
      </c>
      <c r="G82" s="1">
        <v>418.68</v>
      </c>
      <c r="H82" s="78">
        <v>46084</v>
      </c>
      <c r="I82" s="1" t="s">
        <v>987</v>
      </c>
    </row>
    <row r="83" spans="1:9" x14ac:dyDescent="0.25">
      <c r="A83" s="1" t="s">
        <v>1187</v>
      </c>
      <c r="B83" s="1" t="s">
        <v>1188</v>
      </c>
      <c r="C83" s="1" t="s">
        <v>1189</v>
      </c>
      <c r="D83" s="1" t="s">
        <v>1068</v>
      </c>
      <c r="E83" s="1" t="s">
        <v>1729</v>
      </c>
      <c r="F83" s="1" t="s">
        <v>1110</v>
      </c>
      <c r="G83" s="1">
        <v>351.33</v>
      </c>
      <c r="H83" s="78">
        <v>46084</v>
      </c>
      <c r="I83" s="1" t="s">
        <v>987</v>
      </c>
    </row>
    <row r="84" spans="1:9" x14ac:dyDescent="0.25">
      <c r="A84" s="1" t="s">
        <v>1190</v>
      </c>
      <c r="B84" s="1" t="s">
        <v>1191</v>
      </c>
      <c r="C84" s="1" t="s">
        <v>1189</v>
      </c>
      <c r="D84" s="1" t="s">
        <v>1068</v>
      </c>
      <c r="E84" s="1" t="s">
        <v>1729</v>
      </c>
      <c r="F84" s="1" t="s">
        <v>1110</v>
      </c>
      <c r="G84" s="1">
        <v>594</v>
      </c>
      <c r="H84" s="78">
        <v>46084</v>
      </c>
      <c r="I84" s="1" t="s">
        <v>987</v>
      </c>
    </row>
    <row r="85" spans="1:9" x14ac:dyDescent="0.25">
      <c r="A85" s="1" t="s">
        <v>1192</v>
      </c>
      <c r="B85" s="1" t="s">
        <v>1193</v>
      </c>
      <c r="C85" s="1" t="s">
        <v>1189</v>
      </c>
      <c r="D85" s="1" t="s">
        <v>1068</v>
      </c>
      <c r="E85" s="1" t="s">
        <v>1729</v>
      </c>
      <c r="F85" s="1" t="s">
        <v>1177</v>
      </c>
      <c r="G85" s="1">
        <v>494.58</v>
      </c>
      <c r="H85" s="78">
        <v>46084</v>
      </c>
      <c r="I85" s="1" t="s">
        <v>987</v>
      </c>
    </row>
    <row r="86" spans="1:9" x14ac:dyDescent="0.25">
      <c r="A86" s="1" t="s">
        <v>1187</v>
      </c>
      <c r="B86" s="1" t="s">
        <v>1188</v>
      </c>
      <c r="C86" s="1" t="s">
        <v>1189</v>
      </c>
      <c r="D86" s="1" t="s">
        <v>1068</v>
      </c>
      <c r="E86" s="1" t="s">
        <v>1730</v>
      </c>
      <c r="F86" s="1" t="s">
        <v>1110</v>
      </c>
      <c r="G86" s="1">
        <v>278.2</v>
      </c>
      <c r="H86" s="78">
        <v>46084</v>
      </c>
      <c r="I86" s="1" t="s">
        <v>987</v>
      </c>
    </row>
    <row r="87" spans="1:9" x14ac:dyDescent="0.25">
      <c r="A87" s="1" t="s">
        <v>1190</v>
      </c>
      <c r="B87" s="1" t="s">
        <v>1191</v>
      </c>
      <c r="C87" s="1" t="s">
        <v>1189</v>
      </c>
      <c r="D87" s="1" t="s">
        <v>1068</v>
      </c>
      <c r="E87" s="1" t="s">
        <v>1730</v>
      </c>
      <c r="F87" s="1" t="s">
        <v>1110</v>
      </c>
      <c r="G87" s="1">
        <v>557</v>
      </c>
      <c r="H87" s="78">
        <v>46084</v>
      </c>
      <c r="I87" s="1" t="s">
        <v>987</v>
      </c>
    </row>
    <row r="88" spans="1:9" x14ac:dyDescent="0.25">
      <c r="A88" s="1" t="s">
        <v>1192</v>
      </c>
      <c r="B88" s="1" t="s">
        <v>1193</v>
      </c>
      <c r="C88" s="1" t="s">
        <v>1189</v>
      </c>
      <c r="D88" s="1" t="s">
        <v>1068</v>
      </c>
      <c r="E88" s="1" t="s">
        <v>1730</v>
      </c>
      <c r="F88" s="1" t="s">
        <v>1177</v>
      </c>
      <c r="G88" s="1">
        <v>499.38</v>
      </c>
      <c r="H88" s="78">
        <v>46084</v>
      </c>
      <c r="I88" s="1" t="s">
        <v>987</v>
      </c>
    </row>
    <row r="89" spans="1:9" x14ac:dyDescent="0.25">
      <c r="A89" s="1" t="s">
        <v>1187</v>
      </c>
      <c r="B89" s="1" t="s">
        <v>1188</v>
      </c>
      <c r="C89" s="1" t="s">
        <v>1189</v>
      </c>
      <c r="D89" s="1" t="s">
        <v>1068</v>
      </c>
      <c r="E89" s="1" t="s">
        <v>1762</v>
      </c>
      <c r="F89" s="1" t="s">
        <v>1110</v>
      </c>
      <c r="G89" s="1">
        <v>162.06</v>
      </c>
      <c r="H89" s="78">
        <v>46084</v>
      </c>
      <c r="I89" s="1" t="s">
        <v>987</v>
      </c>
    </row>
    <row r="90" spans="1:9" x14ac:dyDescent="0.25">
      <c r="A90" s="1" t="s">
        <v>1190</v>
      </c>
      <c r="B90" s="1" t="s">
        <v>1191</v>
      </c>
      <c r="C90" s="1" t="s">
        <v>1189</v>
      </c>
      <c r="D90" s="1" t="s">
        <v>1068</v>
      </c>
      <c r="E90" s="1" t="s">
        <v>1762</v>
      </c>
      <c r="F90" s="1" t="s">
        <v>1110</v>
      </c>
      <c r="G90" s="1">
        <v>557</v>
      </c>
      <c r="H90" s="78">
        <v>46084</v>
      </c>
      <c r="I90" s="1" t="s">
        <v>987</v>
      </c>
    </row>
    <row r="91" spans="1:9" x14ac:dyDescent="0.25">
      <c r="A91" s="1" t="s">
        <v>1192</v>
      </c>
      <c r="B91" s="1" t="s">
        <v>1193</v>
      </c>
      <c r="C91" s="1" t="s">
        <v>1189</v>
      </c>
      <c r="D91" s="1" t="s">
        <v>1068</v>
      </c>
      <c r="E91" s="1" t="s">
        <v>1762</v>
      </c>
      <c r="F91" s="1" t="s">
        <v>1177</v>
      </c>
      <c r="G91" s="1">
        <v>300.82</v>
      </c>
      <c r="H91" s="78">
        <v>46084</v>
      </c>
      <c r="I91" s="1" t="s">
        <v>987</v>
      </c>
    </row>
    <row r="92" spans="1:9" x14ac:dyDescent="0.25">
      <c r="A92" s="1" t="s">
        <v>1187</v>
      </c>
      <c r="B92" s="1" t="s">
        <v>1188</v>
      </c>
      <c r="C92" s="1" t="s">
        <v>1189</v>
      </c>
      <c r="D92" s="1" t="s">
        <v>1068</v>
      </c>
      <c r="E92" s="1" t="s">
        <v>1765</v>
      </c>
      <c r="F92" s="1" t="s">
        <v>1110</v>
      </c>
      <c r="G92" s="1">
        <v>99.33</v>
      </c>
      <c r="H92" s="78">
        <v>46084</v>
      </c>
      <c r="I92" s="1" t="s">
        <v>987</v>
      </c>
    </row>
    <row r="93" spans="1:9" x14ac:dyDescent="0.25">
      <c r="A93" s="1" t="s">
        <v>1190</v>
      </c>
      <c r="B93" s="1" t="s">
        <v>1191</v>
      </c>
      <c r="C93" s="1" t="s">
        <v>1189</v>
      </c>
      <c r="D93" s="1" t="s">
        <v>1068</v>
      </c>
      <c r="E93" s="1" t="s">
        <v>1765</v>
      </c>
      <c r="F93" s="1" t="s">
        <v>1110</v>
      </c>
      <c r="G93" s="1">
        <v>182</v>
      </c>
      <c r="H93" s="78">
        <v>46084</v>
      </c>
      <c r="I93" s="1" t="s">
        <v>987</v>
      </c>
    </row>
    <row r="94" spans="1:9" x14ac:dyDescent="0.25">
      <c r="A94" s="1" t="s">
        <v>1192</v>
      </c>
      <c r="B94" s="1" t="s">
        <v>1193</v>
      </c>
      <c r="C94" s="1" t="s">
        <v>1189</v>
      </c>
      <c r="D94" s="1" t="s">
        <v>1068</v>
      </c>
      <c r="E94" s="1" t="s">
        <v>1765</v>
      </c>
      <c r="F94" s="1" t="s">
        <v>1177</v>
      </c>
      <c r="G94" s="1">
        <v>172.84</v>
      </c>
      <c r="H94" s="78">
        <v>46084</v>
      </c>
      <c r="I94" s="1" t="s">
        <v>987</v>
      </c>
    </row>
    <row r="95" spans="1:9" x14ac:dyDescent="0.25">
      <c r="A95" s="1" t="s">
        <v>1187</v>
      </c>
      <c r="B95" s="1" t="s">
        <v>1188</v>
      </c>
      <c r="C95" s="1" t="s">
        <v>1189</v>
      </c>
      <c r="D95" s="1" t="s">
        <v>1070</v>
      </c>
      <c r="E95" s="1" t="s">
        <v>1727</v>
      </c>
      <c r="F95" s="1" t="s">
        <v>1110</v>
      </c>
      <c r="G95" s="1">
        <v>87.52</v>
      </c>
      <c r="H95" s="78">
        <v>46084</v>
      </c>
      <c r="I95" s="1" t="s">
        <v>987</v>
      </c>
    </row>
    <row r="96" spans="1:9" x14ac:dyDescent="0.25">
      <c r="A96" s="1" t="s">
        <v>1187</v>
      </c>
      <c r="B96" s="1" t="s">
        <v>1188</v>
      </c>
      <c r="C96" s="1" t="s">
        <v>1189</v>
      </c>
      <c r="D96" s="1" t="s">
        <v>1070</v>
      </c>
      <c r="E96" s="1" t="s">
        <v>1727</v>
      </c>
      <c r="F96" s="1" t="s">
        <v>1110</v>
      </c>
      <c r="G96" s="1">
        <v>56.71</v>
      </c>
      <c r="H96" s="78">
        <v>46084</v>
      </c>
      <c r="I96" s="1" t="s">
        <v>987</v>
      </c>
    </row>
    <row r="97" spans="1:9" x14ac:dyDescent="0.25">
      <c r="A97" s="1" t="s">
        <v>1194</v>
      </c>
      <c r="B97" s="1" t="s">
        <v>1195</v>
      </c>
      <c r="C97" s="1" t="s">
        <v>1189</v>
      </c>
      <c r="D97" s="1" t="s">
        <v>1070</v>
      </c>
      <c r="E97" s="1" t="s">
        <v>1727</v>
      </c>
      <c r="F97" s="1" t="s">
        <v>1177</v>
      </c>
      <c r="G97" s="1">
        <v>5.19</v>
      </c>
      <c r="H97" s="78">
        <v>46084</v>
      </c>
      <c r="I97" s="1" t="s">
        <v>987</v>
      </c>
    </row>
    <row r="98" spans="1:9" x14ac:dyDescent="0.25">
      <c r="A98" s="1" t="s">
        <v>1190</v>
      </c>
      <c r="B98" s="1" t="s">
        <v>1191</v>
      </c>
      <c r="C98" s="1" t="s">
        <v>1189</v>
      </c>
      <c r="D98" s="1" t="s">
        <v>1070</v>
      </c>
      <c r="E98" s="1" t="s">
        <v>1727</v>
      </c>
      <c r="F98" s="1" t="s">
        <v>1110</v>
      </c>
      <c r="G98" s="1">
        <v>210</v>
      </c>
      <c r="H98" s="78">
        <v>46084</v>
      </c>
      <c r="I98" s="1" t="s">
        <v>987</v>
      </c>
    </row>
    <row r="99" spans="1:9" x14ac:dyDescent="0.25">
      <c r="A99" s="1" t="s">
        <v>1192</v>
      </c>
      <c r="B99" s="1" t="s">
        <v>1193</v>
      </c>
      <c r="C99" s="1" t="s">
        <v>1189</v>
      </c>
      <c r="D99" s="1" t="s">
        <v>1070</v>
      </c>
      <c r="E99" s="1" t="s">
        <v>1727</v>
      </c>
      <c r="F99" s="1" t="s">
        <v>1177</v>
      </c>
      <c r="G99" s="1">
        <v>119.94</v>
      </c>
      <c r="H99" s="78">
        <v>46084</v>
      </c>
      <c r="I99" s="1" t="s">
        <v>987</v>
      </c>
    </row>
    <row r="100" spans="1:9" x14ac:dyDescent="0.25">
      <c r="A100" s="1" t="s">
        <v>1187</v>
      </c>
      <c r="B100" s="1" t="s">
        <v>1188</v>
      </c>
      <c r="C100" s="1" t="s">
        <v>1189</v>
      </c>
      <c r="D100" s="1" t="s">
        <v>1070</v>
      </c>
      <c r="E100" s="1" t="s">
        <v>1729</v>
      </c>
      <c r="F100" s="1" t="s">
        <v>1110</v>
      </c>
      <c r="G100" s="1">
        <v>60.7</v>
      </c>
      <c r="H100" s="78">
        <v>46084</v>
      </c>
      <c r="I100" s="1" t="s">
        <v>987</v>
      </c>
    </row>
    <row r="101" spans="1:9" x14ac:dyDescent="0.25">
      <c r="A101" s="1" t="s">
        <v>1190</v>
      </c>
      <c r="B101" s="1" t="s">
        <v>1191</v>
      </c>
      <c r="C101" s="1" t="s">
        <v>1189</v>
      </c>
      <c r="D101" s="1" t="s">
        <v>1070</v>
      </c>
      <c r="E101" s="1" t="s">
        <v>1729</v>
      </c>
      <c r="F101" s="1" t="s">
        <v>1110</v>
      </c>
      <c r="G101" s="1">
        <v>210</v>
      </c>
      <c r="H101" s="78">
        <v>46084</v>
      </c>
      <c r="I101" s="1" t="s">
        <v>987</v>
      </c>
    </row>
    <row r="102" spans="1:9" x14ac:dyDescent="0.25">
      <c r="A102" s="1" t="s">
        <v>1192</v>
      </c>
      <c r="B102" s="1" t="s">
        <v>1193</v>
      </c>
      <c r="C102" s="1" t="s">
        <v>1189</v>
      </c>
      <c r="D102" s="1" t="s">
        <v>1070</v>
      </c>
      <c r="E102" s="1" t="s">
        <v>1729</v>
      </c>
      <c r="F102" s="1" t="s">
        <v>1177</v>
      </c>
      <c r="G102" s="1">
        <v>192.38</v>
      </c>
      <c r="H102" s="78">
        <v>46084</v>
      </c>
      <c r="I102" s="1" t="s">
        <v>987</v>
      </c>
    </row>
    <row r="103" spans="1:9" x14ac:dyDescent="0.25">
      <c r="A103" s="1" t="s">
        <v>1196</v>
      </c>
      <c r="B103" s="1" t="s">
        <v>1769</v>
      </c>
      <c r="C103" s="1" t="s">
        <v>1198</v>
      </c>
      <c r="D103" s="1" t="s">
        <v>1068</v>
      </c>
      <c r="E103" s="1" t="s">
        <v>1727</v>
      </c>
      <c r="F103" s="1" t="s">
        <v>1110</v>
      </c>
      <c r="G103" s="1">
        <v>46.38</v>
      </c>
      <c r="H103" s="78">
        <v>46084</v>
      </c>
      <c r="I103" s="1" t="s">
        <v>987</v>
      </c>
    </row>
    <row r="104" spans="1:9" x14ac:dyDescent="0.25">
      <c r="A104" s="1" t="s">
        <v>1196</v>
      </c>
      <c r="B104" s="1" t="s">
        <v>1770</v>
      </c>
      <c r="C104" s="1" t="s">
        <v>1198</v>
      </c>
      <c r="D104" s="1" t="s">
        <v>1068</v>
      </c>
      <c r="E104" s="1" t="s">
        <v>1727</v>
      </c>
      <c r="F104" s="1" t="s">
        <v>1110</v>
      </c>
      <c r="G104" s="1">
        <v>5.32</v>
      </c>
      <c r="H104" s="78">
        <v>46084</v>
      </c>
      <c r="I104" s="1" t="s">
        <v>987</v>
      </c>
    </row>
    <row r="105" spans="1:9" x14ac:dyDescent="0.25">
      <c r="A105" s="1" t="s">
        <v>1196</v>
      </c>
      <c r="B105" s="1" t="s">
        <v>1771</v>
      </c>
      <c r="C105" s="1" t="s">
        <v>1198</v>
      </c>
      <c r="D105" s="1" t="s">
        <v>1068</v>
      </c>
      <c r="E105" s="1" t="s">
        <v>1727</v>
      </c>
      <c r="F105" s="1" t="s">
        <v>1110</v>
      </c>
      <c r="G105" s="1">
        <v>12</v>
      </c>
      <c r="H105" s="78">
        <v>46084</v>
      </c>
      <c r="I105" s="1" t="s">
        <v>987</v>
      </c>
    </row>
    <row r="106" spans="1:9" x14ac:dyDescent="0.25">
      <c r="A106" s="1" t="s">
        <v>1196</v>
      </c>
      <c r="B106" s="1" t="s">
        <v>1772</v>
      </c>
      <c r="C106" s="1" t="s">
        <v>1198</v>
      </c>
      <c r="D106" s="1" t="s">
        <v>1068</v>
      </c>
      <c r="E106" s="1" t="s">
        <v>1727</v>
      </c>
      <c r="F106" s="1" t="s">
        <v>1110</v>
      </c>
      <c r="G106" s="1">
        <v>3.36</v>
      </c>
      <c r="H106" s="78">
        <v>46084</v>
      </c>
      <c r="I106" s="1" t="s">
        <v>987</v>
      </c>
    </row>
    <row r="107" spans="1:9" x14ac:dyDescent="0.25">
      <c r="A107" s="1" t="s">
        <v>1196</v>
      </c>
      <c r="B107" s="1" t="s">
        <v>1773</v>
      </c>
      <c r="C107" s="1" t="s">
        <v>1198</v>
      </c>
      <c r="D107" s="1" t="s">
        <v>1068</v>
      </c>
      <c r="E107" s="1" t="s">
        <v>1727</v>
      </c>
      <c r="F107" s="1" t="s">
        <v>1110</v>
      </c>
      <c r="G107" s="1">
        <v>1.92</v>
      </c>
      <c r="H107" s="78">
        <v>46084</v>
      </c>
      <c r="I107" s="1" t="s">
        <v>987</v>
      </c>
    </row>
    <row r="108" spans="1:9" x14ac:dyDescent="0.25">
      <c r="A108" s="1" t="s">
        <v>1196</v>
      </c>
      <c r="B108" s="1" t="s">
        <v>1774</v>
      </c>
      <c r="C108" s="1" t="s">
        <v>1198</v>
      </c>
      <c r="D108" s="1" t="s">
        <v>1068</v>
      </c>
      <c r="E108" s="1" t="s">
        <v>1727</v>
      </c>
      <c r="F108" s="1" t="s">
        <v>1110</v>
      </c>
      <c r="G108" s="1">
        <v>1.2</v>
      </c>
      <c r="H108" s="78">
        <v>46084</v>
      </c>
      <c r="I108" s="1" t="s">
        <v>987</v>
      </c>
    </row>
    <row r="109" spans="1:9" x14ac:dyDescent="0.25">
      <c r="A109" s="1" t="s">
        <v>1196</v>
      </c>
      <c r="B109" s="1" t="s">
        <v>1775</v>
      </c>
      <c r="C109" s="1" t="s">
        <v>1198</v>
      </c>
      <c r="D109" s="1" t="s">
        <v>1068</v>
      </c>
      <c r="E109" s="1" t="s">
        <v>1727</v>
      </c>
      <c r="F109" s="1" t="s">
        <v>1110</v>
      </c>
      <c r="G109" s="1">
        <v>1.44</v>
      </c>
      <c r="H109" s="78">
        <v>46084</v>
      </c>
      <c r="I109" s="1" t="s">
        <v>987</v>
      </c>
    </row>
    <row r="110" spans="1:9" x14ac:dyDescent="0.25">
      <c r="A110" s="1" t="s">
        <v>1196</v>
      </c>
      <c r="B110" s="1" t="s">
        <v>1776</v>
      </c>
      <c r="C110" s="1" t="s">
        <v>1198</v>
      </c>
      <c r="D110" s="1" t="s">
        <v>1068</v>
      </c>
      <c r="E110" s="1" t="s">
        <v>1727</v>
      </c>
      <c r="F110" s="1" t="s">
        <v>1110</v>
      </c>
      <c r="G110" s="1">
        <v>5.39</v>
      </c>
      <c r="H110" s="78">
        <v>46084</v>
      </c>
      <c r="I110" s="1" t="s">
        <v>987</v>
      </c>
    </row>
    <row r="111" spans="1:9" x14ac:dyDescent="0.25">
      <c r="A111" s="1" t="s">
        <v>1196</v>
      </c>
      <c r="B111" s="1" t="s">
        <v>1777</v>
      </c>
      <c r="C111" s="1" t="s">
        <v>1198</v>
      </c>
      <c r="D111" s="1" t="s">
        <v>1068</v>
      </c>
      <c r="E111" s="1" t="s">
        <v>1727</v>
      </c>
      <c r="F111" s="1" t="s">
        <v>1110</v>
      </c>
      <c r="G111" s="1">
        <v>9.9</v>
      </c>
      <c r="H111" s="78">
        <v>46084</v>
      </c>
      <c r="I111" s="1" t="s">
        <v>987</v>
      </c>
    </row>
    <row r="112" spans="1:9" x14ac:dyDescent="0.25">
      <c r="A112" s="1" t="s">
        <v>1196</v>
      </c>
      <c r="B112" s="1" t="s">
        <v>1778</v>
      </c>
      <c r="C112" s="1" t="s">
        <v>1198</v>
      </c>
      <c r="D112" s="1" t="s">
        <v>1068</v>
      </c>
      <c r="E112" s="1" t="s">
        <v>1727</v>
      </c>
      <c r="F112" s="1" t="s">
        <v>1110</v>
      </c>
      <c r="G112" s="1">
        <v>5.28</v>
      </c>
      <c r="H112" s="78">
        <v>46084</v>
      </c>
      <c r="I112" s="1" t="s">
        <v>987</v>
      </c>
    </row>
    <row r="113" spans="1:9" x14ac:dyDescent="0.25">
      <c r="A113" s="1" t="s">
        <v>1196</v>
      </c>
      <c r="B113" s="1" t="s">
        <v>1779</v>
      </c>
      <c r="C113" s="1" t="s">
        <v>1198</v>
      </c>
      <c r="D113" s="1" t="s">
        <v>1068</v>
      </c>
      <c r="E113" s="1" t="s">
        <v>1727</v>
      </c>
      <c r="F113" s="1" t="s">
        <v>1110</v>
      </c>
      <c r="G113" s="1">
        <v>31.68</v>
      </c>
      <c r="H113" s="78">
        <v>46084</v>
      </c>
      <c r="I113" s="1" t="s">
        <v>987</v>
      </c>
    </row>
    <row r="114" spans="1:9" x14ac:dyDescent="0.25">
      <c r="A114" s="1" t="s">
        <v>1196</v>
      </c>
      <c r="B114" s="1" t="s">
        <v>1780</v>
      </c>
      <c r="C114" s="1" t="s">
        <v>1198</v>
      </c>
      <c r="D114" s="1" t="s">
        <v>1068</v>
      </c>
      <c r="E114" s="1" t="s">
        <v>1727</v>
      </c>
      <c r="F114" s="1" t="s">
        <v>1110</v>
      </c>
      <c r="G114" s="1">
        <v>19.36</v>
      </c>
      <c r="H114" s="78">
        <v>46084</v>
      </c>
      <c r="I114" s="1" t="s">
        <v>987</v>
      </c>
    </row>
    <row r="115" spans="1:9" x14ac:dyDescent="0.25">
      <c r="A115" s="1" t="s">
        <v>1196</v>
      </c>
      <c r="B115" s="1" t="s">
        <v>1781</v>
      </c>
      <c r="C115" s="1" t="s">
        <v>1198</v>
      </c>
      <c r="D115" s="1" t="s">
        <v>1068</v>
      </c>
      <c r="E115" s="1" t="s">
        <v>1729</v>
      </c>
      <c r="F115" s="1" t="s">
        <v>1110</v>
      </c>
      <c r="G115" s="1">
        <v>1.44</v>
      </c>
      <c r="H115" s="78">
        <v>46084</v>
      </c>
      <c r="I115" s="1" t="s">
        <v>987</v>
      </c>
    </row>
    <row r="116" spans="1:9" x14ac:dyDescent="0.25">
      <c r="A116" s="1" t="s">
        <v>1196</v>
      </c>
      <c r="B116" s="1" t="s">
        <v>1782</v>
      </c>
      <c r="C116" s="1" t="s">
        <v>1198</v>
      </c>
      <c r="D116" s="1" t="s">
        <v>1068</v>
      </c>
      <c r="E116" s="1" t="s">
        <v>1729</v>
      </c>
      <c r="F116" s="1" t="s">
        <v>1110</v>
      </c>
      <c r="G116" s="1">
        <v>8.94</v>
      </c>
      <c r="H116" s="78">
        <v>46084</v>
      </c>
      <c r="I116" s="1" t="s">
        <v>987</v>
      </c>
    </row>
    <row r="117" spans="1:9" x14ac:dyDescent="0.25">
      <c r="A117" s="1" t="s">
        <v>1196</v>
      </c>
      <c r="B117" s="1" t="s">
        <v>1783</v>
      </c>
      <c r="C117" s="1" t="s">
        <v>1198</v>
      </c>
      <c r="D117" s="1" t="s">
        <v>1068</v>
      </c>
      <c r="E117" s="1" t="s">
        <v>1729</v>
      </c>
      <c r="F117" s="1" t="s">
        <v>1110</v>
      </c>
      <c r="G117" s="1">
        <v>7.92</v>
      </c>
      <c r="H117" s="78">
        <v>46084</v>
      </c>
      <c r="I117" s="1" t="s">
        <v>987</v>
      </c>
    </row>
    <row r="118" spans="1:9" x14ac:dyDescent="0.25">
      <c r="A118" s="1" t="s">
        <v>1196</v>
      </c>
      <c r="B118" s="1" t="s">
        <v>1773</v>
      </c>
      <c r="C118" s="1" t="s">
        <v>1198</v>
      </c>
      <c r="D118" s="1" t="s">
        <v>1068</v>
      </c>
      <c r="E118" s="1" t="s">
        <v>1729</v>
      </c>
      <c r="F118" s="1" t="s">
        <v>1110</v>
      </c>
      <c r="G118" s="1">
        <v>17.28</v>
      </c>
      <c r="H118" s="78">
        <v>46084</v>
      </c>
      <c r="I118" s="1" t="s">
        <v>987</v>
      </c>
    </row>
    <row r="119" spans="1:9" x14ac:dyDescent="0.25">
      <c r="A119" s="1" t="s">
        <v>1196</v>
      </c>
      <c r="B119" s="1" t="s">
        <v>1774</v>
      </c>
      <c r="C119" s="1" t="s">
        <v>1198</v>
      </c>
      <c r="D119" s="1" t="s">
        <v>1068</v>
      </c>
      <c r="E119" s="1" t="s">
        <v>1729</v>
      </c>
      <c r="F119" s="1" t="s">
        <v>1110</v>
      </c>
      <c r="G119" s="1">
        <v>1.2</v>
      </c>
      <c r="H119" s="78">
        <v>46084</v>
      </c>
      <c r="I119" s="1" t="s">
        <v>987</v>
      </c>
    </row>
    <row r="120" spans="1:9" x14ac:dyDescent="0.25">
      <c r="A120" s="1" t="s">
        <v>1196</v>
      </c>
      <c r="B120" s="1" t="s">
        <v>1775</v>
      </c>
      <c r="C120" s="1" t="s">
        <v>1198</v>
      </c>
      <c r="D120" s="1" t="s">
        <v>1068</v>
      </c>
      <c r="E120" s="1" t="s">
        <v>1729</v>
      </c>
      <c r="F120" s="1" t="s">
        <v>1110</v>
      </c>
      <c r="G120" s="1">
        <v>2.52</v>
      </c>
      <c r="H120" s="78">
        <v>46084</v>
      </c>
      <c r="I120" s="1" t="s">
        <v>987</v>
      </c>
    </row>
    <row r="121" spans="1:9" x14ac:dyDescent="0.25">
      <c r="A121" s="1" t="s">
        <v>1199</v>
      </c>
      <c r="B121" s="1" t="s">
        <v>1200</v>
      </c>
      <c r="C121" s="1" t="s">
        <v>1198</v>
      </c>
      <c r="D121" s="1" t="s">
        <v>1068</v>
      </c>
      <c r="E121" s="1" t="s">
        <v>1729</v>
      </c>
      <c r="F121" s="1" t="s">
        <v>1110</v>
      </c>
      <c r="G121" s="1">
        <v>32.4</v>
      </c>
      <c r="H121" s="78">
        <v>46084</v>
      </c>
      <c r="I121" s="1" t="s">
        <v>987</v>
      </c>
    </row>
    <row r="122" spans="1:9" x14ac:dyDescent="0.25">
      <c r="A122" s="1" t="s">
        <v>1196</v>
      </c>
      <c r="B122" s="1" t="s">
        <v>1784</v>
      </c>
      <c r="C122" s="1" t="s">
        <v>1198</v>
      </c>
      <c r="D122" s="1" t="s">
        <v>1068</v>
      </c>
      <c r="E122" s="1" t="s">
        <v>1729</v>
      </c>
      <c r="F122" s="1" t="s">
        <v>1110</v>
      </c>
      <c r="G122" s="1">
        <v>33</v>
      </c>
      <c r="H122" s="78">
        <v>46084</v>
      </c>
      <c r="I122" s="1" t="s">
        <v>987</v>
      </c>
    </row>
    <row r="123" spans="1:9" x14ac:dyDescent="0.25">
      <c r="A123" s="1" t="s">
        <v>1196</v>
      </c>
      <c r="B123" s="1" t="s">
        <v>1779</v>
      </c>
      <c r="C123" s="1" t="s">
        <v>1198</v>
      </c>
      <c r="D123" s="1" t="s">
        <v>1068</v>
      </c>
      <c r="E123" s="1" t="s">
        <v>1729</v>
      </c>
      <c r="F123" s="1" t="s">
        <v>1110</v>
      </c>
      <c r="G123" s="1">
        <v>39.6</v>
      </c>
      <c r="H123" s="78">
        <v>46084</v>
      </c>
      <c r="I123" s="1" t="s">
        <v>987</v>
      </c>
    </row>
    <row r="124" spans="1:9" x14ac:dyDescent="0.25">
      <c r="A124" s="1" t="s">
        <v>1196</v>
      </c>
      <c r="B124" s="1" t="s">
        <v>1780</v>
      </c>
      <c r="C124" s="1" t="s">
        <v>1198</v>
      </c>
      <c r="D124" s="1" t="s">
        <v>1068</v>
      </c>
      <c r="E124" s="1" t="s">
        <v>1729</v>
      </c>
      <c r="F124" s="1" t="s">
        <v>1110</v>
      </c>
      <c r="G124" s="1">
        <v>28.16</v>
      </c>
      <c r="H124" s="78">
        <v>46084</v>
      </c>
      <c r="I124" s="1" t="s">
        <v>987</v>
      </c>
    </row>
    <row r="125" spans="1:9" x14ac:dyDescent="0.25">
      <c r="A125" s="1" t="s">
        <v>1196</v>
      </c>
      <c r="B125" s="1" t="s">
        <v>1785</v>
      </c>
      <c r="C125" s="1" t="s">
        <v>1198</v>
      </c>
      <c r="D125" s="1" t="s">
        <v>1068</v>
      </c>
      <c r="E125" s="1" t="s">
        <v>1730</v>
      </c>
      <c r="F125" s="1" t="s">
        <v>1110</v>
      </c>
      <c r="G125" s="1">
        <v>1.8</v>
      </c>
      <c r="H125" s="78">
        <v>46084</v>
      </c>
      <c r="I125" s="1" t="s">
        <v>987</v>
      </c>
    </row>
    <row r="126" spans="1:9" x14ac:dyDescent="0.25">
      <c r="A126" s="1" t="s">
        <v>1196</v>
      </c>
      <c r="B126" s="1" t="s">
        <v>1773</v>
      </c>
      <c r="C126" s="1" t="s">
        <v>1198</v>
      </c>
      <c r="D126" s="1" t="s">
        <v>1068</v>
      </c>
      <c r="E126" s="1" t="s">
        <v>1730</v>
      </c>
      <c r="F126" s="1" t="s">
        <v>1110</v>
      </c>
      <c r="G126" s="1">
        <v>17.28</v>
      </c>
      <c r="H126" s="78">
        <v>46084</v>
      </c>
      <c r="I126" s="1" t="s">
        <v>987</v>
      </c>
    </row>
    <row r="127" spans="1:9" x14ac:dyDescent="0.25">
      <c r="A127" s="1" t="s">
        <v>1196</v>
      </c>
      <c r="B127" s="1" t="s">
        <v>1774</v>
      </c>
      <c r="C127" s="1" t="s">
        <v>1198</v>
      </c>
      <c r="D127" s="1" t="s">
        <v>1068</v>
      </c>
      <c r="E127" s="1" t="s">
        <v>1730</v>
      </c>
      <c r="F127" s="1" t="s">
        <v>1110</v>
      </c>
      <c r="G127" s="1">
        <v>3.6</v>
      </c>
      <c r="H127" s="78">
        <v>46084</v>
      </c>
      <c r="I127" s="1" t="s">
        <v>987</v>
      </c>
    </row>
    <row r="128" spans="1:9" x14ac:dyDescent="0.25">
      <c r="A128" s="1" t="s">
        <v>1196</v>
      </c>
      <c r="B128" s="1" t="s">
        <v>1775</v>
      </c>
      <c r="C128" s="1" t="s">
        <v>1198</v>
      </c>
      <c r="D128" s="1" t="s">
        <v>1068</v>
      </c>
      <c r="E128" s="1" t="s">
        <v>1730</v>
      </c>
      <c r="F128" s="1" t="s">
        <v>1110</v>
      </c>
      <c r="G128" s="1">
        <v>2.52</v>
      </c>
      <c r="H128" s="78">
        <v>46084</v>
      </c>
      <c r="I128" s="1" t="s">
        <v>987</v>
      </c>
    </row>
    <row r="129" spans="1:9" x14ac:dyDescent="0.25">
      <c r="A129" s="1" t="s">
        <v>1199</v>
      </c>
      <c r="B129" s="1" t="s">
        <v>1200</v>
      </c>
      <c r="C129" s="1" t="s">
        <v>1198</v>
      </c>
      <c r="D129" s="1" t="s">
        <v>1068</v>
      </c>
      <c r="E129" s="1" t="s">
        <v>1730</v>
      </c>
      <c r="F129" s="1" t="s">
        <v>1110</v>
      </c>
      <c r="G129" s="1">
        <v>32.4</v>
      </c>
      <c r="H129" s="78">
        <v>46084</v>
      </c>
      <c r="I129" s="1" t="s">
        <v>987</v>
      </c>
    </row>
    <row r="130" spans="1:9" x14ac:dyDescent="0.25">
      <c r="A130" s="1" t="s">
        <v>1196</v>
      </c>
      <c r="B130" s="1" t="s">
        <v>1784</v>
      </c>
      <c r="C130" s="1" t="s">
        <v>1198</v>
      </c>
      <c r="D130" s="1" t="s">
        <v>1068</v>
      </c>
      <c r="E130" s="1" t="s">
        <v>1730</v>
      </c>
      <c r="F130" s="1" t="s">
        <v>1110</v>
      </c>
      <c r="G130" s="1">
        <v>27.5</v>
      </c>
      <c r="H130" s="78">
        <v>46084</v>
      </c>
      <c r="I130" s="1" t="s">
        <v>987</v>
      </c>
    </row>
    <row r="131" spans="1:9" x14ac:dyDescent="0.25">
      <c r="A131" s="1" t="s">
        <v>1196</v>
      </c>
      <c r="B131" s="1" t="s">
        <v>1777</v>
      </c>
      <c r="C131" s="1" t="s">
        <v>1198</v>
      </c>
      <c r="D131" s="1" t="s">
        <v>1068</v>
      </c>
      <c r="E131" s="1" t="s">
        <v>1730</v>
      </c>
      <c r="F131" s="1" t="s">
        <v>1110</v>
      </c>
      <c r="G131" s="1">
        <v>39.6</v>
      </c>
      <c r="H131" s="78">
        <v>46084</v>
      </c>
      <c r="I131" s="1" t="s">
        <v>987</v>
      </c>
    </row>
    <row r="132" spans="1:9" x14ac:dyDescent="0.25">
      <c r="A132" s="1" t="s">
        <v>1196</v>
      </c>
      <c r="B132" s="1" t="s">
        <v>1778</v>
      </c>
      <c r="C132" s="1" t="s">
        <v>1198</v>
      </c>
      <c r="D132" s="1" t="s">
        <v>1068</v>
      </c>
      <c r="E132" s="1" t="s">
        <v>1730</v>
      </c>
      <c r="F132" s="1" t="s">
        <v>1110</v>
      </c>
      <c r="G132" s="1">
        <v>10.56</v>
      </c>
      <c r="H132" s="78">
        <v>46084</v>
      </c>
      <c r="I132" s="1" t="s">
        <v>987</v>
      </c>
    </row>
    <row r="133" spans="1:9" x14ac:dyDescent="0.25">
      <c r="A133" s="1" t="s">
        <v>1196</v>
      </c>
      <c r="B133" s="1" t="s">
        <v>1779</v>
      </c>
      <c r="C133" s="1" t="s">
        <v>1198</v>
      </c>
      <c r="D133" s="1" t="s">
        <v>1068</v>
      </c>
      <c r="E133" s="1" t="s">
        <v>1730</v>
      </c>
      <c r="F133" s="1" t="s">
        <v>1110</v>
      </c>
      <c r="G133" s="1">
        <v>35.64</v>
      </c>
      <c r="H133" s="78">
        <v>46084</v>
      </c>
      <c r="I133" s="1" t="s">
        <v>987</v>
      </c>
    </row>
    <row r="134" spans="1:9" x14ac:dyDescent="0.25">
      <c r="A134" s="1" t="s">
        <v>1196</v>
      </c>
      <c r="B134" s="1" t="s">
        <v>1780</v>
      </c>
      <c r="C134" s="1" t="s">
        <v>1198</v>
      </c>
      <c r="D134" s="1" t="s">
        <v>1068</v>
      </c>
      <c r="E134" s="1" t="s">
        <v>1730</v>
      </c>
      <c r="F134" s="1" t="s">
        <v>1110</v>
      </c>
      <c r="G134" s="1">
        <v>12.32</v>
      </c>
      <c r="H134" s="78">
        <v>46084</v>
      </c>
      <c r="I134" s="1" t="s">
        <v>987</v>
      </c>
    </row>
    <row r="135" spans="1:9" x14ac:dyDescent="0.25">
      <c r="A135" s="1" t="s">
        <v>1196</v>
      </c>
      <c r="B135" s="1" t="s">
        <v>1786</v>
      </c>
      <c r="C135" s="1" t="s">
        <v>1198</v>
      </c>
      <c r="D135" s="1" t="s">
        <v>1068</v>
      </c>
      <c r="E135" s="1" t="s">
        <v>1762</v>
      </c>
      <c r="F135" s="1" t="s">
        <v>1110</v>
      </c>
      <c r="G135" s="1">
        <v>14.4</v>
      </c>
      <c r="H135" s="78">
        <v>46084</v>
      </c>
      <c r="I135" s="1" t="s">
        <v>987</v>
      </c>
    </row>
    <row r="136" spans="1:9" x14ac:dyDescent="0.25">
      <c r="A136" s="1" t="s">
        <v>1196</v>
      </c>
      <c r="B136" s="1" t="s">
        <v>1787</v>
      </c>
      <c r="C136" s="1" t="s">
        <v>1198</v>
      </c>
      <c r="D136" s="1" t="s">
        <v>1068</v>
      </c>
      <c r="E136" s="1" t="s">
        <v>1762</v>
      </c>
      <c r="F136" s="1" t="s">
        <v>1110</v>
      </c>
      <c r="G136" s="1">
        <v>13.2</v>
      </c>
      <c r="H136" s="78">
        <v>46084</v>
      </c>
      <c r="I136" s="1" t="s">
        <v>987</v>
      </c>
    </row>
    <row r="137" spans="1:9" x14ac:dyDescent="0.25">
      <c r="A137" s="1" t="s">
        <v>1196</v>
      </c>
      <c r="B137" s="1" t="s">
        <v>1785</v>
      </c>
      <c r="C137" s="1" t="s">
        <v>1198</v>
      </c>
      <c r="D137" s="1" t="s">
        <v>1068</v>
      </c>
      <c r="E137" s="1" t="s">
        <v>1762</v>
      </c>
      <c r="F137" s="1" t="s">
        <v>1110</v>
      </c>
      <c r="G137" s="1">
        <v>9</v>
      </c>
      <c r="H137" s="78">
        <v>46084</v>
      </c>
      <c r="I137" s="1" t="s">
        <v>987</v>
      </c>
    </row>
    <row r="138" spans="1:9" x14ac:dyDescent="0.25">
      <c r="A138" s="1" t="s">
        <v>1196</v>
      </c>
      <c r="B138" s="1" t="s">
        <v>1774</v>
      </c>
      <c r="C138" s="1" t="s">
        <v>1198</v>
      </c>
      <c r="D138" s="1" t="s">
        <v>1068</v>
      </c>
      <c r="E138" s="1" t="s">
        <v>1762</v>
      </c>
      <c r="F138" s="1" t="s">
        <v>1110</v>
      </c>
      <c r="G138" s="1">
        <v>1.2</v>
      </c>
      <c r="H138" s="78">
        <v>46084</v>
      </c>
      <c r="I138" s="1" t="s">
        <v>987</v>
      </c>
    </row>
    <row r="139" spans="1:9" x14ac:dyDescent="0.25">
      <c r="A139" s="1" t="s">
        <v>1196</v>
      </c>
      <c r="B139" s="1" t="s">
        <v>1775</v>
      </c>
      <c r="C139" s="1" t="s">
        <v>1198</v>
      </c>
      <c r="D139" s="1" t="s">
        <v>1068</v>
      </c>
      <c r="E139" s="1" t="s">
        <v>1762</v>
      </c>
      <c r="F139" s="1" t="s">
        <v>1110</v>
      </c>
      <c r="G139" s="1">
        <v>2.16</v>
      </c>
      <c r="H139" s="78">
        <v>46084</v>
      </c>
      <c r="I139" s="1" t="s">
        <v>987</v>
      </c>
    </row>
    <row r="140" spans="1:9" x14ac:dyDescent="0.25">
      <c r="A140" s="1" t="s">
        <v>1199</v>
      </c>
      <c r="B140" s="1" t="s">
        <v>1200</v>
      </c>
      <c r="C140" s="1" t="s">
        <v>1198</v>
      </c>
      <c r="D140" s="1" t="s">
        <v>1068</v>
      </c>
      <c r="E140" s="1" t="s">
        <v>1762</v>
      </c>
      <c r="F140" s="1" t="s">
        <v>1110</v>
      </c>
      <c r="G140" s="1">
        <v>45.22</v>
      </c>
      <c r="H140" s="78">
        <v>46084</v>
      </c>
      <c r="I140" s="1" t="s">
        <v>987</v>
      </c>
    </row>
    <row r="141" spans="1:9" x14ac:dyDescent="0.25">
      <c r="A141" s="1" t="s">
        <v>1196</v>
      </c>
      <c r="B141" s="1" t="s">
        <v>1777</v>
      </c>
      <c r="C141" s="1" t="s">
        <v>1198</v>
      </c>
      <c r="D141" s="1" t="s">
        <v>1068</v>
      </c>
      <c r="E141" s="1" t="s">
        <v>1762</v>
      </c>
      <c r="F141" s="1" t="s">
        <v>1110</v>
      </c>
      <c r="G141" s="1">
        <v>13.2</v>
      </c>
      <c r="H141" s="78">
        <v>46084</v>
      </c>
      <c r="I141" s="1" t="s">
        <v>987</v>
      </c>
    </row>
    <row r="142" spans="1:9" x14ac:dyDescent="0.25">
      <c r="A142" s="1" t="s">
        <v>1196</v>
      </c>
      <c r="B142" s="1" t="s">
        <v>1786</v>
      </c>
      <c r="C142" s="1" t="s">
        <v>1198</v>
      </c>
      <c r="D142" s="1" t="s">
        <v>1068</v>
      </c>
      <c r="E142" s="1" t="s">
        <v>1765</v>
      </c>
      <c r="F142" s="1" t="s">
        <v>1110</v>
      </c>
      <c r="G142" s="1">
        <v>9.6</v>
      </c>
      <c r="H142" s="78">
        <v>46084</v>
      </c>
      <c r="I142" s="1" t="s">
        <v>987</v>
      </c>
    </row>
    <row r="143" spans="1:9" x14ac:dyDescent="0.25">
      <c r="A143" s="1" t="s">
        <v>1196</v>
      </c>
      <c r="B143" s="1" t="s">
        <v>1787</v>
      </c>
      <c r="C143" s="1" t="s">
        <v>1198</v>
      </c>
      <c r="D143" s="1" t="s">
        <v>1068</v>
      </c>
      <c r="E143" s="1" t="s">
        <v>1765</v>
      </c>
      <c r="F143" s="1" t="s">
        <v>1110</v>
      </c>
      <c r="G143" s="1">
        <v>7.2</v>
      </c>
      <c r="H143" s="78">
        <v>46084</v>
      </c>
      <c r="I143" s="1" t="s">
        <v>987</v>
      </c>
    </row>
    <row r="144" spans="1:9" x14ac:dyDescent="0.25">
      <c r="A144" s="1" t="s">
        <v>1196</v>
      </c>
      <c r="B144" s="1" t="s">
        <v>1785</v>
      </c>
      <c r="C144" s="1" t="s">
        <v>1198</v>
      </c>
      <c r="D144" s="1" t="s">
        <v>1068</v>
      </c>
      <c r="E144" s="1" t="s">
        <v>1765</v>
      </c>
      <c r="F144" s="1" t="s">
        <v>1110</v>
      </c>
      <c r="G144" s="1">
        <v>5.4</v>
      </c>
      <c r="H144" s="78">
        <v>46084</v>
      </c>
      <c r="I144" s="1" t="s">
        <v>987</v>
      </c>
    </row>
    <row r="145" spans="1:9" x14ac:dyDescent="0.25">
      <c r="A145" s="1" t="s">
        <v>1196</v>
      </c>
      <c r="B145" s="1" t="s">
        <v>1774</v>
      </c>
      <c r="C145" s="1" t="s">
        <v>1198</v>
      </c>
      <c r="D145" s="1" t="s">
        <v>1068</v>
      </c>
      <c r="E145" s="1" t="s">
        <v>1765</v>
      </c>
      <c r="F145" s="1" t="s">
        <v>1110</v>
      </c>
      <c r="G145" s="1">
        <v>1.08</v>
      </c>
      <c r="H145" s="78">
        <v>46084</v>
      </c>
      <c r="I145" s="1" t="s">
        <v>987</v>
      </c>
    </row>
    <row r="146" spans="1:9" x14ac:dyDescent="0.25">
      <c r="A146" s="1" t="s">
        <v>1196</v>
      </c>
      <c r="B146" s="1" t="s">
        <v>1775</v>
      </c>
      <c r="C146" s="1" t="s">
        <v>1198</v>
      </c>
      <c r="D146" s="1" t="s">
        <v>1068</v>
      </c>
      <c r="E146" s="1" t="s">
        <v>1765</v>
      </c>
      <c r="F146" s="1" t="s">
        <v>1110</v>
      </c>
      <c r="G146" s="1">
        <v>0.72</v>
      </c>
      <c r="H146" s="78">
        <v>46084</v>
      </c>
      <c r="I146" s="1" t="s">
        <v>987</v>
      </c>
    </row>
    <row r="147" spans="1:9" x14ac:dyDescent="0.25">
      <c r="A147" s="1" t="s">
        <v>1199</v>
      </c>
      <c r="B147" s="1" t="s">
        <v>1200</v>
      </c>
      <c r="C147" s="1" t="s">
        <v>1198</v>
      </c>
      <c r="D147" s="1" t="s">
        <v>1068</v>
      </c>
      <c r="E147" s="1" t="s">
        <v>1765</v>
      </c>
      <c r="F147" s="1" t="s">
        <v>1110</v>
      </c>
      <c r="G147" s="1">
        <v>26.88</v>
      </c>
      <c r="H147" s="78">
        <v>46084</v>
      </c>
      <c r="I147" s="1" t="s">
        <v>987</v>
      </c>
    </row>
    <row r="148" spans="1:9" x14ac:dyDescent="0.25">
      <c r="A148" s="1" t="s">
        <v>1196</v>
      </c>
      <c r="B148" s="1" t="s">
        <v>1777</v>
      </c>
      <c r="C148" s="1" t="s">
        <v>1198</v>
      </c>
      <c r="D148" s="1" t="s">
        <v>1068</v>
      </c>
      <c r="E148" s="1" t="s">
        <v>1765</v>
      </c>
      <c r="F148" s="1" t="s">
        <v>1110</v>
      </c>
      <c r="G148" s="1">
        <v>13.2</v>
      </c>
      <c r="H148" s="78">
        <v>46084</v>
      </c>
      <c r="I148" s="1" t="s">
        <v>987</v>
      </c>
    </row>
    <row r="149" spans="1:9" x14ac:dyDescent="0.25">
      <c r="A149" s="1" t="s">
        <v>1196</v>
      </c>
      <c r="B149" s="1" t="s">
        <v>1781</v>
      </c>
      <c r="C149" s="1" t="s">
        <v>1198</v>
      </c>
      <c r="D149" s="1" t="s">
        <v>1070</v>
      </c>
      <c r="E149" s="1" t="s">
        <v>1727</v>
      </c>
      <c r="F149" s="1" t="s">
        <v>1110</v>
      </c>
      <c r="G149" s="1">
        <v>1.44</v>
      </c>
      <c r="H149" s="78">
        <v>46084</v>
      </c>
      <c r="I149" s="1" t="s">
        <v>987</v>
      </c>
    </row>
    <row r="150" spans="1:9" x14ac:dyDescent="0.25">
      <c r="A150" s="1" t="s">
        <v>1196</v>
      </c>
      <c r="B150" s="1" t="s">
        <v>1788</v>
      </c>
      <c r="C150" s="1" t="s">
        <v>1198</v>
      </c>
      <c r="D150" s="1" t="s">
        <v>1070</v>
      </c>
      <c r="E150" s="1" t="s">
        <v>1727</v>
      </c>
      <c r="F150" s="1" t="s">
        <v>1110</v>
      </c>
      <c r="G150" s="1">
        <v>0.96</v>
      </c>
      <c r="H150" s="78">
        <v>46084</v>
      </c>
      <c r="I150" s="1" t="s">
        <v>987</v>
      </c>
    </row>
    <row r="151" spans="1:9" x14ac:dyDescent="0.25">
      <c r="A151" s="1" t="s">
        <v>1196</v>
      </c>
      <c r="B151" s="1" t="s">
        <v>1775</v>
      </c>
      <c r="C151" s="1" t="s">
        <v>1198</v>
      </c>
      <c r="D151" s="1" t="s">
        <v>1070</v>
      </c>
      <c r="E151" s="1" t="s">
        <v>1727</v>
      </c>
      <c r="F151" s="1" t="s">
        <v>1110</v>
      </c>
      <c r="G151" s="1">
        <v>0.36</v>
      </c>
      <c r="H151" s="78">
        <v>46084</v>
      </c>
      <c r="I151" s="1" t="s">
        <v>987</v>
      </c>
    </row>
    <row r="152" spans="1:9" x14ac:dyDescent="0.25">
      <c r="A152" s="1" t="s">
        <v>1196</v>
      </c>
      <c r="B152" s="1" t="s">
        <v>1777</v>
      </c>
      <c r="C152" s="1" t="s">
        <v>1198</v>
      </c>
      <c r="D152" s="1" t="s">
        <v>1070</v>
      </c>
      <c r="E152" s="1" t="s">
        <v>1727</v>
      </c>
      <c r="F152" s="1" t="s">
        <v>1110</v>
      </c>
      <c r="G152" s="1">
        <v>6.6</v>
      </c>
      <c r="H152" s="78">
        <v>46084</v>
      </c>
      <c r="I152" s="1" t="s">
        <v>987</v>
      </c>
    </row>
    <row r="153" spans="1:9" x14ac:dyDescent="0.25">
      <c r="A153" s="1" t="s">
        <v>1196</v>
      </c>
      <c r="B153" s="1" t="s">
        <v>1779</v>
      </c>
      <c r="C153" s="1" t="s">
        <v>1198</v>
      </c>
      <c r="D153" s="1" t="s">
        <v>1070</v>
      </c>
      <c r="E153" s="1" t="s">
        <v>1727</v>
      </c>
      <c r="F153" s="1" t="s">
        <v>1110</v>
      </c>
      <c r="G153" s="1">
        <v>11.88</v>
      </c>
      <c r="H153" s="78">
        <v>46084</v>
      </c>
      <c r="I153" s="1" t="s">
        <v>987</v>
      </c>
    </row>
    <row r="154" spans="1:9" x14ac:dyDescent="0.25">
      <c r="A154" s="1" t="s">
        <v>1196</v>
      </c>
      <c r="B154" s="1" t="s">
        <v>1780</v>
      </c>
      <c r="C154" s="1" t="s">
        <v>1198</v>
      </c>
      <c r="D154" s="1" t="s">
        <v>1070</v>
      </c>
      <c r="E154" s="1" t="s">
        <v>1727</v>
      </c>
      <c r="F154" s="1" t="s">
        <v>1110</v>
      </c>
      <c r="G154" s="1">
        <v>5.28</v>
      </c>
      <c r="H154" s="78">
        <v>46084</v>
      </c>
      <c r="I154" s="1" t="s">
        <v>987</v>
      </c>
    </row>
    <row r="155" spans="1:9" x14ac:dyDescent="0.25">
      <c r="A155" s="1" t="s">
        <v>1196</v>
      </c>
      <c r="B155" s="1" t="s">
        <v>1789</v>
      </c>
      <c r="C155" s="1" t="s">
        <v>1198</v>
      </c>
      <c r="D155" s="1" t="s">
        <v>1070</v>
      </c>
      <c r="E155" s="1" t="s">
        <v>1729</v>
      </c>
      <c r="F155" s="1" t="s">
        <v>1110</v>
      </c>
      <c r="G155" s="1">
        <v>19.2</v>
      </c>
      <c r="H155" s="78">
        <v>46084</v>
      </c>
      <c r="I155" s="1" t="s">
        <v>987</v>
      </c>
    </row>
    <row r="156" spans="1:9" x14ac:dyDescent="0.25">
      <c r="A156" s="1" t="s">
        <v>1196</v>
      </c>
      <c r="B156" s="1" t="s">
        <v>1790</v>
      </c>
      <c r="C156" s="1" t="s">
        <v>1198</v>
      </c>
      <c r="D156" s="1" t="s">
        <v>1070</v>
      </c>
      <c r="E156" s="1" t="s">
        <v>1729</v>
      </c>
      <c r="F156" s="1" t="s">
        <v>1110</v>
      </c>
      <c r="G156" s="1">
        <v>8.89</v>
      </c>
      <c r="H156" s="78">
        <v>46084</v>
      </c>
      <c r="I156" s="1" t="s">
        <v>987</v>
      </c>
    </row>
    <row r="157" spans="1:9" x14ac:dyDescent="0.25">
      <c r="A157" s="1" t="s">
        <v>1196</v>
      </c>
      <c r="B157" s="1" t="s">
        <v>1791</v>
      </c>
      <c r="C157" s="1" t="s">
        <v>1198</v>
      </c>
      <c r="D157" s="1" t="s">
        <v>1070</v>
      </c>
      <c r="E157" s="1" t="s">
        <v>1729</v>
      </c>
      <c r="F157" s="1" t="s">
        <v>1110</v>
      </c>
      <c r="G157" s="1">
        <v>24.95</v>
      </c>
      <c r="H157" s="78">
        <v>46084</v>
      </c>
      <c r="I157" s="1" t="s">
        <v>987</v>
      </c>
    </row>
    <row r="158" spans="1:9" x14ac:dyDescent="0.25">
      <c r="A158" s="1" t="s">
        <v>1196</v>
      </c>
      <c r="B158" s="1" t="s">
        <v>1792</v>
      </c>
      <c r="C158" s="1" t="s">
        <v>1198</v>
      </c>
      <c r="D158" s="1" t="s">
        <v>1070</v>
      </c>
      <c r="E158" s="1" t="s">
        <v>1729</v>
      </c>
      <c r="F158" s="1" t="s">
        <v>1110</v>
      </c>
      <c r="G158" s="1">
        <v>12.47</v>
      </c>
      <c r="H158" s="78">
        <v>46084</v>
      </c>
      <c r="I158" s="1" t="s">
        <v>987</v>
      </c>
    </row>
    <row r="159" spans="1:9" x14ac:dyDescent="0.25">
      <c r="A159" s="1" t="s">
        <v>1196</v>
      </c>
      <c r="B159" s="1" t="s">
        <v>1775</v>
      </c>
      <c r="C159" s="1" t="s">
        <v>1198</v>
      </c>
      <c r="D159" s="1" t="s">
        <v>1070</v>
      </c>
      <c r="E159" s="1" t="s">
        <v>1729</v>
      </c>
      <c r="F159" s="1" t="s">
        <v>1110</v>
      </c>
      <c r="G159" s="1">
        <v>0.36</v>
      </c>
      <c r="H159" s="78">
        <v>46084</v>
      </c>
      <c r="I159" s="1" t="s">
        <v>987</v>
      </c>
    </row>
    <row r="160" spans="1:9" x14ac:dyDescent="0.25">
      <c r="A160" s="1" t="s">
        <v>1199</v>
      </c>
      <c r="B160" s="1" t="s">
        <v>1200</v>
      </c>
      <c r="C160" s="1" t="s">
        <v>1198</v>
      </c>
      <c r="D160" s="1" t="s">
        <v>1070</v>
      </c>
      <c r="E160" s="1" t="s">
        <v>1729</v>
      </c>
      <c r="F160" s="1" t="s">
        <v>1110</v>
      </c>
      <c r="G160" s="1">
        <v>28.18</v>
      </c>
      <c r="H160" s="78">
        <v>46084</v>
      </c>
      <c r="I160" s="1" t="s">
        <v>987</v>
      </c>
    </row>
    <row r="161" spans="1:9" x14ac:dyDescent="0.25">
      <c r="A161" s="1" t="s">
        <v>1196</v>
      </c>
      <c r="B161" s="1" t="s">
        <v>1777</v>
      </c>
      <c r="C161" s="1" t="s">
        <v>1198</v>
      </c>
      <c r="D161" s="1" t="s">
        <v>1070</v>
      </c>
      <c r="E161" s="1" t="s">
        <v>1729</v>
      </c>
      <c r="F161" s="1" t="s">
        <v>1110</v>
      </c>
      <c r="G161" s="1">
        <v>3.3</v>
      </c>
      <c r="H161" s="78">
        <v>46084</v>
      </c>
      <c r="I161" s="1" t="s">
        <v>987</v>
      </c>
    </row>
    <row r="162" spans="1:9" x14ac:dyDescent="0.25">
      <c r="A162" s="1" t="s">
        <v>1196</v>
      </c>
      <c r="B162" s="1" t="s">
        <v>1780</v>
      </c>
      <c r="C162" s="1" t="s">
        <v>1198</v>
      </c>
      <c r="D162" s="1" t="s">
        <v>1070</v>
      </c>
      <c r="E162" s="1" t="s">
        <v>1729</v>
      </c>
      <c r="F162" s="1" t="s">
        <v>1110</v>
      </c>
      <c r="G162" s="1">
        <v>5.28</v>
      </c>
      <c r="H162" s="78">
        <v>46084</v>
      </c>
      <c r="I162" s="1" t="s">
        <v>987</v>
      </c>
    </row>
    <row r="163" spans="1:9" x14ac:dyDescent="0.25">
      <c r="A163" s="1" t="s">
        <v>1201</v>
      </c>
      <c r="B163" s="1" t="s">
        <v>1202</v>
      </c>
      <c r="C163" s="1" t="s">
        <v>1203</v>
      </c>
      <c r="D163" s="1" t="s">
        <v>1068</v>
      </c>
      <c r="E163" s="1" t="s">
        <v>1542</v>
      </c>
      <c r="F163" s="1" t="s">
        <v>1084</v>
      </c>
      <c r="G163" s="1">
        <v>1</v>
      </c>
      <c r="H163" s="78">
        <v>46084</v>
      </c>
      <c r="I163" s="1" t="s">
        <v>987</v>
      </c>
    </row>
    <row r="164" spans="1:9" x14ac:dyDescent="0.25">
      <c r="A164" s="1" t="s">
        <v>1204</v>
      </c>
      <c r="B164" s="1" t="s">
        <v>1205</v>
      </c>
      <c r="C164" s="1" t="s">
        <v>1203</v>
      </c>
      <c r="D164" s="1" t="s">
        <v>1068</v>
      </c>
      <c r="E164" s="1" t="s">
        <v>1542</v>
      </c>
      <c r="F164" s="1" t="s">
        <v>1084</v>
      </c>
      <c r="G164" s="1">
        <v>1</v>
      </c>
      <c r="H164" s="78">
        <v>46084</v>
      </c>
      <c r="I164" s="1" t="s">
        <v>987</v>
      </c>
    </row>
    <row r="165" spans="1:9" x14ac:dyDescent="0.25">
      <c r="A165" s="1" t="s">
        <v>1206</v>
      </c>
      <c r="B165" s="1" t="s">
        <v>1207</v>
      </c>
      <c r="C165" s="1" t="s">
        <v>1203</v>
      </c>
      <c r="D165" s="1" t="s">
        <v>1068</v>
      </c>
      <c r="E165" s="1" t="s">
        <v>1542</v>
      </c>
      <c r="F165" s="1" t="s">
        <v>1110</v>
      </c>
      <c r="G165" s="1">
        <v>43.16</v>
      </c>
      <c r="H165" s="78">
        <v>46084</v>
      </c>
      <c r="I165" s="1" t="s">
        <v>987</v>
      </c>
    </row>
    <row r="166" spans="1:9" x14ac:dyDescent="0.25">
      <c r="A166" s="1" t="s">
        <v>1208</v>
      </c>
      <c r="B166" s="1" t="s">
        <v>1209</v>
      </c>
      <c r="C166" s="1" t="s">
        <v>1203</v>
      </c>
      <c r="D166" s="1" t="s">
        <v>1068</v>
      </c>
      <c r="E166" s="1" t="s">
        <v>1542</v>
      </c>
      <c r="F166" s="1" t="s">
        <v>1084</v>
      </c>
      <c r="G166" s="1">
        <v>1</v>
      </c>
      <c r="H166" s="78">
        <v>46084</v>
      </c>
      <c r="I166" s="1" t="s">
        <v>987</v>
      </c>
    </row>
    <row r="167" spans="1:9" x14ac:dyDescent="0.25">
      <c r="A167" s="1" t="s">
        <v>1210</v>
      </c>
      <c r="B167" s="1" t="s">
        <v>1211</v>
      </c>
      <c r="C167" s="1" t="s">
        <v>1203</v>
      </c>
      <c r="D167" s="1" t="s">
        <v>1068</v>
      </c>
      <c r="E167" s="1" t="s">
        <v>1542</v>
      </c>
      <c r="F167" s="1" t="s">
        <v>1110</v>
      </c>
      <c r="G167" s="1">
        <v>6.74</v>
      </c>
      <c r="H167" s="78">
        <v>46084</v>
      </c>
      <c r="I167" s="1" t="s">
        <v>987</v>
      </c>
    </row>
    <row r="168" spans="1:9" x14ac:dyDescent="0.25">
      <c r="A168" s="1" t="s">
        <v>1212</v>
      </c>
      <c r="B168" s="1" t="s">
        <v>1213</v>
      </c>
      <c r="C168" s="1" t="s">
        <v>1203</v>
      </c>
      <c r="D168" s="1" t="s">
        <v>1068</v>
      </c>
      <c r="E168" s="1" t="s">
        <v>1542</v>
      </c>
      <c r="F168" s="1" t="s">
        <v>1110</v>
      </c>
      <c r="G168" s="1">
        <v>11.24</v>
      </c>
      <c r="H168" s="78">
        <v>46084</v>
      </c>
      <c r="I168" s="1" t="s">
        <v>987</v>
      </c>
    </row>
    <row r="169" spans="1:9" x14ac:dyDescent="0.25">
      <c r="A169" s="1" t="s">
        <v>1214</v>
      </c>
      <c r="B169" s="1" t="s">
        <v>1793</v>
      </c>
      <c r="C169" s="1" t="s">
        <v>1216</v>
      </c>
      <c r="D169" s="1" t="s">
        <v>1068</v>
      </c>
      <c r="E169" s="1" t="s">
        <v>1729</v>
      </c>
      <c r="F169" s="1" t="s">
        <v>1084</v>
      </c>
      <c r="G169" s="1">
        <v>1</v>
      </c>
      <c r="H169" s="78">
        <v>46084</v>
      </c>
      <c r="I169" s="1" t="s">
        <v>987</v>
      </c>
    </row>
    <row r="170" spans="1:9" x14ac:dyDescent="0.25">
      <c r="A170" s="1" t="s">
        <v>1214</v>
      </c>
      <c r="B170" s="1" t="s">
        <v>1794</v>
      </c>
      <c r="C170" s="1" t="s">
        <v>1216</v>
      </c>
      <c r="D170" s="1" t="s">
        <v>1068</v>
      </c>
      <c r="E170" s="1" t="s">
        <v>1729</v>
      </c>
      <c r="F170" s="1" t="s">
        <v>1084</v>
      </c>
      <c r="G170" s="1">
        <v>1</v>
      </c>
      <c r="H170" s="78">
        <v>46084</v>
      </c>
      <c r="I170" s="1" t="s">
        <v>987</v>
      </c>
    </row>
    <row r="171" spans="1:9" x14ac:dyDescent="0.25">
      <c r="A171" s="1" t="s">
        <v>1214</v>
      </c>
      <c r="B171" s="1" t="s">
        <v>1795</v>
      </c>
      <c r="C171" s="1" t="s">
        <v>1216</v>
      </c>
      <c r="D171" s="1" t="s">
        <v>1068</v>
      </c>
      <c r="E171" s="1" t="s">
        <v>1729</v>
      </c>
      <c r="F171" s="1" t="s">
        <v>1084</v>
      </c>
      <c r="G171" s="1">
        <v>1</v>
      </c>
      <c r="H171" s="78">
        <v>46084</v>
      </c>
      <c r="I171" s="1" t="s">
        <v>987</v>
      </c>
    </row>
    <row r="172" spans="1:9" x14ac:dyDescent="0.25">
      <c r="A172" s="1" t="s">
        <v>1214</v>
      </c>
      <c r="B172" s="1" t="s">
        <v>1796</v>
      </c>
      <c r="C172" s="1" t="s">
        <v>1216</v>
      </c>
      <c r="D172" s="1" t="s">
        <v>1068</v>
      </c>
      <c r="E172" s="1" t="s">
        <v>1729</v>
      </c>
      <c r="F172" s="1" t="s">
        <v>1084</v>
      </c>
      <c r="G172" s="1">
        <v>1</v>
      </c>
      <c r="H172" s="78">
        <v>46084</v>
      </c>
      <c r="I172" s="1" t="s">
        <v>987</v>
      </c>
    </row>
    <row r="173" spans="1:9" x14ac:dyDescent="0.25">
      <c r="A173" s="1" t="s">
        <v>1214</v>
      </c>
      <c r="B173" s="1" t="s">
        <v>1797</v>
      </c>
      <c r="C173" s="1" t="s">
        <v>1216</v>
      </c>
      <c r="D173" s="1" t="s">
        <v>1068</v>
      </c>
      <c r="E173" s="1" t="s">
        <v>1729</v>
      </c>
      <c r="F173" s="1" t="s">
        <v>1084</v>
      </c>
      <c r="G173" s="1">
        <v>1</v>
      </c>
      <c r="H173" s="78">
        <v>46084</v>
      </c>
      <c r="I173" s="1" t="s">
        <v>987</v>
      </c>
    </row>
    <row r="174" spans="1:9" x14ac:dyDescent="0.25">
      <c r="A174" s="1" t="s">
        <v>1214</v>
      </c>
      <c r="B174" s="1" t="s">
        <v>1798</v>
      </c>
      <c r="C174" s="1" t="s">
        <v>1216</v>
      </c>
      <c r="D174" s="1" t="s">
        <v>1068</v>
      </c>
      <c r="E174" s="1" t="s">
        <v>1729</v>
      </c>
      <c r="F174" s="1" t="s">
        <v>1084</v>
      </c>
      <c r="G174" s="1">
        <v>1</v>
      </c>
      <c r="H174" s="78">
        <v>46084</v>
      </c>
      <c r="I174" s="1" t="s">
        <v>987</v>
      </c>
    </row>
    <row r="175" spans="1:9" x14ac:dyDescent="0.25">
      <c r="A175" s="1" t="s">
        <v>1217</v>
      </c>
      <c r="B175" s="1" t="s">
        <v>1799</v>
      </c>
      <c r="C175" s="1" t="s">
        <v>1216</v>
      </c>
      <c r="D175" s="1" t="s">
        <v>1068</v>
      </c>
      <c r="E175" s="1" t="s">
        <v>1762</v>
      </c>
      <c r="F175" s="1" t="s">
        <v>1084</v>
      </c>
      <c r="G175" s="1">
        <v>7</v>
      </c>
      <c r="H175" s="78">
        <v>46084</v>
      </c>
      <c r="I175" s="1" t="s">
        <v>987</v>
      </c>
    </row>
    <row r="176" spans="1:9" x14ac:dyDescent="0.25">
      <c r="A176" s="1" t="s">
        <v>1214</v>
      </c>
      <c r="B176" s="1" t="s">
        <v>1800</v>
      </c>
      <c r="C176" s="1" t="s">
        <v>1216</v>
      </c>
      <c r="D176" s="1" t="s">
        <v>1068</v>
      </c>
      <c r="E176" s="1" t="s">
        <v>1762</v>
      </c>
      <c r="F176" s="1" t="s">
        <v>1084</v>
      </c>
      <c r="G176" s="1">
        <v>2</v>
      </c>
      <c r="H176" s="78">
        <v>46084</v>
      </c>
      <c r="I176" s="1" t="s">
        <v>987</v>
      </c>
    </row>
    <row r="177" spans="1:9" x14ac:dyDescent="0.25">
      <c r="A177" s="1" t="s">
        <v>1214</v>
      </c>
      <c r="B177" s="1" t="s">
        <v>1801</v>
      </c>
      <c r="C177" s="1" t="s">
        <v>1216</v>
      </c>
      <c r="D177" s="1" t="s">
        <v>1068</v>
      </c>
      <c r="E177" s="1" t="s">
        <v>1762</v>
      </c>
      <c r="F177" s="1" t="s">
        <v>1084</v>
      </c>
      <c r="G177" s="1">
        <v>1</v>
      </c>
      <c r="H177" s="78">
        <v>46084</v>
      </c>
      <c r="I177" s="1" t="s">
        <v>987</v>
      </c>
    </row>
    <row r="178" spans="1:9" x14ac:dyDescent="0.25">
      <c r="A178" s="1" t="s">
        <v>1219</v>
      </c>
      <c r="B178" s="1" t="s">
        <v>1220</v>
      </c>
      <c r="C178" s="1" t="s">
        <v>1216</v>
      </c>
      <c r="D178" s="1" t="s">
        <v>1068</v>
      </c>
      <c r="E178" s="1" t="s">
        <v>1762</v>
      </c>
      <c r="F178" s="1" t="s">
        <v>1177</v>
      </c>
      <c r="G178" s="1">
        <v>3.36</v>
      </c>
      <c r="H178" s="78">
        <v>46084</v>
      </c>
      <c r="I178" s="1" t="s">
        <v>987</v>
      </c>
    </row>
    <row r="179" spans="1:9" x14ac:dyDescent="0.25">
      <c r="A179" s="1" t="s">
        <v>1221</v>
      </c>
      <c r="B179" s="1" t="s">
        <v>1222</v>
      </c>
      <c r="C179" s="1" t="s">
        <v>1216</v>
      </c>
      <c r="D179" s="1" t="s">
        <v>1068</v>
      </c>
      <c r="E179" s="1" t="s">
        <v>1762</v>
      </c>
      <c r="F179" s="1" t="s">
        <v>1177</v>
      </c>
      <c r="G179" s="1">
        <v>3.36</v>
      </c>
      <c r="H179" s="78">
        <v>46084</v>
      </c>
      <c r="I179" s="1" t="s">
        <v>987</v>
      </c>
    </row>
    <row r="180" spans="1:9" x14ac:dyDescent="0.25">
      <c r="A180" s="1" t="s">
        <v>1217</v>
      </c>
      <c r="B180" s="1" t="s">
        <v>1799</v>
      </c>
      <c r="C180" s="1" t="s">
        <v>1216</v>
      </c>
      <c r="D180" s="1" t="s">
        <v>1068</v>
      </c>
      <c r="E180" s="1" t="s">
        <v>1765</v>
      </c>
      <c r="F180" s="1" t="s">
        <v>1084</v>
      </c>
      <c r="G180" s="1">
        <v>4</v>
      </c>
      <c r="H180" s="78">
        <v>46084</v>
      </c>
      <c r="I180" s="1" t="s">
        <v>987</v>
      </c>
    </row>
    <row r="181" spans="1:9" x14ac:dyDescent="0.25">
      <c r="A181" s="1" t="s">
        <v>1214</v>
      </c>
      <c r="B181" s="1" t="s">
        <v>1802</v>
      </c>
      <c r="C181" s="1" t="s">
        <v>1216</v>
      </c>
      <c r="D181" s="1" t="s">
        <v>1068</v>
      </c>
      <c r="E181" s="1" t="s">
        <v>1765</v>
      </c>
      <c r="F181" s="1" t="s">
        <v>1084</v>
      </c>
      <c r="G181" s="1">
        <v>2</v>
      </c>
      <c r="H181" s="78">
        <v>46084</v>
      </c>
      <c r="I181" s="1" t="s">
        <v>987</v>
      </c>
    </row>
    <row r="182" spans="1:9" x14ac:dyDescent="0.25">
      <c r="A182" s="1" t="s">
        <v>1214</v>
      </c>
      <c r="B182" s="1" t="s">
        <v>1803</v>
      </c>
      <c r="C182" s="1" t="s">
        <v>1216</v>
      </c>
      <c r="D182" s="1" t="s">
        <v>1068</v>
      </c>
      <c r="E182" s="1" t="s">
        <v>1765</v>
      </c>
      <c r="F182" s="1" t="s">
        <v>1084</v>
      </c>
      <c r="G182" s="1">
        <v>2</v>
      </c>
      <c r="H182" s="78">
        <v>46084</v>
      </c>
      <c r="I182" s="1" t="s">
        <v>987</v>
      </c>
    </row>
    <row r="183" spans="1:9" x14ac:dyDescent="0.25">
      <c r="A183" s="1" t="s">
        <v>1219</v>
      </c>
      <c r="B183" s="1" t="s">
        <v>1220</v>
      </c>
      <c r="C183" s="1" t="s">
        <v>1216</v>
      </c>
      <c r="D183" s="1" t="s">
        <v>1070</v>
      </c>
      <c r="E183" s="1" t="s">
        <v>1727</v>
      </c>
      <c r="F183" s="1" t="s">
        <v>1177</v>
      </c>
      <c r="G183" s="1">
        <v>2.94</v>
      </c>
      <c r="H183" s="78">
        <v>46084</v>
      </c>
      <c r="I183" s="1" t="s">
        <v>987</v>
      </c>
    </row>
    <row r="184" spans="1:9" x14ac:dyDescent="0.25">
      <c r="A184" s="1" t="s">
        <v>1221</v>
      </c>
      <c r="B184" s="1" t="s">
        <v>1222</v>
      </c>
      <c r="C184" s="1" t="s">
        <v>1216</v>
      </c>
      <c r="D184" s="1" t="s">
        <v>1070</v>
      </c>
      <c r="E184" s="1" t="s">
        <v>1727</v>
      </c>
      <c r="F184" s="1" t="s">
        <v>1177</v>
      </c>
      <c r="G184" s="1">
        <v>2.94</v>
      </c>
      <c r="H184" s="78">
        <v>46084</v>
      </c>
      <c r="I184" s="1" t="s">
        <v>987</v>
      </c>
    </row>
    <row r="185" spans="1:9" x14ac:dyDescent="0.25">
      <c r="A185" s="1" t="s">
        <v>1223</v>
      </c>
      <c r="B185" s="1" t="s">
        <v>1224</v>
      </c>
      <c r="C185" s="1" t="s">
        <v>1216</v>
      </c>
      <c r="D185" s="1" t="s">
        <v>1070</v>
      </c>
      <c r="E185" s="1" t="s">
        <v>1727</v>
      </c>
      <c r="F185" s="1" t="s">
        <v>1177</v>
      </c>
      <c r="G185" s="1">
        <v>2.25</v>
      </c>
      <c r="H185" s="78">
        <v>46084</v>
      </c>
      <c r="I185" s="1" t="s">
        <v>987</v>
      </c>
    </row>
    <row r="186" spans="1:9" x14ac:dyDescent="0.25">
      <c r="A186" s="1" t="s">
        <v>1225</v>
      </c>
      <c r="B186" s="1" t="s">
        <v>1226</v>
      </c>
      <c r="C186" s="1" t="s">
        <v>1216</v>
      </c>
      <c r="D186" s="1" t="s">
        <v>1070</v>
      </c>
      <c r="E186" s="1" t="s">
        <v>1727</v>
      </c>
      <c r="F186" s="1" t="s">
        <v>1177</v>
      </c>
      <c r="G186" s="1">
        <v>2.25</v>
      </c>
      <c r="H186" s="78">
        <v>46084</v>
      </c>
      <c r="I186" s="1" t="s">
        <v>987</v>
      </c>
    </row>
    <row r="187" spans="1:9" x14ac:dyDescent="0.25">
      <c r="A187" s="1" t="s">
        <v>1227</v>
      </c>
      <c r="B187" s="1" t="s">
        <v>1228</v>
      </c>
      <c r="C187" s="1" t="s">
        <v>1229</v>
      </c>
      <c r="D187" s="1" t="s">
        <v>1068</v>
      </c>
      <c r="E187" s="1" t="s">
        <v>1542</v>
      </c>
      <c r="F187" s="1" t="s">
        <v>1084</v>
      </c>
      <c r="G187" s="1">
        <v>135</v>
      </c>
      <c r="H187" s="78">
        <v>46084</v>
      </c>
      <c r="I187" s="1" t="s">
        <v>987</v>
      </c>
    </row>
    <row r="188" spans="1:9" x14ac:dyDescent="0.25">
      <c r="A188" s="1" t="s">
        <v>1230</v>
      </c>
      <c r="B188" s="1" t="s">
        <v>1231</v>
      </c>
      <c r="C188" s="1" t="s">
        <v>1229</v>
      </c>
      <c r="D188" s="1" t="s">
        <v>1068</v>
      </c>
      <c r="E188" s="1" t="s">
        <v>1542</v>
      </c>
      <c r="F188" s="1" t="s">
        <v>1084</v>
      </c>
      <c r="G188" s="1">
        <v>257</v>
      </c>
      <c r="H188" s="78">
        <v>46084</v>
      </c>
      <c r="I188" s="1" t="s">
        <v>987</v>
      </c>
    </row>
    <row r="189" spans="1:9" x14ac:dyDescent="0.25">
      <c r="A189" s="1" t="s">
        <v>1232</v>
      </c>
      <c r="B189" s="1" t="s">
        <v>1233</v>
      </c>
      <c r="C189" s="1" t="s">
        <v>1229</v>
      </c>
      <c r="D189" s="1" t="s">
        <v>1068</v>
      </c>
      <c r="E189" s="1" t="s">
        <v>1542</v>
      </c>
      <c r="F189" s="1" t="s">
        <v>1084</v>
      </c>
      <c r="G189" s="1">
        <v>20</v>
      </c>
      <c r="H189" s="78">
        <v>46084</v>
      </c>
      <c r="I189" s="1" t="s">
        <v>987</v>
      </c>
    </row>
    <row r="190" spans="1:9" x14ac:dyDescent="0.25">
      <c r="A190" s="1" t="s">
        <v>1234</v>
      </c>
      <c r="B190" s="1" t="s">
        <v>1235</v>
      </c>
      <c r="C190" s="1" t="s">
        <v>1229</v>
      </c>
      <c r="D190" s="1" t="s">
        <v>1068</v>
      </c>
      <c r="E190" s="1" t="s">
        <v>1542</v>
      </c>
      <c r="F190" s="1" t="s">
        <v>1084</v>
      </c>
      <c r="G190" s="1">
        <v>36</v>
      </c>
      <c r="H190" s="78">
        <v>46084</v>
      </c>
      <c r="I190" s="1" t="s">
        <v>987</v>
      </c>
    </row>
    <row r="191" spans="1:9" x14ac:dyDescent="0.25">
      <c r="A191" s="1" t="s">
        <v>1236</v>
      </c>
      <c r="B191" s="1" t="s">
        <v>1237</v>
      </c>
      <c r="C191" s="1" t="s">
        <v>1229</v>
      </c>
      <c r="D191" s="1" t="s">
        <v>1068</v>
      </c>
      <c r="E191" s="1" t="s">
        <v>1542</v>
      </c>
      <c r="F191" s="1" t="s">
        <v>1084</v>
      </c>
      <c r="G191" s="1">
        <v>32</v>
      </c>
      <c r="H191" s="78">
        <v>46084</v>
      </c>
      <c r="I191" s="1" t="s">
        <v>987</v>
      </c>
    </row>
    <row r="192" spans="1:9" x14ac:dyDescent="0.25">
      <c r="A192" s="1" t="s">
        <v>1238</v>
      </c>
      <c r="B192" s="1" t="s">
        <v>1239</v>
      </c>
      <c r="C192" s="1" t="s">
        <v>1229</v>
      </c>
      <c r="D192" s="1" t="s">
        <v>1068</v>
      </c>
      <c r="E192" s="1" t="s">
        <v>1542</v>
      </c>
      <c r="F192" s="1" t="s">
        <v>1084</v>
      </c>
      <c r="G192" s="1">
        <v>8</v>
      </c>
      <c r="H192" s="78">
        <v>46084</v>
      </c>
      <c r="I192" s="1" t="s">
        <v>987</v>
      </c>
    </row>
    <row r="193" spans="1:9" x14ac:dyDescent="0.25">
      <c r="A193" s="1" t="s">
        <v>1240</v>
      </c>
      <c r="B193" s="1" t="s">
        <v>1241</v>
      </c>
      <c r="C193" s="1" t="s">
        <v>1229</v>
      </c>
      <c r="D193" s="1" t="s">
        <v>1068</v>
      </c>
      <c r="E193" s="1" t="s">
        <v>1542</v>
      </c>
      <c r="F193" s="1" t="s">
        <v>1084</v>
      </c>
      <c r="G193" s="1">
        <v>12</v>
      </c>
      <c r="H193" s="78">
        <v>46084</v>
      </c>
      <c r="I193" s="1" t="s">
        <v>987</v>
      </c>
    </row>
    <row r="194" spans="1:9" x14ac:dyDescent="0.25">
      <c r="A194" s="1" t="s">
        <v>1242</v>
      </c>
      <c r="B194" s="1" t="s">
        <v>1243</v>
      </c>
      <c r="C194" s="1" t="s">
        <v>1229</v>
      </c>
      <c r="D194" s="1" t="s">
        <v>1068</v>
      </c>
      <c r="E194" s="1" t="s">
        <v>1542</v>
      </c>
      <c r="F194" s="1" t="s">
        <v>1084</v>
      </c>
      <c r="G194" s="1">
        <v>76</v>
      </c>
      <c r="H194" s="78">
        <v>46084</v>
      </c>
      <c r="I194" s="1" t="s">
        <v>987</v>
      </c>
    </row>
    <row r="195" spans="1:9" x14ac:dyDescent="0.25">
      <c r="A195" s="1" t="s">
        <v>1244</v>
      </c>
      <c r="B195" s="1" t="s">
        <v>1245</v>
      </c>
      <c r="C195" s="1" t="s">
        <v>1229</v>
      </c>
      <c r="D195" s="1" t="s">
        <v>1068</v>
      </c>
      <c r="E195" s="1" t="s">
        <v>1542</v>
      </c>
      <c r="F195" s="1" t="s">
        <v>1084</v>
      </c>
      <c r="G195" s="1">
        <v>40</v>
      </c>
      <c r="H195" s="78">
        <v>46084</v>
      </c>
      <c r="I195" s="1" t="s">
        <v>987</v>
      </c>
    </row>
    <row r="196" spans="1:9" x14ac:dyDescent="0.25">
      <c r="A196" s="1" t="s">
        <v>1246</v>
      </c>
      <c r="B196" s="1" t="s">
        <v>1247</v>
      </c>
      <c r="C196" s="1" t="s">
        <v>1229</v>
      </c>
      <c r="D196" s="1" t="s">
        <v>1068</v>
      </c>
      <c r="E196" s="1" t="s">
        <v>1542</v>
      </c>
      <c r="F196" s="1" t="s">
        <v>1084</v>
      </c>
      <c r="G196" s="1">
        <v>24</v>
      </c>
      <c r="H196" s="78">
        <v>46084</v>
      </c>
      <c r="I196" s="1" t="s">
        <v>987</v>
      </c>
    </row>
    <row r="197" spans="1:9" x14ac:dyDescent="0.25">
      <c r="A197" s="1" t="s">
        <v>1248</v>
      </c>
      <c r="B197" s="1" t="s">
        <v>1249</v>
      </c>
      <c r="C197" s="1" t="s">
        <v>1229</v>
      </c>
      <c r="D197" s="1" t="s">
        <v>1068</v>
      </c>
      <c r="E197" s="1" t="s">
        <v>1542</v>
      </c>
      <c r="F197" s="1" t="s">
        <v>1084</v>
      </c>
      <c r="G197" s="1">
        <v>20</v>
      </c>
      <c r="H197" s="78">
        <v>46084</v>
      </c>
      <c r="I197" s="1" t="s">
        <v>987</v>
      </c>
    </row>
    <row r="198" spans="1:9" x14ac:dyDescent="0.25">
      <c r="A198" s="1" t="s">
        <v>1250</v>
      </c>
      <c r="B198" s="1" t="s">
        <v>1251</v>
      </c>
      <c r="C198" s="1" t="s">
        <v>1229</v>
      </c>
      <c r="D198" s="1" t="s">
        <v>1068</v>
      </c>
      <c r="E198" s="1" t="s">
        <v>1542</v>
      </c>
      <c r="F198" s="1" t="s">
        <v>1084</v>
      </c>
      <c r="G198" s="1">
        <v>64</v>
      </c>
      <c r="H198" s="78">
        <v>46084</v>
      </c>
      <c r="I198" s="1" t="s">
        <v>987</v>
      </c>
    </row>
    <row r="199" spans="1:9" x14ac:dyDescent="0.25">
      <c r="A199" s="1" t="s">
        <v>1252</v>
      </c>
      <c r="B199" s="1" t="s">
        <v>1253</v>
      </c>
      <c r="C199" s="1" t="s">
        <v>1229</v>
      </c>
      <c r="D199" s="1" t="s">
        <v>1068</v>
      </c>
      <c r="E199" s="1" t="s">
        <v>1542</v>
      </c>
      <c r="F199" s="1" t="s">
        <v>1084</v>
      </c>
      <c r="G199" s="1">
        <v>76</v>
      </c>
      <c r="H199" s="78">
        <v>46084</v>
      </c>
      <c r="I199" s="1" t="s">
        <v>987</v>
      </c>
    </row>
    <row r="200" spans="1:9" x14ac:dyDescent="0.25">
      <c r="A200" s="1" t="s">
        <v>1254</v>
      </c>
      <c r="B200" s="1" t="s">
        <v>1255</v>
      </c>
      <c r="C200" s="1" t="s">
        <v>1229</v>
      </c>
      <c r="D200" s="1" t="s">
        <v>1068</v>
      </c>
      <c r="E200" s="1" t="s">
        <v>1542</v>
      </c>
      <c r="F200" s="1" t="s">
        <v>1084</v>
      </c>
      <c r="G200" s="1">
        <v>128</v>
      </c>
      <c r="H200" s="78">
        <v>46084</v>
      </c>
      <c r="I200" s="1" t="s">
        <v>987</v>
      </c>
    </row>
    <row r="201" spans="1:9" x14ac:dyDescent="0.25">
      <c r="A201" s="1" t="s">
        <v>1256</v>
      </c>
      <c r="B201" s="1" t="s">
        <v>1257</v>
      </c>
      <c r="C201" s="1" t="s">
        <v>1229</v>
      </c>
      <c r="D201" s="1" t="s">
        <v>1068</v>
      </c>
      <c r="E201" s="1" t="s">
        <v>1542</v>
      </c>
      <c r="F201" s="1" t="s">
        <v>1084</v>
      </c>
      <c r="G201" s="1">
        <v>90</v>
      </c>
      <c r="H201" s="78">
        <v>46084</v>
      </c>
      <c r="I201" s="1" t="s">
        <v>987</v>
      </c>
    </row>
    <row r="202" spans="1:9" x14ac:dyDescent="0.25">
      <c r="A202" s="1" t="s">
        <v>1258</v>
      </c>
      <c r="B202" s="1" t="s">
        <v>1259</v>
      </c>
      <c r="C202" s="1" t="s">
        <v>1229</v>
      </c>
      <c r="D202" s="1" t="s">
        <v>1068</v>
      </c>
      <c r="E202" s="1" t="s">
        <v>1542</v>
      </c>
      <c r="F202" s="1" t="s">
        <v>1084</v>
      </c>
      <c r="G202" s="1">
        <v>20</v>
      </c>
      <c r="H202" s="78">
        <v>46084</v>
      </c>
      <c r="I202" s="1" t="s">
        <v>987</v>
      </c>
    </row>
    <row r="203" spans="1:9" x14ac:dyDescent="0.25">
      <c r="A203" s="1" t="s">
        <v>1260</v>
      </c>
      <c r="B203" s="1" t="s">
        <v>1261</v>
      </c>
      <c r="C203" s="1" t="s">
        <v>1229</v>
      </c>
      <c r="D203" s="1" t="s">
        <v>1068</v>
      </c>
      <c r="E203" s="1" t="s">
        <v>1542</v>
      </c>
      <c r="F203" s="1" t="s">
        <v>1084</v>
      </c>
      <c r="G203" s="1">
        <v>15</v>
      </c>
      <c r="H203" s="78">
        <v>46084</v>
      </c>
      <c r="I203" s="1" t="s">
        <v>987</v>
      </c>
    </row>
    <row r="204" spans="1:9" x14ac:dyDescent="0.25">
      <c r="A204" s="1" t="s">
        <v>1262</v>
      </c>
      <c r="B204" s="1" t="s">
        <v>1263</v>
      </c>
      <c r="C204" s="1" t="s">
        <v>1229</v>
      </c>
      <c r="D204" s="1" t="s">
        <v>1068</v>
      </c>
      <c r="E204" s="1" t="s">
        <v>1542</v>
      </c>
      <c r="F204" s="1" t="s">
        <v>1084</v>
      </c>
      <c r="G204" s="1">
        <v>1</v>
      </c>
      <c r="H204" s="78">
        <v>46084</v>
      </c>
      <c r="I204" s="1" t="s">
        <v>987</v>
      </c>
    </row>
    <row r="205" spans="1:9" x14ac:dyDescent="0.25">
      <c r="A205" s="1" t="s">
        <v>1264</v>
      </c>
      <c r="B205" s="1" t="s">
        <v>1265</v>
      </c>
      <c r="C205" s="1" t="s">
        <v>1229</v>
      </c>
      <c r="D205" s="1" t="s">
        <v>1068</v>
      </c>
      <c r="E205" s="1" t="s">
        <v>1542</v>
      </c>
      <c r="F205" s="1" t="s">
        <v>1084</v>
      </c>
      <c r="G205" s="1">
        <v>324</v>
      </c>
      <c r="H205" s="78">
        <v>46084</v>
      </c>
      <c r="I205" s="1" t="s">
        <v>987</v>
      </c>
    </row>
    <row r="206" spans="1:9" x14ac:dyDescent="0.25">
      <c r="A206" s="1" t="s">
        <v>1266</v>
      </c>
      <c r="B206" s="1" t="s">
        <v>1267</v>
      </c>
      <c r="C206" s="1" t="s">
        <v>1229</v>
      </c>
      <c r="D206" s="1" t="s">
        <v>1068</v>
      </c>
      <c r="E206" s="1" t="s">
        <v>1542</v>
      </c>
      <c r="F206" s="1" t="s">
        <v>1084</v>
      </c>
      <c r="G206" s="1">
        <v>100</v>
      </c>
      <c r="H206" s="78">
        <v>46084</v>
      </c>
      <c r="I206" s="1" t="s">
        <v>987</v>
      </c>
    </row>
    <row r="207" spans="1:9" x14ac:dyDescent="0.25">
      <c r="A207" s="1" t="s">
        <v>1268</v>
      </c>
      <c r="B207" s="1" t="s">
        <v>1269</v>
      </c>
      <c r="C207" s="1" t="s">
        <v>1229</v>
      </c>
      <c r="D207" s="1" t="s">
        <v>1068</v>
      </c>
      <c r="E207" s="1" t="s">
        <v>1542</v>
      </c>
      <c r="F207" s="1" t="s">
        <v>1084</v>
      </c>
      <c r="G207" s="1">
        <v>50</v>
      </c>
      <c r="H207" s="78">
        <v>46084</v>
      </c>
      <c r="I207" s="1" t="s">
        <v>987</v>
      </c>
    </row>
    <row r="208" spans="1:9" x14ac:dyDescent="0.25">
      <c r="A208" s="1" t="s">
        <v>1270</v>
      </c>
      <c r="B208" s="1" t="s">
        <v>1271</v>
      </c>
      <c r="C208" s="1" t="s">
        <v>1229</v>
      </c>
      <c r="D208" s="1" t="s">
        <v>1068</v>
      </c>
      <c r="E208" s="1" t="s">
        <v>1542</v>
      </c>
      <c r="F208" s="1" t="s">
        <v>1084</v>
      </c>
      <c r="G208" s="1">
        <v>46</v>
      </c>
      <c r="H208" s="78">
        <v>46084</v>
      </c>
      <c r="I208" s="1" t="s">
        <v>987</v>
      </c>
    </row>
    <row r="209" spans="1:9" x14ac:dyDescent="0.25">
      <c r="A209" s="1" t="s">
        <v>1272</v>
      </c>
      <c r="B209" s="1" t="s">
        <v>1273</v>
      </c>
      <c r="C209" s="1" t="s">
        <v>1229</v>
      </c>
      <c r="D209" s="1" t="s">
        <v>1068</v>
      </c>
      <c r="E209" s="1" t="s">
        <v>1542</v>
      </c>
      <c r="F209" s="1" t="s">
        <v>1084</v>
      </c>
      <c r="G209" s="1">
        <v>46</v>
      </c>
      <c r="H209" s="78">
        <v>46084</v>
      </c>
      <c r="I209" s="1" t="s">
        <v>987</v>
      </c>
    </row>
    <row r="210" spans="1:9" x14ac:dyDescent="0.25">
      <c r="A210" s="1" t="s">
        <v>1274</v>
      </c>
      <c r="B210" s="1" t="s">
        <v>1275</v>
      </c>
      <c r="C210" s="1" t="s">
        <v>1229</v>
      </c>
      <c r="D210" s="1" t="s">
        <v>1068</v>
      </c>
      <c r="E210" s="1" t="s">
        <v>1542</v>
      </c>
      <c r="F210" s="1" t="s">
        <v>1084</v>
      </c>
      <c r="G210" s="1">
        <v>25</v>
      </c>
      <c r="H210" s="78">
        <v>46084</v>
      </c>
      <c r="I210" s="1" t="s">
        <v>987</v>
      </c>
    </row>
    <row r="211" spans="1:9" x14ac:dyDescent="0.25">
      <c r="A211" s="1" t="s">
        <v>1276</v>
      </c>
      <c r="B211" s="1" t="s">
        <v>1277</v>
      </c>
      <c r="C211" s="1" t="s">
        <v>1278</v>
      </c>
      <c r="D211" s="1" t="s">
        <v>1068</v>
      </c>
      <c r="E211" s="1" t="s">
        <v>1542</v>
      </c>
      <c r="F211" s="1" t="s">
        <v>1084</v>
      </c>
      <c r="G211" s="1">
        <v>6</v>
      </c>
      <c r="H211" s="78">
        <v>46084</v>
      </c>
      <c r="I211" s="1" t="s">
        <v>987</v>
      </c>
    </row>
    <row r="212" spans="1:9" x14ac:dyDescent="0.25">
      <c r="A212" s="1" t="s">
        <v>1279</v>
      </c>
      <c r="B212" s="1" t="s">
        <v>1280</v>
      </c>
      <c r="C212" s="1" t="s">
        <v>1278</v>
      </c>
      <c r="D212" s="1" t="s">
        <v>1068</v>
      </c>
      <c r="E212" s="1" t="s">
        <v>1542</v>
      </c>
      <c r="F212" s="1" t="s">
        <v>1084</v>
      </c>
      <c r="G212" s="1">
        <v>30</v>
      </c>
      <c r="H212" s="78">
        <v>46084</v>
      </c>
      <c r="I212" s="1" t="s">
        <v>987</v>
      </c>
    </row>
    <row r="213" spans="1:9" x14ac:dyDescent="0.25">
      <c r="A213" s="1" t="s">
        <v>1281</v>
      </c>
      <c r="B213" s="1" t="s">
        <v>1282</v>
      </c>
      <c r="C213" s="1" t="s">
        <v>1278</v>
      </c>
      <c r="D213" s="1" t="s">
        <v>1068</v>
      </c>
      <c r="E213" s="1" t="s">
        <v>1542</v>
      </c>
      <c r="F213" s="1" t="s">
        <v>1084</v>
      </c>
      <c r="G213" s="1">
        <v>20</v>
      </c>
      <c r="H213" s="78">
        <v>46084</v>
      </c>
      <c r="I213" s="1" t="s">
        <v>987</v>
      </c>
    </row>
    <row r="214" spans="1:9" x14ac:dyDescent="0.25">
      <c r="A214" s="1" t="s">
        <v>1283</v>
      </c>
      <c r="B214" s="1" t="s">
        <v>1284</v>
      </c>
      <c r="C214" s="1" t="s">
        <v>1278</v>
      </c>
      <c r="D214" s="1" t="s">
        <v>1068</v>
      </c>
      <c r="E214" s="1" t="s">
        <v>1542</v>
      </c>
      <c r="F214" s="1" t="s">
        <v>1084</v>
      </c>
      <c r="G214" s="1">
        <v>12</v>
      </c>
      <c r="H214" s="78">
        <v>46084</v>
      </c>
      <c r="I214" s="1" t="s">
        <v>987</v>
      </c>
    </row>
    <row r="215" spans="1:9" x14ac:dyDescent="0.25">
      <c r="A215" s="1" t="s">
        <v>1285</v>
      </c>
      <c r="B215" s="1" t="s">
        <v>1286</v>
      </c>
      <c r="C215" s="1" t="s">
        <v>1278</v>
      </c>
      <c r="D215" s="1" t="s">
        <v>1068</v>
      </c>
      <c r="E215" s="1" t="s">
        <v>1542</v>
      </c>
      <c r="F215" s="1" t="s">
        <v>1084</v>
      </c>
      <c r="G215" s="1">
        <v>1</v>
      </c>
      <c r="H215" s="78">
        <v>46084</v>
      </c>
      <c r="I215" s="1" t="s">
        <v>987</v>
      </c>
    </row>
    <row r="216" spans="1:9" x14ac:dyDescent="0.25">
      <c r="A216" s="1" t="s">
        <v>1287</v>
      </c>
      <c r="B216" s="1" t="s">
        <v>1288</v>
      </c>
      <c r="C216" s="1" t="s">
        <v>1278</v>
      </c>
      <c r="D216" s="1" t="s">
        <v>1068</v>
      </c>
      <c r="E216" s="1" t="s">
        <v>1542</v>
      </c>
      <c r="F216" s="1" t="s">
        <v>1084</v>
      </c>
      <c r="G216" s="1">
        <v>62</v>
      </c>
      <c r="H216" s="78">
        <v>46084</v>
      </c>
      <c r="I216" s="1" t="s">
        <v>987</v>
      </c>
    </row>
    <row r="217" spans="1:9" x14ac:dyDescent="0.25">
      <c r="A217" s="1" t="s">
        <v>1289</v>
      </c>
      <c r="B217" s="1" t="s">
        <v>1290</v>
      </c>
      <c r="C217" s="1" t="s">
        <v>1278</v>
      </c>
      <c r="D217" s="1" t="s">
        <v>1068</v>
      </c>
      <c r="E217" s="1" t="s">
        <v>1542</v>
      </c>
      <c r="F217" s="1" t="s">
        <v>1084</v>
      </c>
      <c r="G217" s="1">
        <v>1</v>
      </c>
      <c r="H217" s="78">
        <v>46084</v>
      </c>
      <c r="I217" s="1" t="s">
        <v>987</v>
      </c>
    </row>
    <row r="218" spans="1:9" x14ac:dyDescent="0.25">
      <c r="A218" s="1" t="s">
        <v>1291</v>
      </c>
      <c r="B218" s="1" t="s">
        <v>1292</v>
      </c>
      <c r="C218" s="1" t="s">
        <v>1278</v>
      </c>
      <c r="D218" s="1" t="s">
        <v>1068</v>
      </c>
      <c r="E218" s="1" t="s">
        <v>1542</v>
      </c>
      <c r="F218" s="1" t="s">
        <v>1084</v>
      </c>
      <c r="G218" s="1">
        <v>1</v>
      </c>
      <c r="H218" s="78">
        <v>46084</v>
      </c>
      <c r="I218" s="1" t="s">
        <v>987</v>
      </c>
    </row>
    <row r="219" spans="1:9" x14ac:dyDescent="0.25">
      <c r="A219" s="1" t="s">
        <v>1293</v>
      </c>
      <c r="B219" s="1" t="s">
        <v>1294</v>
      </c>
      <c r="C219" s="1" t="s">
        <v>1278</v>
      </c>
      <c r="D219" s="1" t="s">
        <v>1068</v>
      </c>
      <c r="E219" s="1" t="s">
        <v>1542</v>
      </c>
      <c r="F219" s="1" t="s">
        <v>1084</v>
      </c>
      <c r="G219" s="1">
        <v>1</v>
      </c>
      <c r="H219" s="78">
        <v>46084</v>
      </c>
      <c r="I219" s="1" t="s">
        <v>987</v>
      </c>
    </row>
    <row r="220" spans="1:9" x14ac:dyDescent="0.25">
      <c r="A220" s="1" t="s">
        <v>1295</v>
      </c>
      <c r="B220" s="1" t="s">
        <v>1296</v>
      </c>
      <c r="C220" s="1" t="s">
        <v>1278</v>
      </c>
      <c r="D220" s="1" t="s">
        <v>1068</v>
      </c>
      <c r="E220" s="1" t="s">
        <v>1542</v>
      </c>
      <c r="F220" s="1" t="s">
        <v>1084</v>
      </c>
      <c r="G220" s="1">
        <v>1</v>
      </c>
      <c r="H220" s="78">
        <v>46084</v>
      </c>
      <c r="I220" s="1" t="s">
        <v>987</v>
      </c>
    </row>
    <row r="221" spans="1:9" x14ac:dyDescent="0.25">
      <c r="A221" s="1" t="s">
        <v>1297</v>
      </c>
      <c r="B221" s="1" t="s">
        <v>1298</v>
      </c>
      <c r="C221" s="1" t="s">
        <v>1278</v>
      </c>
      <c r="D221" s="1" t="s">
        <v>1068</v>
      </c>
      <c r="E221" s="1" t="s">
        <v>1542</v>
      </c>
      <c r="F221" s="1" t="s">
        <v>1084</v>
      </c>
      <c r="G221" s="1">
        <v>10</v>
      </c>
      <c r="H221" s="78">
        <v>46084</v>
      </c>
      <c r="I221" s="1" t="s">
        <v>987</v>
      </c>
    </row>
    <row r="222" spans="1:9" x14ac:dyDescent="0.25">
      <c r="A222" s="1" t="s">
        <v>1299</v>
      </c>
      <c r="B222" s="1" t="s">
        <v>1300</v>
      </c>
      <c r="C222" s="1" t="s">
        <v>1278</v>
      </c>
      <c r="D222" s="1" t="s">
        <v>1068</v>
      </c>
      <c r="E222" s="1" t="s">
        <v>1542</v>
      </c>
      <c r="F222" s="1" t="s">
        <v>1084</v>
      </c>
      <c r="G222" s="1">
        <v>8</v>
      </c>
      <c r="H222" s="78">
        <v>46084</v>
      </c>
      <c r="I222" s="1" t="s">
        <v>987</v>
      </c>
    </row>
    <row r="223" spans="1:9" x14ac:dyDescent="0.25">
      <c r="A223" s="1" t="s">
        <v>1301</v>
      </c>
      <c r="B223" s="1" t="s">
        <v>1302</v>
      </c>
      <c r="C223" s="1" t="s">
        <v>1278</v>
      </c>
      <c r="D223" s="1" t="s">
        <v>1068</v>
      </c>
      <c r="E223" s="1" t="s">
        <v>1542</v>
      </c>
      <c r="F223" s="1" t="s">
        <v>1084</v>
      </c>
      <c r="G223" s="1">
        <v>4</v>
      </c>
      <c r="H223" s="78">
        <v>46084</v>
      </c>
      <c r="I223" s="1" t="s">
        <v>987</v>
      </c>
    </row>
    <row r="224" spans="1:9" x14ac:dyDescent="0.25">
      <c r="A224" s="1" t="s">
        <v>1303</v>
      </c>
      <c r="B224" s="1" t="s">
        <v>1304</v>
      </c>
      <c r="C224" s="1" t="s">
        <v>1305</v>
      </c>
      <c r="D224" s="1" t="s">
        <v>1068</v>
      </c>
      <c r="E224" s="1" t="s">
        <v>1542</v>
      </c>
      <c r="F224" s="1" t="s">
        <v>1084</v>
      </c>
      <c r="G224" s="1">
        <v>20</v>
      </c>
      <c r="H224" s="78">
        <v>46084</v>
      </c>
      <c r="I224" s="1" t="s">
        <v>987</v>
      </c>
    </row>
    <row r="225" spans="1:9" x14ac:dyDescent="0.25">
      <c r="A225" s="1" t="s">
        <v>1306</v>
      </c>
      <c r="B225" s="1" t="s">
        <v>1307</v>
      </c>
      <c r="C225" s="1" t="s">
        <v>1305</v>
      </c>
      <c r="D225" s="1" t="s">
        <v>1068</v>
      </c>
      <c r="E225" s="1" t="s">
        <v>1542</v>
      </c>
      <c r="F225" s="1" t="s">
        <v>1084</v>
      </c>
      <c r="G225" s="1">
        <v>10</v>
      </c>
      <c r="H225" s="78">
        <v>46084</v>
      </c>
      <c r="I225" s="1" t="s">
        <v>987</v>
      </c>
    </row>
    <row r="226" spans="1:9" x14ac:dyDescent="0.25">
      <c r="A226" s="1" t="s">
        <v>1308</v>
      </c>
      <c r="B226" s="1" t="s">
        <v>1309</v>
      </c>
      <c r="C226" s="1" t="s">
        <v>1305</v>
      </c>
      <c r="D226" s="1" t="s">
        <v>1068</v>
      </c>
      <c r="E226" s="1" t="s">
        <v>1542</v>
      </c>
      <c r="F226" s="1" t="s">
        <v>1084</v>
      </c>
      <c r="G226" s="1">
        <v>5</v>
      </c>
      <c r="H226" s="78">
        <v>46084</v>
      </c>
      <c r="I226" s="1" t="s">
        <v>987</v>
      </c>
    </row>
    <row r="227" spans="1:9" x14ac:dyDescent="0.25">
      <c r="A227" s="1" t="s">
        <v>1310</v>
      </c>
      <c r="B227" s="1" t="s">
        <v>1311</v>
      </c>
      <c r="C227" s="1" t="s">
        <v>1305</v>
      </c>
      <c r="D227" s="1" t="s">
        <v>1068</v>
      </c>
      <c r="E227" s="1" t="s">
        <v>1542</v>
      </c>
      <c r="F227" s="1" t="s">
        <v>1084</v>
      </c>
      <c r="G227" s="1">
        <v>6</v>
      </c>
      <c r="H227" s="78">
        <v>46084</v>
      </c>
      <c r="I227" s="1" t="s">
        <v>987</v>
      </c>
    </row>
    <row r="228" spans="1:9" x14ac:dyDescent="0.25">
      <c r="A228" s="1" t="s">
        <v>1312</v>
      </c>
      <c r="B228" s="1" t="s">
        <v>1313</v>
      </c>
      <c r="C228" s="1" t="s">
        <v>1305</v>
      </c>
      <c r="D228" s="1" t="s">
        <v>1068</v>
      </c>
      <c r="E228" s="1" t="s">
        <v>1542</v>
      </c>
      <c r="F228" s="1" t="s">
        <v>1084</v>
      </c>
      <c r="G228" s="1">
        <v>25</v>
      </c>
      <c r="H228" s="78">
        <v>46084</v>
      </c>
      <c r="I228" s="1" t="s">
        <v>987</v>
      </c>
    </row>
    <row r="229" spans="1:9" x14ac:dyDescent="0.25">
      <c r="A229" s="1" t="s">
        <v>1314</v>
      </c>
      <c r="B229" s="1" t="s">
        <v>1315</v>
      </c>
      <c r="C229" s="1" t="s">
        <v>1305</v>
      </c>
      <c r="D229" s="1" t="s">
        <v>1068</v>
      </c>
      <c r="E229" s="1" t="s">
        <v>1542</v>
      </c>
      <c r="F229" s="1" t="s">
        <v>1084</v>
      </c>
      <c r="G229" s="1">
        <v>6</v>
      </c>
      <c r="H229" s="78">
        <v>46084</v>
      </c>
      <c r="I229" s="1" t="s">
        <v>987</v>
      </c>
    </row>
    <row r="230" spans="1:9" x14ac:dyDescent="0.25">
      <c r="A230" s="1" t="s">
        <v>1316</v>
      </c>
      <c r="B230" s="1" t="s">
        <v>1317</v>
      </c>
      <c r="C230" s="1" t="s">
        <v>1305</v>
      </c>
      <c r="D230" s="1" t="s">
        <v>1068</v>
      </c>
      <c r="E230" s="1" t="s">
        <v>1542</v>
      </c>
      <c r="F230" s="1" t="s">
        <v>1084</v>
      </c>
      <c r="G230" s="1">
        <v>1</v>
      </c>
      <c r="H230" s="78">
        <v>46084</v>
      </c>
      <c r="I230" s="1" t="s">
        <v>987</v>
      </c>
    </row>
    <row r="231" spans="1:9" x14ac:dyDescent="0.25">
      <c r="A231" s="1" t="s">
        <v>1318</v>
      </c>
      <c r="B231" s="1" t="s">
        <v>1319</v>
      </c>
      <c r="C231" s="1" t="s">
        <v>1305</v>
      </c>
      <c r="D231" s="1" t="s">
        <v>1068</v>
      </c>
      <c r="E231" s="1" t="s">
        <v>1542</v>
      </c>
      <c r="F231" s="1" t="s">
        <v>1084</v>
      </c>
      <c r="G231" s="1">
        <v>1</v>
      </c>
      <c r="H231" s="78">
        <v>46084</v>
      </c>
      <c r="I231" s="1" t="s">
        <v>987</v>
      </c>
    </row>
    <row r="232" spans="1:9" x14ac:dyDescent="0.25">
      <c r="A232" s="1" t="s">
        <v>1320</v>
      </c>
      <c r="B232" s="1" t="s">
        <v>1321</v>
      </c>
      <c r="C232" s="1" t="s">
        <v>1305</v>
      </c>
      <c r="D232" s="1" t="s">
        <v>1068</v>
      </c>
      <c r="E232" s="1" t="s">
        <v>1542</v>
      </c>
      <c r="F232" s="1" t="s">
        <v>1084</v>
      </c>
      <c r="G232" s="1">
        <v>1</v>
      </c>
      <c r="H232" s="78">
        <v>46084</v>
      </c>
      <c r="I232" s="1" t="s">
        <v>987</v>
      </c>
    </row>
    <row r="233" spans="1:9" x14ac:dyDescent="0.25">
      <c r="A233" s="1" t="s">
        <v>1322</v>
      </c>
      <c r="B233" s="1" t="s">
        <v>1323</v>
      </c>
      <c r="C233" s="1" t="s">
        <v>1305</v>
      </c>
      <c r="D233" s="1" t="s">
        <v>1068</v>
      </c>
      <c r="E233" s="1" t="s">
        <v>1542</v>
      </c>
      <c r="F233" s="1" t="s">
        <v>1084</v>
      </c>
      <c r="G233" s="1">
        <v>4</v>
      </c>
      <c r="H233" s="78">
        <v>46084</v>
      </c>
      <c r="I233" s="1" t="s">
        <v>987</v>
      </c>
    </row>
    <row r="234" spans="1:9" x14ac:dyDescent="0.25">
      <c r="A234" s="1" t="s">
        <v>1324</v>
      </c>
      <c r="B234" s="1" t="s">
        <v>1325</v>
      </c>
      <c r="C234" s="1" t="s">
        <v>1305</v>
      </c>
      <c r="D234" s="1" t="s">
        <v>1068</v>
      </c>
      <c r="E234" s="1" t="s">
        <v>1542</v>
      </c>
      <c r="F234" s="1" t="s">
        <v>1084</v>
      </c>
      <c r="G234" s="1">
        <v>4</v>
      </c>
      <c r="H234" s="78">
        <v>46084</v>
      </c>
      <c r="I234" s="1" t="s">
        <v>987</v>
      </c>
    </row>
    <row r="235" spans="1:9" x14ac:dyDescent="0.25">
      <c r="A235" s="1" t="s">
        <v>1326</v>
      </c>
      <c r="B235" s="1" t="s">
        <v>1327</v>
      </c>
      <c r="C235" s="1" t="s">
        <v>1305</v>
      </c>
      <c r="D235" s="1" t="s">
        <v>1068</v>
      </c>
      <c r="E235" s="1" t="s">
        <v>1542</v>
      </c>
      <c r="F235" s="1" t="s">
        <v>1084</v>
      </c>
      <c r="G235" s="1">
        <v>1</v>
      </c>
      <c r="H235" s="78">
        <v>46084</v>
      </c>
      <c r="I235" s="1" t="s">
        <v>987</v>
      </c>
    </row>
    <row r="236" spans="1:9" x14ac:dyDescent="0.25">
      <c r="A236" s="1" t="s">
        <v>1328</v>
      </c>
      <c r="B236" s="1" t="s">
        <v>1329</v>
      </c>
      <c r="C236" s="1" t="s">
        <v>1305</v>
      </c>
      <c r="D236" s="1" t="s">
        <v>1068</v>
      </c>
      <c r="E236" s="1" t="s">
        <v>1542</v>
      </c>
      <c r="F236" s="1" t="s">
        <v>1084</v>
      </c>
      <c r="G236" s="1">
        <v>4</v>
      </c>
      <c r="H236" s="78">
        <v>46084</v>
      </c>
      <c r="I236" s="1" t="s">
        <v>987</v>
      </c>
    </row>
    <row r="237" spans="1:9" x14ac:dyDescent="0.25">
      <c r="A237" s="1" t="s">
        <v>1330</v>
      </c>
      <c r="B237" s="1" t="s">
        <v>1331</v>
      </c>
      <c r="C237" s="1" t="s">
        <v>1305</v>
      </c>
      <c r="D237" s="1" t="s">
        <v>1068</v>
      </c>
      <c r="E237" s="1" t="s">
        <v>1542</v>
      </c>
      <c r="F237" s="1" t="s">
        <v>1084</v>
      </c>
      <c r="G237" s="1">
        <v>1</v>
      </c>
      <c r="H237" s="78">
        <v>46084</v>
      </c>
      <c r="I237" s="1" t="s">
        <v>987</v>
      </c>
    </row>
    <row r="238" spans="1:9" x14ac:dyDescent="0.25">
      <c r="A238" s="1" t="s">
        <v>1332</v>
      </c>
      <c r="B238" s="1" t="s">
        <v>1333</v>
      </c>
      <c r="C238" s="1" t="s">
        <v>1305</v>
      </c>
      <c r="D238" s="1" t="s">
        <v>1068</v>
      </c>
      <c r="E238" s="1" t="s">
        <v>1542</v>
      </c>
      <c r="F238" s="1" t="s">
        <v>1084</v>
      </c>
      <c r="G238" s="1">
        <v>1</v>
      </c>
      <c r="H238" s="78">
        <v>46084</v>
      </c>
      <c r="I238" s="1" t="s">
        <v>987</v>
      </c>
    </row>
    <row r="239" spans="1:9" x14ac:dyDescent="0.25">
      <c r="A239" s="1" t="s">
        <v>1334</v>
      </c>
      <c r="B239" s="1" t="s">
        <v>1335</v>
      </c>
      <c r="C239" s="1" t="s">
        <v>1305</v>
      </c>
      <c r="D239" s="1" t="s">
        <v>1068</v>
      </c>
      <c r="E239" s="1" t="s">
        <v>1542</v>
      </c>
      <c r="F239" s="1" t="s">
        <v>1084</v>
      </c>
      <c r="G239" s="1">
        <v>1</v>
      </c>
      <c r="H239" s="78">
        <v>46084</v>
      </c>
      <c r="I239" s="1" t="s">
        <v>987</v>
      </c>
    </row>
    <row r="240" spans="1:9" x14ac:dyDescent="0.25">
      <c r="A240" s="1" t="s">
        <v>1336</v>
      </c>
      <c r="B240" s="1" t="s">
        <v>1337</v>
      </c>
      <c r="C240" s="1" t="s">
        <v>1305</v>
      </c>
      <c r="D240" s="1" t="s">
        <v>1068</v>
      </c>
      <c r="E240" s="1" t="s">
        <v>1542</v>
      </c>
      <c r="F240" s="1" t="s">
        <v>1084</v>
      </c>
      <c r="G240" s="1">
        <v>5</v>
      </c>
      <c r="H240" s="78">
        <v>46084</v>
      </c>
      <c r="I240" s="1" t="s">
        <v>987</v>
      </c>
    </row>
    <row r="241" spans="1:9" x14ac:dyDescent="0.25">
      <c r="A241" s="1" t="s">
        <v>1338</v>
      </c>
      <c r="B241" s="1" t="s">
        <v>1339</v>
      </c>
      <c r="C241" s="1" t="s">
        <v>1305</v>
      </c>
      <c r="D241" s="1" t="s">
        <v>1068</v>
      </c>
      <c r="E241" s="1" t="s">
        <v>1542</v>
      </c>
      <c r="F241" s="1" t="s">
        <v>1084</v>
      </c>
      <c r="G241" s="1">
        <v>10</v>
      </c>
      <c r="H241" s="78">
        <v>46084</v>
      </c>
      <c r="I241" s="1" t="s">
        <v>987</v>
      </c>
    </row>
    <row r="242" spans="1:9" x14ac:dyDescent="0.25">
      <c r="A242" s="1" t="s">
        <v>1340</v>
      </c>
      <c r="B242" s="1" t="s">
        <v>1341</v>
      </c>
      <c r="C242" s="1" t="s">
        <v>1305</v>
      </c>
      <c r="D242" s="1" t="s">
        <v>1068</v>
      </c>
      <c r="E242" s="1" t="s">
        <v>1542</v>
      </c>
      <c r="F242" s="1" t="s">
        <v>1084</v>
      </c>
      <c r="G242" s="1">
        <v>1</v>
      </c>
      <c r="H242" s="78">
        <v>46084</v>
      </c>
      <c r="I242" s="1" t="s">
        <v>987</v>
      </c>
    </row>
    <row r="243" spans="1:9" x14ac:dyDescent="0.25">
      <c r="A243" s="1" t="s">
        <v>1342</v>
      </c>
      <c r="B243" s="1" t="s">
        <v>1343</v>
      </c>
      <c r="C243" s="1" t="s">
        <v>1305</v>
      </c>
      <c r="D243" s="1" t="s">
        <v>1068</v>
      </c>
      <c r="E243" s="1" t="s">
        <v>1542</v>
      </c>
      <c r="F243" s="1" t="s">
        <v>1084</v>
      </c>
      <c r="G243" s="1">
        <v>1</v>
      </c>
      <c r="H243" s="78">
        <v>46084</v>
      </c>
      <c r="I243" s="1" t="s">
        <v>987</v>
      </c>
    </row>
    <row r="244" spans="1:9" x14ac:dyDescent="0.25">
      <c r="A244" s="1" t="s">
        <v>1344</v>
      </c>
      <c r="B244" s="1" t="s">
        <v>1345</v>
      </c>
      <c r="C244" s="1" t="s">
        <v>1305</v>
      </c>
      <c r="D244" s="1" t="s">
        <v>1068</v>
      </c>
      <c r="E244" s="1" t="s">
        <v>1542</v>
      </c>
      <c r="F244" s="1" t="s">
        <v>1084</v>
      </c>
      <c r="G244" s="1">
        <v>1</v>
      </c>
      <c r="H244" s="78">
        <v>46084</v>
      </c>
      <c r="I244" s="1" t="s">
        <v>987</v>
      </c>
    </row>
    <row r="245" spans="1:9" x14ac:dyDescent="0.25">
      <c r="A245" s="1" t="s">
        <v>1346</v>
      </c>
      <c r="B245" s="1" t="s">
        <v>1347</v>
      </c>
      <c r="C245" s="1" t="s">
        <v>1305</v>
      </c>
      <c r="D245" s="1" t="s">
        <v>1068</v>
      </c>
      <c r="E245" s="1" t="s">
        <v>1542</v>
      </c>
      <c r="F245" s="1" t="s">
        <v>1084</v>
      </c>
      <c r="G245" s="1">
        <v>10</v>
      </c>
      <c r="H245" s="78">
        <v>46084</v>
      </c>
      <c r="I245" s="1" t="s">
        <v>987</v>
      </c>
    </row>
    <row r="246" spans="1:9" x14ac:dyDescent="0.25">
      <c r="A246" s="1" t="s">
        <v>1348</v>
      </c>
      <c r="B246" s="1" t="s">
        <v>1349</v>
      </c>
      <c r="C246" s="1" t="s">
        <v>1350</v>
      </c>
      <c r="D246" s="1" t="s">
        <v>1068</v>
      </c>
      <c r="E246" s="1" t="s">
        <v>1542</v>
      </c>
      <c r="F246" s="1" t="s">
        <v>1084</v>
      </c>
      <c r="G246" s="1">
        <v>34</v>
      </c>
      <c r="H246" s="78">
        <v>46084</v>
      </c>
      <c r="I246" s="1" t="s">
        <v>987</v>
      </c>
    </row>
    <row r="247" spans="1:9" x14ac:dyDescent="0.25">
      <c r="A247" s="1" t="s">
        <v>1351</v>
      </c>
      <c r="B247" s="1" t="s">
        <v>1352</v>
      </c>
      <c r="C247" s="1" t="s">
        <v>1350</v>
      </c>
      <c r="D247" s="1" t="s">
        <v>1068</v>
      </c>
      <c r="E247" s="1" t="s">
        <v>1542</v>
      </c>
      <c r="F247" s="1" t="s">
        <v>1084</v>
      </c>
      <c r="G247" s="1">
        <v>12</v>
      </c>
      <c r="H247" s="78">
        <v>46084</v>
      </c>
      <c r="I247" s="1" t="s">
        <v>987</v>
      </c>
    </row>
    <row r="248" spans="1:9" x14ac:dyDescent="0.25">
      <c r="A248" s="1" t="s">
        <v>1353</v>
      </c>
      <c r="B248" s="1" t="s">
        <v>1354</v>
      </c>
      <c r="C248" s="1" t="s">
        <v>1350</v>
      </c>
      <c r="D248" s="1" t="s">
        <v>1068</v>
      </c>
      <c r="E248" s="1" t="s">
        <v>1542</v>
      </c>
      <c r="F248" s="1" t="s">
        <v>1084</v>
      </c>
      <c r="G248" s="1">
        <v>32</v>
      </c>
      <c r="H248" s="78">
        <v>46084</v>
      </c>
      <c r="I248" s="1" t="s">
        <v>987</v>
      </c>
    </row>
    <row r="249" spans="1:9" x14ac:dyDescent="0.25">
      <c r="A249" s="1" t="s">
        <v>1355</v>
      </c>
      <c r="B249" s="1" t="s">
        <v>1356</v>
      </c>
      <c r="C249" s="1" t="s">
        <v>1350</v>
      </c>
      <c r="D249" s="1" t="s">
        <v>1068</v>
      </c>
      <c r="E249" s="1" t="s">
        <v>1542</v>
      </c>
      <c r="F249" s="1" t="s">
        <v>1084</v>
      </c>
      <c r="G249" s="1">
        <v>6</v>
      </c>
      <c r="H249" s="78">
        <v>46084</v>
      </c>
      <c r="I249" s="1" t="s">
        <v>987</v>
      </c>
    </row>
    <row r="250" spans="1:9" x14ac:dyDescent="0.25">
      <c r="A250" s="1" t="s">
        <v>1357</v>
      </c>
      <c r="B250" s="1" t="s">
        <v>1358</v>
      </c>
      <c r="C250" s="1" t="s">
        <v>1350</v>
      </c>
      <c r="D250" s="1" t="s">
        <v>1068</v>
      </c>
      <c r="E250" s="1" t="s">
        <v>1542</v>
      </c>
      <c r="F250" s="1" t="s">
        <v>1084</v>
      </c>
      <c r="G250" s="1">
        <v>5</v>
      </c>
      <c r="H250" s="78">
        <v>46084</v>
      </c>
      <c r="I250" s="1" t="s">
        <v>987</v>
      </c>
    </row>
    <row r="251" spans="1:9" x14ac:dyDescent="0.25">
      <c r="A251" s="1" t="s">
        <v>1359</v>
      </c>
      <c r="B251" s="1" t="s">
        <v>1360</v>
      </c>
      <c r="C251" s="1" t="s">
        <v>1350</v>
      </c>
      <c r="D251" s="1" t="s">
        <v>1068</v>
      </c>
      <c r="E251" s="1" t="s">
        <v>1542</v>
      </c>
      <c r="F251" s="1" t="s">
        <v>1084</v>
      </c>
      <c r="G251" s="1">
        <v>5</v>
      </c>
      <c r="H251" s="78">
        <v>46084</v>
      </c>
      <c r="I251" s="1" t="s">
        <v>987</v>
      </c>
    </row>
    <row r="252" spans="1:9" x14ac:dyDescent="0.25">
      <c r="A252" s="1" t="s">
        <v>1361</v>
      </c>
      <c r="B252" s="1" t="s">
        <v>1362</v>
      </c>
      <c r="C252" s="1" t="s">
        <v>1350</v>
      </c>
      <c r="D252" s="1" t="s">
        <v>1068</v>
      </c>
      <c r="E252" s="1" t="s">
        <v>1542</v>
      </c>
      <c r="F252" s="1" t="s">
        <v>1084</v>
      </c>
      <c r="G252" s="1">
        <v>2</v>
      </c>
      <c r="H252" s="78">
        <v>46084</v>
      </c>
      <c r="I252" s="1" t="s">
        <v>987</v>
      </c>
    </row>
    <row r="253" spans="1:9" x14ac:dyDescent="0.25">
      <c r="A253" s="1" t="s">
        <v>1363</v>
      </c>
      <c r="B253" s="1" t="s">
        <v>1364</v>
      </c>
      <c r="C253" s="1" t="s">
        <v>1350</v>
      </c>
      <c r="D253" s="1" t="s">
        <v>1068</v>
      </c>
      <c r="E253" s="1" t="s">
        <v>1542</v>
      </c>
      <c r="F253" s="1" t="s">
        <v>1177</v>
      </c>
      <c r="G253" s="1">
        <v>100</v>
      </c>
      <c r="H253" s="78">
        <v>46084</v>
      </c>
      <c r="I253" s="1" t="s">
        <v>987</v>
      </c>
    </row>
    <row r="254" spans="1:9" x14ac:dyDescent="0.25">
      <c r="A254" s="1" t="s">
        <v>1365</v>
      </c>
      <c r="B254" s="1" t="s">
        <v>1366</v>
      </c>
      <c r="C254" s="1" t="s">
        <v>1350</v>
      </c>
      <c r="D254" s="1" t="s">
        <v>1068</v>
      </c>
      <c r="E254" s="1" t="s">
        <v>1542</v>
      </c>
      <c r="F254" s="1" t="s">
        <v>1177</v>
      </c>
      <c r="G254" s="1">
        <v>100</v>
      </c>
      <c r="H254" s="78">
        <v>46084</v>
      </c>
      <c r="I254" s="1" t="s">
        <v>987</v>
      </c>
    </row>
    <row r="255" spans="1:9" x14ac:dyDescent="0.25">
      <c r="A255" s="1" t="s">
        <v>1367</v>
      </c>
      <c r="B255" s="1" t="s">
        <v>1368</v>
      </c>
      <c r="C255" s="1" t="s">
        <v>1350</v>
      </c>
      <c r="D255" s="1" t="s">
        <v>1068</v>
      </c>
      <c r="E255" s="1" t="s">
        <v>1542</v>
      </c>
      <c r="F255" s="1" t="s">
        <v>1177</v>
      </c>
      <c r="G255" s="1">
        <v>80</v>
      </c>
      <c r="H255" s="78">
        <v>46084</v>
      </c>
      <c r="I255" s="1" t="s">
        <v>987</v>
      </c>
    </row>
    <row r="256" spans="1:9" x14ac:dyDescent="0.25">
      <c r="A256" s="1" t="s">
        <v>1369</v>
      </c>
      <c r="B256" s="1" t="s">
        <v>1370</v>
      </c>
      <c r="C256" s="1" t="s">
        <v>1350</v>
      </c>
      <c r="D256" s="1" t="s">
        <v>1068</v>
      </c>
      <c r="E256" s="1" t="s">
        <v>1542</v>
      </c>
      <c r="F256" s="1" t="s">
        <v>1177</v>
      </c>
      <c r="G256" s="1">
        <v>90</v>
      </c>
      <c r="H256" s="78">
        <v>46084</v>
      </c>
      <c r="I256" s="1" t="s">
        <v>987</v>
      </c>
    </row>
    <row r="257" spans="1:9" x14ac:dyDescent="0.25">
      <c r="A257" s="1" t="s">
        <v>1371</v>
      </c>
      <c r="B257" s="1" t="s">
        <v>1372</v>
      </c>
      <c r="C257" s="1" t="s">
        <v>1350</v>
      </c>
      <c r="D257" s="1" t="s">
        <v>1068</v>
      </c>
      <c r="E257" s="1" t="s">
        <v>1542</v>
      </c>
      <c r="F257" s="1" t="s">
        <v>1177</v>
      </c>
      <c r="G257" s="1">
        <v>120</v>
      </c>
      <c r="H257" s="78">
        <v>46084</v>
      </c>
      <c r="I257" s="1" t="s">
        <v>987</v>
      </c>
    </row>
    <row r="258" spans="1:9" x14ac:dyDescent="0.25">
      <c r="A258" s="1" t="s">
        <v>1373</v>
      </c>
      <c r="B258" s="1" t="s">
        <v>1374</v>
      </c>
      <c r="C258" s="1" t="s">
        <v>1350</v>
      </c>
      <c r="D258" s="1" t="s">
        <v>1068</v>
      </c>
      <c r="E258" s="1" t="s">
        <v>1542</v>
      </c>
      <c r="F258" s="1" t="s">
        <v>1177</v>
      </c>
      <c r="G258" s="1">
        <v>400</v>
      </c>
      <c r="H258" s="78">
        <v>46084</v>
      </c>
      <c r="I258" s="1" t="s">
        <v>987</v>
      </c>
    </row>
    <row r="259" spans="1:9" x14ac:dyDescent="0.25">
      <c r="A259" s="1" t="s">
        <v>1375</v>
      </c>
      <c r="B259" s="1" t="s">
        <v>1376</v>
      </c>
      <c r="C259" s="1" t="s">
        <v>1350</v>
      </c>
      <c r="D259" s="1" t="s">
        <v>1068</v>
      </c>
      <c r="E259" s="1" t="s">
        <v>1542</v>
      </c>
      <c r="F259" s="1" t="s">
        <v>1177</v>
      </c>
      <c r="G259" s="1">
        <v>80</v>
      </c>
      <c r="H259" s="78">
        <v>46084</v>
      </c>
      <c r="I259" s="1" t="s">
        <v>987</v>
      </c>
    </row>
    <row r="260" spans="1:9" x14ac:dyDescent="0.25">
      <c r="A260" s="1" t="s">
        <v>1377</v>
      </c>
      <c r="B260" s="1" t="s">
        <v>1378</v>
      </c>
      <c r="C260" s="1" t="s">
        <v>1350</v>
      </c>
      <c r="D260" s="1" t="s">
        <v>1068</v>
      </c>
      <c r="E260" s="1" t="s">
        <v>1542</v>
      </c>
      <c r="F260" s="1" t="s">
        <v>1177</v>
      </c>
      <c r="G260" s="1">
        <v>25</v>
      </c>
      <c r="H260" s="78">
        <v>46084</v>
      </c>
      <c r="I260" s="1" t="s">
        <v>987</v>
      </c>
    </row>
    <row r="261" spans="1:9" x14ac:dyDescent="0.25">
      <c r="A261" s="1" t="s">
        <v>1379</v>
      </c>
      <c r="B261" s="1" t="s">
        <v>1380</v>
      </c>
      <c r="C261" s="1" t="s">
        <v>1350</v>
      </c>
      <c r="D261" s="1" t="s">
        <v>1068</v>
      </c>
      <c r="E261" s="1" t="s">
        <v>1542</v>
      </c>
      <c r="F261" s="1" t="s">
        <v>1177</v>
      </c>
      <c r="G261" s="1">
        <v>10</v>
      </c>
      <c r="H261" s="78">
        <v>46084</v>
      </c>
      <c r="I261" s="1" t="s">
        <v>987</v>
      </c>
    </row>
    <row r="262" spans="1:9" x14ac:dyDescent="0.25">
      <c r="A262" s="1" t="s">
        <v>1381</v>
      </c>
      <c r="B262" s="1" t="s">
        <v>1382</v>
      </c>
      <c r="C262" s="1" t="s">
        <v>1350</v>
      </c>
      <c r="D262" s="1" t="s">
        <v>1068</v>
      </c>
      <c r="E262" s="1" t="s">
        <v>1542</v>
      </c>
      <c r="F262" s="1" t="s">
        <v>1177</v>
      </c>
      <c r="G262" s="1">
        <v>50</v>
      </c>
      <c r="H262" s="78">
        <v>46084</v>
      </c>
      <c r="I262" s="1" t="s">
        <v>987</v>
      </c>
    </row>
    <row r="263" spans="1:9" x14ac:dyDescent="0.25">
      <c r="A263" s="1" t="s">
        <v>1383</v>
      </c>
      <c r="B263" s="1" t="s">
        <v>1384</v>
      </c>
      <c r="C263" s="1" t="s">
        <v>1350</v>
      </c>
      <c r="D263" s="1" t="s">
        <v>1068</v>
      </c>
      <c r="E263" s="1" t="s">
        <v>1542</v>
      </c>
      <c r="F263" s="1" t="s">
        <v>1177</v>
      </c>
      <c r="G263" s="1">
        <v>50</v>
      </c>
      <c r="H263" s="78">
        <v>46084</v>
      </c>
      <c r="I263" s="1" t="s">
        <v>987</v>
      </c>
    </row>
    <row r="264" spans="1:9" x14ac:dyDescent="0.25">
      <c r="A264" s="1" t="s">
        <v>1385</v>
      </c>
      <c r="B264" s="1" t="s">
        <v>1386</v>
      </c>
      <c r="C264" s="1" t="s">
        <v>1350</v>
      </c>
      <c r="D264" s="1" t="s">
        <v>1068</v>
      </c>
      <c r="E264" s="1" t="s">
        <v>1542</v>
      </c>
      <c r="F264" s="1" t="s">
        <v>1177</v>
      </c>
      <c r="G264" s="1">
        <v>150</v>
      </c>
      <c r="H264" s="78">
        <v>46084</v>
      </c>
      <c r="I264" s="1" t="s">
        <v>987</v>
      </c>
    </row>
    <row r="265" spans="1:9" x14ac:dyDescent="0.25">
      <c r="A265" s="1" t="s">
        <v>1387</v>
      </c>
      <c r="B265" s="1" t="s">
        <v>1388</v>
      </c>
      <c r="C265" s="1" t="s">
        <v>1350</v>
      </c>
      <c r="D265" s="1" t="s">
        <v>1068</v>
      </c>
      <c r="E265" s="1" t="s">
        <v>1542</v>
      </c>
      <c r="F265" s="1" t="s">
        <v>1177</v>
      </c>
      <c r="G265" s="1">
        <v>40</v>
      </c>
      <c r="H265" s="78">
        <v>46084</v>
      </c>
      <c r="I265" s="1" t="s">
        <v>987</v>
      </c>
    </row>
    <row r="266" spans="1:9" x14ac:dyDescent="0.25">
      <c r="A266" s="1" t="s">
        <v>1389</v>
      </c>
      <c r="B266" s="1" t="s">
        <v>1390</v>
      </c>
      <c r="C266" s="1" t="s">
        <v>1350</v>
      </c>
      <c r="D266" s="1" t="s">
        <v>1068</v>
      </c>
      <c r="E266" s="1" t="s">
        <v>1542</v>
      </c>
      <c r="F266" s="1" t="s">
        <v>1177</v>
      </c>
      <c r="G266" s="1">
        <v>150</v>
      </c>
      <c r="H266" s="78">
        <v>46084</v>
      </c>
      <c r="I266" s="1" t="s">
        <v>987</v>
      </c>
    </row>
    <row r="267" spans="1:9" x14ac:dyDescent="0.25">
      <c r="A267" s="1" t="s">
        <v>1391</v>
      </c>
      <c r="B267" s="1" t="s">
        <v>1392</v>
      </c>
      <c r="C267" s="1" t="s">
        <v>1350</v>
      </c>
      <c r="D267" s="1" t="s">
        <v>1068</v>
      </c>
      <c r="E267" s="1" t="s">
        <v>1542</v>
      </c>
      <c r="F267" s="1" t="s">
        <v>1177</v>
      </c>
      <c r="G267" s="1">
        <v>150</v>
      </c>
      <c r="H267" s="78">
        <v>46084</v>
      </c>
      <c r="I267" s="1" t="s">
        <v>987</v>
      </c>
    </row>
    <row r="268" spans="1:9" x14ac:dyDescent="0.25">
      <c r="A268" s="1" t="s">
        <v>1393</v>
      </c>
      <c r="B268" s="1" t="s">
        <v>1394</v>
      </c>
      <c r="C268" s="1" t="s">
        <v>1350</v>
      </c>
      <c r="D268" s="1" t="s">
        <v>1068</v>
      </c>
      <c r="E268" s="1" t="s">
        <v>1542</v>
      </c>
      <c r="F268" s="1" t="s">
        <v>1177</v>
      </c>
      <c r="G268" s="1">
        <v>60</v>
      </c>
      <c r="H268" s="78">
        <v>46084</v>
      </c>
      <c r="I268" s="1" t="s">
        <v>987</v>
      </c>
    </row>
    <row r="269" spans="1:9" x14ac:dyDescent="0.25">
      <c r="A269" s="1" t="s">
        <v>1395</v>
      </c>
      <c r="B269" s="1" t="s">
        <v>1396</v>
      </c>
      <c r="C269" s="1" t="s">
        <v>1350</v>
      </c>
      <c r="D269" s="1" t="s">
        <v>1068</v>
      </c>
      <c r="E269" s="1" t="s">
        <v>1542</v>
      </c>
      <c r="F269" s="1" t="s">
        <v>1177</v>
      </c>
      <c r="G269" s="1">
        <v>60</v>
      </c>
      <c r="H269" s="78">
        <v>46084</v>
      </c>
      <c r="I269" s="1" t="s">
        <v>987</v>
      </c>
    </row>
    <row r="270" spans="1:9" x14ac:dyDescent="0.25">
      <c r="A270" s="1" t="s">
        <v>1397</v>
      </c>
      <c r="B270" s="1" t="s">
        <v>1398</v>
      </c>
      <c r="C270" s="1" t="s">
        <v>1350</v>
      </c>
      <c r="D270" s="1" t="s">
        <v>1068</v>
      </c>
      <c r="E270" s="1" t="s">
        <v>1542</v>
      </c>
      <c r="F270" s="1" t="s">
        <v>1084</v>
      </c>
      <c r="G270" s="1">
        <v>35</v>
      </c>
      <c r="H270" s="78">
        <v>46084</v>
      </c>
      <c r="I270" s="1" t="s">
        <v>987</v>
      </c>
    </row>
    <row r="271" spans="1:9" x14ac:dyDescent="0.25">
      <c r="A271" s="1" t="s">
        <v>1399</v>
      </c>
      <c r="B271" s="1" t="s">
        <v>1400</v>
      </c>
      <c r="C271" s="1" t="s">
        <v>1350</v>
      </c>
      <c r="D271" s="1" t="s">
        <v>1068</v>
      </c>
      <c r="E271" s="1" t="s">
        <v>1542</v>
      </c>
      <c r="F271" s="1" t="s">
        <v>1084</v>
      </c>
      <c r="G271" s="1">
        <v>1</v>
      </c>
      <c r="H271" s="78">
        <v>46084</v>
      </c>
      <c r="I271" s="1" t="s">
        <v>987</v>
      </c>
    </row>
    <row r="272" spans="1:9" x14ac:dyDescent="0.25">
      <c r="A272" s="1" t="s">
        <v>1403</v>
      </c>
      <c r="B272" s="1" t="s">
        <v>1404</v>
      </c>
      <c r="C272" s="1" t="s">
        <v>1350</v>
      </c>
      <c r="D272" s="1" t="s">
        <v>1068</v>
      </c>
      <c r="E272" s="1" t="s">
        <v>1542</v>
      </c>
      <c r="F272" s="1" t="s">
        <v>1084</v>
      </c>
      <c r="G272" s="1">
        <v>5</v>
      </c>
      <c r="H272" s="78">
        <v>46084</v>
      </c>
      <c r="I272" s="1" t="s">
        <v>987</v>
      </c>
    </row>
    <row r="273" spans="1:9" x14ac:dyDescent="0.25">
      <c r="A273" s="1" t="s">
        <v>1405</v>
      </c>
      <c r="B273" s="1" t="s">
        <v>1406</v>
      </c>
      <c r="C273" s="1" t="s">
        <v>1350</v>
      </c>
      <c r="D273" s="1" t="s">
        <v>1068</v>
      </c>
      <c r="E273" s="1" t="s">
        <v>1542</v>
      </c>
      <c r="F273" s="1" t="s">
        <v>1084</v>
      </c>
      <c r="G273" s="1">
        <v>15</v>
      </c>
      <c r="H273" s="78">
        <v>46084</v>
      </c>
      <c r="I273" s="1" t="s">
        <v>987</v>
      </c>
    </row>
    <row r="274" spans="1:9" x14ac:dyDescent="0.25">
      <c r="A274" s="1" t="s">
        <v>1407</v>
      </c>
      <c r="B274" s="1" t="s">
        <v>1408</v>
      </c>
      <c r="C274" s="1" t="s">
        <v>1350</v>
      </c>
      <c r="D274" s="1" t="s">
        <v>1068</v>
      </c>
      <c r="E274" s="1" t="s">
        <v>1542</v>
      </c>
      <c r="F274" s="1" t="s">
        <v>1084</v>
      </c>
      <c r="G274" s="1">
        <v>1</v>
      </c>
      <c r="H274" s="78">
        <v>46084</v>
      </c>
      <c r="I274" s="1" t="s">
        <v>987</v>
      </c>
    </row>
    <row r="275" spans="1:9" x14ac:dyDescent="0.25">
      <c r="A275" s="1" t="s">
        <v>1409</v>
      </c>
      <c r="B275" s="1" t="s">
        <v>1410</v>
      </c>
      <c r="C275" s="1" t="s">
        <v>1350</v>
      </c>
      <c r="D275" s="1" t="s">
        <v>1068</v>
      </c>
      <c r="E275" s="1" t="s">
        <v>1542</v>
      </c>
      <c r="F275" s="1" t="s">
        <v>1084</v>
      </c>
      <c r="G275" s="1">
        <v>1</v>
      </c>
      <c r="H275" s="78">
        <v>46084</v>
      </c>
      <c r="I275" s="1" t="s">
        <v>987</v>
      </c>
    </row>
    <row r="276" spans="1:9" x14ac:dyDescent="0.25">
      <c r="A276" s="1" t="s">
        <v>1411</v>
      </c>
      <c r="B276" s="1" t="s">
        <v>1410</v>
      </c>
      <c r="C276" s="1" t="s">
        <v>1350</v>
      </c>
      <c r="D276" s="1" t="s">
        <v>1068</v>
      </c>
      <c r="E276" s="1" t="s">
        <v>1542</v>
      </c>
      <c r="F276" s="1" t="s">
        <v>1084</v>
      </c>
      <c r="G276" s="1">
        <v>1</v>
      </c>
      <c r="H276" s="78">
        <v>46084</v>
      </c>
      <c r="I276" s="1" t="s">
        <v>987</v>
      </c>
    </row>
    <row r="277" spans="1:9" x14ac:dyDescent="0.25">
      <c r="A277" s="1" t="s">
        <v>1412</v>
      </c>
      <c r="B277" s="1" t="s">
        <v>1413</v>
      </c>
      <c r="C277" s="1" t="s">
        <v>1350</v>
      </c>
      <c r="D277" s="1" t="s">
        <v>1068</v>
      </c>
      <c r="E277" s="1" t="s">
        <v>1542</v>
      </c>
      <c r="F277" s="1" t="s">
        <v>1084</v>
      </c>
      <c r="G277" s="1">
        <v>6</v>
      </c>
      <c r="H277" s="78">
        <v>46084</v>
      </c>
      <c r="I277" s="1" t="s">
        <v>987</v>
      </c>
    </row>
    <row r="278" spans="1:9" x14ac:dyDescent="0.25">
      <c r="A278" s="1" t="s">
        <v>1414</v>
      </c>
      <c r="B278" s="1" t="s">
        <v>1413</v>
      </c>
      <c r="C278" s="1" t="s">
        <v>1350</v>
      </c>
      <c r="D278" s="1" t="s">
        <v>1068</v>
      </c>
      <c r="E278" s="1" t="s">
        <v>1542</v>
      </c>
      <c r="F278" s="1" t="s">
        <v>1084</v>
      </c>
      <c r="G278" s="1">
        <v>5</v>
      </c>
      <c r="H278" s="78">
        <v>46084</v>
      </c>
      <c r="I278" s="1" t="s">
        <v>987</v>
      </c>
    </row>
    <row r="279" spans="1:9" x14ac:dyDescent="0.25">
      <c r="A279" s="1" t="s">
        <v>1415</v>
      </c>
      <c r="B279" s="1" t="s">
        <v>1416</v>
      </c>
      <c r="C279" s="1" t="s">
        <v>1350</v>
      </c>
      <c r="D279" s="1" t="s">
        <v>1068</v>
      </c>
      <c r="E279" s="1" t="s">
        <v>1542</v>
      </c>
      <c r="F279" s="1" t="s">
        <v>1177</v>
      </c>
      <c r="G279" s="1">
        <v>50</v>
      </c>
      <c r="H279" s="78">
        <v>46084</v>
      </c>
      <c r="I279" s="1" t="s">
        <v>987</v>
      </c>
    </row>
    <row r="280" spans="1:9" x14ac:dyDescent="0.25">
      <c r="A280" s="1" t="s">
        <v>1417</v>
      </c>
      <c r="B280" s="1" t="s">
        <v>1418</v>
      </c>
      <c r="C280" s="1" t="s">
        <v>1350</v>
      </c>
      <c r="D280" s="1" t="s">
        <v>1068</v>
      </c>
      <c r="E280" s="1" t="s">
        <v>1542</v>
      </c>
      <c r="F280" s="1" t="s">
        <v>1177</v>
      </c>
      <c r="G280" s="1">
        <v>80</v>
      </c>
      <c r="H280" s="78">
        <v>46084</v>
      </c>
      <c r="I280" s="1" t="s">
        <v>987</v>
      </c>
    </row>
    <row r="281" spans="1:9" x14ac:dyDescent="0.25">
      <c r="A281" s="1" t="s">
        <v>1419</v>
      </c>
      <c r="B281" s="1" t="s">
        <v>1420</v>
      </c>
      <c r="C281" s="1" t="s">
        <v>1350</v>
      </c>
      <c r="D281" s="1" t="s">
        <v>1068</v>
      </c>
      <c r="E281" s="1" t="s">
        <v>1542</v>
      </c>
      <c r="F281" s="1" t="s">
        <v>1177</v>
      </c>
      <c r="G281" s="1">
        <v>30</v>
      </c>
      <c r="H281" s="78">
        <v>46084</v>
      </c>
      <c r="I281" s="1" t="s">
        <v>987</v>
      </c>
    </row>
    <row r="282" spans="1:9" x14ac:dyDescent="0.25">
      <c r="A282" s="1" t="s">
        <v>1421</v>
      </c>
      <c r="B282" s="1" t="s">
        <v>1422</v>
      </c>
      <c r="C282" s="1" t="s">
        <v>1423</v>
      </c>
      <c r="D282" s="1" t="s">
        <v>1068</v>
      </c>
      <c r="E282" s="1" t="s">
        <v>1727</v>
      </c>
      <c r="F282" s="1" t="s">
        <v>1110</v>
      </c>
      <c r="G282" s="1">
        <v>559</v>
      </c>
      <c r="H282" s="78">
        <v>46084</v>
      </c>
      <c r="I282" s="1" t="s">
        <v>987</v>
      </c>
    </row>
    <row r="283" spans="1:9" x14ac:dyDescent="0.25">
      <c r="A283" s="1" t="s">
        <v>1424</v>
      </c>
      <c r="B283" s="1" t="s">
        <v>1425</v>
      </c>
      <c r="C283" s="1" t="s">
        <v>1423</v>
      </c>
      <c r="D283" s="1" t="s">
        <v>1068</v>
      </c>
      <c r="E283" s="1" t="s">
        <v>1729</v>
      </c>
      <c r="F283" s="1" t="s">
        <v>1110</v>
      </c>
      <c r="G283" s="1">
        <v>60.74</v>
      </c>
      <c r="H283" s="78">
        <v>46084</v>
      </c>
      <c r="I283" s="1" t="s">
        <v>987</v>
      </c>
    </row>
    <row r="284" spans="1:9" x14ac:dyDescent="0.25">
      <c r="A284" s="1" t="s">
        <v>1426</v>
      </c>
      <c r="B284" s="1" t="s">
        <v>1427</v>
      </c>
      <c r="C284" s="1" t="s">
        <v>1423</v>
      </c>
      <c r="D284" s="1" t="s">
        <v>1068</v>
      </c>
      <c r="E284" s="1" t="s">
        <v>1762</v>
      </c>
      <c r="F284" s="1" t="s">
        <v>1110</v>
      </c>
      <c r="G284" s="1">
        <v>182</v>
      </c>
      <c r="H284" s="78">
        <v>46084</v>
      </c>
      <c r="I284" s="1" t="s">
        <v>987</v>
      </c>
    </row>
    <row r="285" spans="1:9" x14ac:dyDescent="0.25">
      <c r="A285" s="1" t="s">
        <v>1428</v>
      </c>
      <c r="B285" s="1" t="s">
        <v>1429</v>
      </c>
      <c r="C285" s="1" t="s">
        <v>1423</v>
      </c>
      <c r="D285" s="1" t="s">
        <v>1068</v>
      </c>
      <c r="E285" s="1" t="s">
        <v>1762</v>
      </c>
      <c r="F285" s="1" t="s">
        <v>1177</v>
      </c>
      <c r="G285" s="1">
        <v>172.84</v>
      </c>
      <c r="H285" s="78">
        <v>46084</v>
      </c>
      <c r="I285" s="1" t="s">
        <v>987</v>
      </c>
    </row>
    <row r="286" spans="1:9" x14ac:dyDescent="0.25">
      <c r="A286" s="1" t="s">
        <v>1426</v>
      </c>
      <c r="B286" s="1" t="s">
        <v>1427</v>
      </c>
      <c r="C286" s="1" t="s">
        <v>1423</v>
      </c>
      <c r="D286" s="1" t="s">
        <v>1068</v>
      </c>
      <c r="E286" s="1" t="s">
        <v>1765</v>
      </c>
      <c r="F286" s="1" t="s">
        <v>1110</v>
      </c>
      <c r="G286" s="1">
        <v>182</v>
      </c>
      <c r="H286" s="78">
        <v>46084</v>
      </c>
      <c r="I286" s="1" t="s">
        <v>987</v>
      </c>
    </row>
    <row r="287" spans="1:9" x14ac:dyDescent="0.25">
      <c r="A287" s="1" t="s">
        <v>1428</v>
      </c>
      <c r="B287" s="1" t="s">
        <v>1429</v>
      </c>
      <c r="C287" s="1" t="s">
        <v>1423</v>
      </c>
      <c r="D287" s="1" t="s">
        <v>1068</v>
      </c>
      <c r="E287" s="1" t="s">
        <v>1765</v>
      </c>
      <c r="F287" s="1" t="s">
        <v>1177</v>
      </c>
      <c r="G287" s="1">
        <v>172.84</v>
      </c>
      <c r="H287" s="78">
        <v>46084</v>
      </c>
      <c r="I287" s="1" t="s">
        <v>987</v>
      </c>
    </row>
    <row r="288" spans="1:9" x14ac:dyDescent="0.25">
      <c r="A288" s="1" t="s">
        <v>1430</v>
      </c>
      <c r="B288" s="1" t="s">
        <v>1431</v>
      </c>
      <c r="C288" s="1" t="s">
        <v>1432</v>
      </c>
      <c r="D288" s="1" t="s">
        <v>1068</v>
      </c>
      <c r="E288" s="1" t="s">
        <v>1542</v>
      </c>
      <c r="F288" s="1" t="s">
        <v>1084</v>
      </c>
      <c r="G288" s="1">
        <v>1</v>
      </c>
      <c r="H288" s="78">
        <v>46084</v>
      </c>
      <c r="I288" s="1" t="s">
        <v>987</v>
      </c>
    </row>
    <row r="289" spans="1:9" x14ac:dyDescent="0.25">
      <c r="A289" s="1" t="s">
        <v>1433</v>
      </c>
      <c r="B289" s="1" t="s">
        <v>1434</v>
      </c>
      <c r="C289" s="1" t="s">
        <v>1435</v>
      </c>
      <c r="D289" s="1" t="s">
        <v>1068</v>
      </c>
      <c r="E289" s="1" t="s">
        <v>1542</v>
      </c>
      <c r="F289" s="1" t="s">
        <v>1110</v>
      </c>
      <c r="G289" s="1">
        <v>190</v>
      </c>
      <c r="H289" s="78">
        <v>46084</v>
      </c>
      <c r="I289" s="1" t="s">
        <v>987</v>
      </c>
    </row>
    <row r="290" spans="1:9" x14ac:dyDescent="0.25">
      <c r="A290" s="1" t="s">
        <v>1433</v>
      </c>
      <c r="B290" s="1" t="s">
        <v>1434</v>
      </c>
      <c r="C290" s="1" t="s">
        <v>1435</v>
      </c>
      <c r="D290" s="1" t="s">
        <v>1070</v>
      </c>
      <c r="E290" s="1" t="s">
        <v>1542</v>
      </c>
      <c r="F290" s="1" t="s">
        <v>1110</v>
      </c>
      <c r="G290" s="1">
        <v>233.97</v>
      </c>
      <c r="H290" s="78">
        <v>46084</v>
      </c>
      <c r="I290" s="1" t="s">
        <v>987</v>
      </c>
    </row>
    <row r="291" spans="1:9" x14ac:dyDescent="0.25">
      <c r="A291" s="1" t="s">
        <v>1436</v>
      </c>
      <c r="B291" s="1" t="s">
        <v>1437</v>
      </c>
      <c r="C291" s="1" t="s">
        <v>1438</v>
      </c>
      <c r="D291" s="1" t="s">
        <v>1068</v>
      </c>
      <c r="E291" s="1" t="s">
        <v>1727</v>
      </c>
      <c r="F291" s="1" t="s">
        <v>1110</v>
      </c>
      <c r="G291" s="1">
        <v>1701</v>
      </c>
      <c r="H291" s="78">
        <v>46084</v>
      </c>
      <c r="I291" s="1" t="s">
        <v>987</v>
      </c>
    </row>
    <row r="292" spans="1:9" x14ac:dyDescent="0.25">
      <c r="A292" s="1" t="s">
        <v>1439</v>
      </c>
      <c r="B292" s="1" t="s">
        <v>1440</v>
      </c>
      <c r="C292" s="1" t="s">
        <v>1438</v>
      </c>
      <c r="D292" s="1" t="s">
        <v>1068</v>
      </c>
      <c r="E292" s="1" t="s">
        <v>1727</v>
      </c>
      <c r="F292" s="1" t="s">
        <v>1110</v>
      </c>
      <c r="G292" s="1">
        <v>1701</v>
      </c>
      <c r="H292" s="78">
        <v>46084</v>
      </c>
      <c r="I292" s="1" t="s">
        <v>987</v>
      </c>
    </row>
    <row r="293" spans="1:9" x14ac:dyDescent="0.25">
      <c r="A293" s="1" t="s">
        <v>1441</v>
      </c>
      <c r="B293" s="1" t="s">
        <v>1437</v>
      </c>
      <c r="C293" s="1" t="s">
        <v>1438</v>
      </c>
      <c r="D293" s="1" t="s">
        <v>1068</v>
      </c>
      <c r="E293" s="1" t="s">
        <v>1727</v>
      </c>
      <c r="F293" s="1" t="s">
        <v>1110</v>
      </c>
      <c r="G293" s="1">
        <v>210</v>
      </c>
      <c r="H293" s="78">
        <v>46084</v>
      </c>
      <c r="I293" s="1" t="s">
        <v>987</v>
      </c>
    </row>
    <row r="294" spans="1:9" x14ac:dyDescent="0.25">
      <c r="A294" s="1" t="s">
        <v>1442</v>
      </c>
      <c r="B294" s="1" t="s">
        <v>1440</v>
      </c>
      <c r="C294" s="1" t="s">
        <v>1438</v>
      </c>
      <c r="D294" s="1" t="s">
        <v>1068</v>
      </c>
      <c r="E294" s="1" t="s">
        <v>1727</v>
      </c>
      <c r="F294" s="1" t="s">
        <v>1110</v>
      </c>
      <c r="G294" s="1">
        <v>210</v>
      </c>
      <c r="H294" s="78">
        <v>46084</v>
      </c>
      <c r="I294" s="1" t="s">
        <v>987</v>
      </c>
    </row>
    <row r="295" spans="1:9" x14ac:dyDescent="0.25">
      <c r="A295" s="1" t="s">
        <v>1436</v>
      </c>
      <c r="B295" s="1" t="s">
        <v>1437</v>
      </c>
      <c r="C295" s="1" t="s">
        <v>1438</v>
      </c>
      <c r="D295" s="1" t="s">
        <v>1068</v>
      </c>
      <c r="E295" s="1" t="s">
        <v>1729</v>
      </c>
      <c r="F295" s="1" t="s">
        <v>1110</v>
      </c>
      <c r="G295" s="1">
        <v>1649</v>
      </c>
      <c r="H295" s="78">
        <v>46084</v>
      </c>
      <c r="I295" s="1" t="s">
        <v>987</v>
      </c>
    </row>
    <row r="296" spans="1:9" x14ac:dyDescent="0.25">
      <c r="A296" s="1" t="s">
        <v>1439</v>
      </c>
      <c r="B296" s="1" t="s">
        <v>1440</v>
      </c>
      <c r="C296" s="1" t="s">
        <v>1438</v>
      </c>
      <c r="D296" s="1" t="s">
        <v>1068</v>
      </c>
      <c r="E296" s="1" t="s">
        <v>1729</v>
      </c>
      <c r="F296" s="1" t="s">
        <v>1110</v>
      </c>
      <c r="G296" s="1">
        <v>1649</v>
      </c>
      <c r="H296" s="78">
        <v>46084</v>
      </c>
      <c r="I296" s="1" t="s">
        <v>987</v>
      </c>
    </row>
    <row r="297" spans="1:9" x14ac:dyDescent="0.25">
      <c r="A297" s="1" t="s">
        <v>1441</v>
      </c>
      <c r="B297" s="1" t="s">
        <v>1437</v>
      </c>
      <c r="C297" s="1" t="s">
        <v>1438</v>
      </c>
      <c r="D297" s="1" t="s">
        <v>1068</v>
      </c>
      <c r="E297" s="1" t="s">
        <v>1729</v>
      </c>
      <c r="F297" s="1" t="s">
        <v>1110</v>
      </c>
      <c r="G297" s="1">
        <v>804</v>
      </c>
      <c r="H297" s="78">
        <v>46084</v>
      </c>
      <c r="I297" s="1" t="s">
        <v>987</v>
      </c>
    </row>
    <row r="298" spans="1:9" x14ac:dyDescent="0.25">
      <c r="A298" s="1" t="s">
        <v>1442</v>
      </c>
      <c r="B298" s="1" t="s">
        <v>1440</v>
      </c>
      <c r="C298" s="1" t="s">
        <v>1438</v>
      </c>
      <c r="D298" s="1" t="s">
        <v>1068</v>
      </c>
      <c r="E298" s="1" t="s">
        <v>1729</v>
      </c>
      <c r="F298" s="1" t="s">
        <v>1110</v>
      </c>
      <c r="G298" s="1">
        <v>804</v>
      </c>
      <c r="H298" s="78">
        <v>46084</v>
      </c>
      <c r="I298" s="1" t="s">
        <v>987</v>
      </c>
    </row>
    <row r="299" spans="1:9" x14ac:dyDescent="0.25">
      <c r="A299" s="1" t="s">
        <v>1436</v>
      </c>
      <c r="B299" s="1" t="s">
        <v>1437</v>
      </c>
      <c r="C299" s="1" t="s">
        <v>1438</v>
      </c>
      <c r="D299" s="1" t="s">
        <v>1068</v>
      </c>
      <c r="E299" s="1" t="s">
        <v>1762</v>
      </c>
      <c r="F299" s="1" t="s">
        <v>1110</v>
      </c>
      <c r="G299" s="1">
        <v>415.08</v>
      </c>
      <c r="H299" s="78">
        <v>46084</v>
      </c>
      <c r="I299" s="1" t="s">
        <v>987</v>
      </c>
    </row>
    <row r="300" spans="1:9" x14ac:dyDescent="0.25">
      <c r="A300" s="1" t="s">
        <v>1439</v>
      </c>
      <c r="B300" s="1" t="s">
        <v>1440</v>
      </c>
      <c r="C300" s="1" t="s">
        <v>1438</v>
      </c>
      <c r="D300" s="1" t="s">
        <v>1068</v>
      </c>
      <c r="E300" s="1" t="s">
        <v>1762</v>
      </c>
      <c r="F300" s="1" t="s">
        <v>1110</v>
      </c>
      <c r="G300" s="1">
        <v>415.08</v>
      </c>
      <c r="H300" s="78">
        <v>46084</v>
      </c>
      <c r="I300" s="1" t="s">
        <v>987</v>
      </c>
    </row>
    <row r="301" spans="1:9" x14ac:dyDescent="0.25">
      <c r="A301" s="1" t="s">
        <v>1441</v>
      </c>
      <c r="B301" s="1" t="s">
        <v>1437</v>
      </c>
      <c r="C301" s="1" t="s">
        <v>1438</v>
      </c>
      <c r="D301" s="1" t="s">
        <v>1068</v>
      </c>
      <c r="E301" s="1" t="s">
        <v>1762</v>
      </c>
      <c r="F301" s="1" t="s">
        <v>1110</v>
      </c>
      <c r="G301" s="1">
        <v>182</v>
      </c>
      <c r="H301" s="78">
        <v>46084</v>
      </c>
      <c r="I301" s="1" t="s">
        <v>987</v>
      </c>
    </row>
    <row r="302" spans="1:9" x14ac:dyDescent="0.25">
      <c r="A302" s="1" t="s">
        <v>1442</v>
      </c>
      <c r="B302" s="1" t="s">
        <v>1440</v>
      </c>
      <c r="C302" s="1" t="s">
        <v>1438</v>
      </c>
      <c r="D302" s="1" t="s">
        <v>1068</v>
      </c>
      <c r="E302" s="1" t="s">
        <v>1762</v>
      </c>
      <c r="F302" s="1" t="s">
        <v>1110</v>
      </c>
      <c r="G302" s="1">
        <v>182</v>
      </c>
      <c r="H302" s="78">
        <v>46084</v>
      </c>
      <c r="I302" s="1" t="s">
        <v>987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1C11-A573-4443-B2B5-D629BFDFA7D1}">
  <sheetPr>
    <tabColor theme="9" tint="-0.249977111117893"/>
  </sheetPr>
  <dimension ref="A1:T189"/>
  <sheetViews>
    <sheetView workbookViewId="0">
      <selection sqref="A1:T189"/>
    </sheetView>
  </sheetViews>
  <sheetFormatPr baseColWidth="10" defaultRowHeight="15" x14ac:dyDescent="0.25"/>
  <cols>
    <col min="1" max="1" width="42.5703125" bestFit="1" customWidth="1"/>
    <col min="2" max="2" width="81.140625" bestFit="1" customWidth="1"/>
    <col min="3" max="3" width="6.7109375" bestFit="1" customWidth="1"/>
    <col min="4" max="4" width="18.42578125" customWidth="1"/>
    <col min="5" max="5" width="12.5703125" bestFit="1" customWidth="1"/>
    <col min="6" max="6" width="8.7109375" bestFit="1" customWidth="1"/>
    <col min="7" max="7" width="17" bestFit="1" customWidth="1"/>
    <col min="8" max="8" width="12.85546875" bestFit="1" customWidth="1"/>
    <col min="9" max="9" width="16.140625" bestFit="1" customWidth="1"/>
    <col min="10" max="10" width="21.140625" bestFit="1" customWidth="1"/>
    <col min="11" max="11" width="14.7109375" bestFit="1" customWidth="1"/>
    <col min="12" max="12" width="21.85546875" bestFit="1" customWidth="1"/>
    <col min="13" max="13" width="12.42578125" bestFit="1" customWidth="1"/>
    <col min="14" max="14" width="14.28515625" bestFit="1" customWidth="1"/>
    <col min="15" max="15" width="26.140625" bestFit="1" customWidth="1"/>
    <col min="16" max="17" width="23" bestFit="1" customWidth="1"/>
    <col min="18" max="18" width="25.140625" bestFit="1" customWidth="1"/>
    <col min="19" max="19" width="8.42578125" bestFit="1" customWidth="1"/>
    <col min="20" max="20" width="17" bestFit="1" customWidth="1"/>
    <col min="21" max="21" width="18.42578125" bestFit="1" customWidth="1"/>
  </cols>
  <sheetData>
    <row r="1" spans="1:20" x14ac:dyDescent="0.25">
      <c r="A1" t="s">
        <v>1072</v>
      </c>
      <c r="B1" t="s">
        <v>1073</v>
      </c>
      <c r="C1" t="s">
        <v>1074</v>
      </c>
      <c r="D1" t="s">
        <v>1053</v>
      </c>
      <c r="E1" t="s">
        <v>1076</v>
      </c>
      <c r="F1" t="s">
        <v>1075</v>
      </c>
      <c r="G1" t="s">
        <v>1443</v>
      </c>
      <c r="H1" t="s">
        <v>979</v>
      </c>
      <c r="I1" t="s">
        <v>2225</v>
      </c>
      <c r="J1" t="s">
        <v>2226</v>
      </c>
      <c r="K1" t="s">
        <v>1049</v>
      </c>
      <c r="L1" t="s">
        <v>2227</v>
      </c>
      <c r="M1" t="s">
        <v>2228</v>
      </c>
      <c r="N1" t="s">
        <v>2229</v>
      </c>
      <c r="O1" t="s">
        <v>2230</v>
      </c>
      <c r="P1" t="s">
        <v>2231</v>
      </c>
      <c r="Q1" t="s">
        <v>2232</v>
      </c>
      <c r="R1" t="s">
        <v>2233</v>
      </c>
      <c r="S1" t="s">
        <v>1080</v>
      </c>
      <c r="T1" t="s">
        <v>2234</v>
      </c>
    </row>
    <row r="2" spans="1:20" x14ac:dyDescent="0.25">
      <c r="A2" s="261" t="s">
        <v>1433</v>
      </c>
      <c r="B2" s="261" t="s">
        <v>1434</v>
      </c>
      <c r="C2" s="261" t="s">
        <v>1435</v>
      </c>
      <c r="D2" s="261" t="s">
        <v>1039</v>
      </c>
      <c r="E2">
        <v>174750</v>
      </c>
      <c r="F2" s="261" t="s">
        <v>1110</v>
      </c>
      <c r="G2">
        <v>9760</v>
      </c>
      <c r="H2" s="261"/>
      <c r="I2" s="261"/>
      <c r="K2">
        <v>1</v>
      </c>
      <c r="L2" s="261"/>
      <c r="P2" s="261"/>
      <c r="Q2" s="261"/>
      <c r="R2" s="215"/>
      <c r="S2">
        <v>1</v>
      </c>
      <c r="T2" s="261"/>
    </row>
    <row r="3" spans="1:20" x14ac:dyDescent="0.25">
      <c r="A3" s="261" t="s">
        <v>1430</v>
      </c>
      <c r="B3" s="261" t="s">
        <v>1431</v>
      </c>
      <c r="C3" s="261" t="s">
        <v>1432</v>
      </c>
      <c r="D3" s="261" t="s">
        <v>1008</v>
      </c>
      <c r="E3">
        <v>25300000</v>
      </c>
      <c r="F3" s="261" t="s">
        <v>1084</v>
      </c>
      <c r="H3" s="261"/>
      <c r="I3" s="261"/>
      <c r="K3">
        <v>1</v>
      </c>
      <c r="L3" s="261"/>
      <c r="P3" s="261"/>
      <c r="Q3" s="261"/>
      <c r="R3" s="215"/>
      <c r="S3">
        <v>1</v>
      </c>
      <c r="T3" s="261"/>
    </row>
    <row r="4" spans="1:20" x14ac:dyDescent="0.25">
      <c r="A4" s="261" t="s">
        <v>1346</v>
      </c>
      <c r="B4" s="261" t="s">
        <v>1347</v>
      </c>
      <c r="C4" s="261" t="s">
        <v>1305</v>
      </c>
      <c r="D4" s="261" t="s">
        <v>1017</v>
      </c>
      <c r="E4">
        <v>230000</v>
      </c>
      <c r="F4" s="261" t="s">
        <v>1084</v>
      </c>
      <c r="G4">
        <v>33550</v>
      </c>
      <c r="H4" s="261"/>
      <c r="I4" s="261"/>
      <c r="K4">
        <v>1</v>
      </c>
      <c r="L4" s="261"/>
      <c r="P4" s="261"/>
      <c r="Q4" s="261"/>
      <c r="R4" s="215"/>
      <c r="S4">
        <v>1</v>
      </c>
      <c r="T4" s="261"/>
    </row>
    <row r="5" spans="1:20" x14ac:dyDescent="0.25">
      <c r="A5" s="261" t="s">
        <v>1293</v>
      </c>
      <c r="B5" s="261" t="s">
        <v>1294</v>
      </c>
      <c r="C5" s="261" t="s">
        <v>1278</v>
      </c>
      <c r="D5" s="261" t="s">
        <v>1020</v>
      </c>
      <c r="E5">
        <v>1437500</v>
      </c>
      <c r="F5" s="261" t="s">
        <v>1084</v>
      </c>
      <c r="H5" s="261"/>
      <c r="I5" s="261"/>
      <c r="K5">
        <v>1</v>
      </c>
      <c r="L5" s="261"/>
      <c r="P5" s="261"/>
      <c r="Q5" s="261"/>
      <c r="R5" s="215"/>
      <c r="S5">
        <v>1</v>
      </c>
      <c r="T5" s="261"/>
    </row>
    <row r="6" spans="1:20" x14ac:dyDescent="0.25">
      <c r="A6" s="261" t="s">
        <v>1295</v>
      </c>
      <c r="B6" s="261" t="s">
        <v>1296</v>
      </c>
      <c r="C6" s="261" t="s">
        <v>1278</v>
      </c>
      <c r="D6" s="261" t="s">
        <v>1020</v>
      </c>
      <c r="E6">
        <v>13800000</v>
      </c>
      <c r="F6" s="261" t="s">
        <v>1084</v>
      </c>
      <c r="H6" s="261"/>
      <c r="I6" s="261"/>
      <c r="K6">
        <v>1</v>
      </c>
      <c r="L6" s="261"/>
      <c r="P6" s="261"/>
      <c r="Q6" s="261"/>
      <c r="R6" s="215"/>
      <c r="S6">
        <v>1</v>
      </c>
      <c r="T6" s="261"/>
    </row>
    <row r="7" spans="1:20" x14ac:dyDescent="0.25">
      <c r="A7" s="261" t="s">
        <v>1301</v>
      </c>
      <c r="B7" s="261" t="s">
        <v>1302</v>
      </c>
      <c r="C7" s="261" t="s">
        <v>1278</v>
      </c>
      <c r="D7" s="261" t="s">
        <v>1020</v>
      </c>
      <c r="E7">
        <v>138000</v>
      </c>
      <c r="F7" s="261" t="s">
        <v>1084</v>
      </c>
      <c r="G7">
        <v>7930</v>
      </c>
      <c r="H7" s="261"/>
      <c r="I7" s="261"/>
      <c r="K7">
        <v>1</v>
      </c>
      <c r="L7" s="261"/>
      <c r="P7" s="261"/>
      <c r="Q7" s="261"/>
      <c r="R7" s="215"/>
      <c r="S7">
        <v>1</v>
      </c>
      <c r="T7" s="261"/>
    </row>
    <row r="8" spans="1:20" x14ac:dyDescent="0.25">
      <c r="A8" s="261" t="s">
        <v>1297</v>
      </c>
      <c r="B8" s="261" t="s">
        <v>1298</v>
      </c>
      <c r="C8" s="261" t="s">
        <v>1278</v>
      </c>
      <c r="D8" s="261" t="s">
        <v>1020</v>
      </c>
      <c r="E8">
        <v>80500</v>
      </c>
      <c r="F8" s="261" t="s">
        <v>1084</v>
      </c>
      <c r="G8">
        <v>4880</v>
      </c>
      <c r="H8" s="261"/>
      <c r="I8" s="261"/>
      <c r="K8">
        <v>1</v>
      </c>
      <c r="L8" s="261"/>
      <c r="P8" s="261"/>
      <c r="Q8" s="261"/>
      <c r="R8" s="215"/>
      <c r="S8">
        <v>1</v>
      </c>
      <c r="T8" s="261"/>
    </row>
    <row r="9" spans="1:20" x14ac:dyDescent="0.25">
      <c r="A9" s="261" t="s">
        <v>1299</v>
      </c>
      <c r="B9" s="261" t="s">
        <v>1300</v>
      </c>
      <c r="C9" s="261" t="s">
        <v>1278</v>
      </c>
      <c r="D9" s="261" t="s">
        <v>1020</v>
      </c>
      <c r="E9">
        <v>97750</v>
      </c>
      <c r="F9" s="261" t="s">
        <v>1084</v>
      </c>
      <c r="G9">
        <v>6405</v>
      </c>
      <c r="H9" s="261"/>
      <c r="I9" s="261"/>
      <c r="K9">
        <v>1</v>
      </c>
      <c r="L9" s="261"/>
      <c r="P9" s="261"/>
      <c r="Q9" s="261"/>
      <c r="R9" s="215"/>
      <c r="S9">
        <v>1</v>
      </c>
      <c r="T9" s="261"/>
    </row>
    <row r="10" spans="1:20" x14ac:dyDescent="0.25">
      <c r="A10" s="261" t="s">
        <v>1285</v>
      </c>
      <c r="B10" s="261" t="s">
        <v>1286</v>
      </c>
      <c r="C10" s="261" t="s">
        <v>1278</v>
      </c>
      <c r="D10" s="261" t="s">
        <v>1020</v>
      </c>
      <c r="E10">
        <v>690000</v>
      </c>
      <c r="F10" s="261" t="s">
        <v>1084</v>
      </c>
      <c r="H10" s="261"/>
      <c r="I10" s="261"/>
      <c r="K10">
        <v>1</v>
      </c>
      <c r="L10" s="261"/>
      <c r="P10" s="261"/>
      <c r="Q10" s="261"/>
      <c r="R10" s="215"/>
      <c r="S10">
        <v>1</v>
      </c>
      <c r="T10" s="261"/>
    </row>
    <row r="11" spans="1:20" x14ac:dyDescent="0.25">
      <c r="A11" s="261" t="s">
        <v>1291</v>
      </c>
      <c r="B11" s="261" t="s">
        <v>1292</v>
      </c>
      <c r="C11" s="261" t="s">
        <v>1278</v>
      </c>
      <c r="D11" s="261" t="s">
        <v>1020</v>
      </c>
      <c r="E11">
        <v>1265000</v>
      </c>
      <c r="F11" s="261" t="s">
        <v>1084</v>
      </c>
      <c r="H11" s="261"/>
      <c r="I11" s="261"/>
      <c r="K11">
        <v>1</v>
      </c>
      <c r="L11" s="261"/>
      <c r="P11" s="261"/>
      <c r="Q11" s="261"/>
      <c r="R11" s="215"/>
      <c r="S11">
        <v>1</v>
      </c>
      <c r="T11" s="261"/>
    </row>
    <row r="12" spans="1:20" x14ac:dyDescent="0.25">
      <c r="A12" s="261" t="s">
        <v>1289</v>
      </c>
      <c r="B12" s="261" t="s">
        <v>1290</v>
      </c>
      <c r="C12" s="261" t="s">
        <v>1278</v>
      </c>
      <c r="D12" s="261" t="s">
        <v>1020</v>
      </c>
      <c r="E12">
        <v>1035000</v>
      </c>
      <c r="F12" s="261" t="s">
        <v>1084</v>
      </c>
      <c r="H12" s="261"/>
      <c r="I12" s="261"/>
      <c r="K12">
        <v>1</v>
      </c>
      <c r="L12" s="261"/>
      <c r="P12" s="261"/>
      <c r="Q12" s="261"/>
      <c r="R12" s="215"/>
      <c r="S12">
        <v>1</v>
      </c>
      <c r="T12" s="261"/>
    </row>
    <row r="13" spans="1:20" x14ac:dyDescent="0.25">
      <c r="A13" s="261" t="s">
        <v>1287</v>
      </c>
      <c r="B13" s="261" t="s">
        <v>1288</v>
      </c>
      <c r="C13" s="261" t="s">
        <v>1278</v>
      </c>
      <c r="D13" s="261" t="s">
        <v>1020</v>
      </c>
      <c r="E13">
        <v>126500</v>
      </c>
      <c r="F13" s="261" t="s">
        <v>1084</v>
      </c>
      <c r="G13">
        <v>2745</v>
      </c>
      <c r="H13" s="261"/>
      <c r="I13" s="261"/>
      <c r="K13">
        <v>1</v>
      </c>
      <c r="L13" s="261"/>
      <c r="P13" s="261"/>
      <c r="Q13" s="261"/>
      <c r="R13" s="215"/>
      <c r="S13">
        <v>1</v>
      </c>
      <c r="T13" s="261"/>
    </row>
    <row r="14" spans="1:20" x14ac:dyDescent="0.25">
      <c r="A14" s="261" t="s">
        <v>1276</v>
      </c>
      <c r="B14" s="261" t="s">
        <v>1277</v>
      </c>
      <c r="C14" s="261" t="s">
        <v>1278</v>
      </c>
      <c r="D14" s="261" t="s">
        <v>1020</v>
      </c>
      <c r="E14">
        <v>2300000</v>
      </c>
      <c r="F14" s="261" t="s">
        <v>1084</v>
      </c>
      <c r="G14">
        <v>457500</v>
      </c>
      <c r="H14" s="261"/>
      <c r="I14" s="261"/>
      <c r="K14">
        <v>1</v>
      </c>
      <c r="L14" s="261"/>
      <c r="P14" s="261"/>
      <c r="Q14" s="261"/>
      <c r="R14" s="215"/>
      <c r="S14">
        <v>1</v>
      </c>
      <c r="T14" s="261"/>
    </row>
    <row r="15" spans="1:20" x14ac:dyDescent="0.25">
      <c r="A15" s="261" t="s">
        <v>1279</v>
      </c>
      <c r="B15" s="261" t="s">
        <v>1280</v>
      </c>
      <c r="C15" s="261" t="s">
        <v>1278</v>
      </c>
      <c r="D15" s="261" t="s">
        <v>1020</v>
      </c>
      <c r="E15">
        <v>345000</v>
      </c>
      <c r="F15" s="261" t="s">
        <v>1084</v>
      </c>
      <c r="G15">
        <v>91500</v>
      </c>
      <c r="H15" s="261"/>
      <c r="I15" s="261"/>
      <c r="K15">
        <v>1</v>
      </c>
      <c r="L15" s="261"/>
      <c r="P15" s="261"/>
      <c r="Q15" s="261"/>
      <c r="R15" s="215"/>
      <c r="S15">
        <v>1</v>
      </c>
      <c r="T15" s="261"/>
    </row>
    <row r="16" spans="1:20" x14ac:dyDescent="0.25">
      <c r="A16" s="261" t="s">
        <v>1281</v>
      </c>
      <c r="B16" s="261" t="s">
        <v>1282</v>
      </c>
      <c r="C16" s="261" t="s">
        <v>1278</v>
      </c>
      <c r="D16" s="261" t="s">
        <v>1020</v>
      </c>
      <c r="E16">
        <v>460000</v>
      </c>
      <c r="F16" s="261" t="s">
        <v>1084</v>
      </c>
      <c r="G16">
        <v>118950</v>
      </c>
      <c r="H16" s="261"/>
      <c r="I16" s="261"/>
      <c r="K16">
        <v>1</v>
      </c>
      <c r="L16" s="261"/>
      <c r="P16" s="261"/>
      <c r="Q16" s="261"/>
      <c r="R16" s="215"/>
      <c r="S16">
        <v>1</v>
      </c>
      <c r="T16" s="261"/>
    </row>
    <row r="17" spans="1:20" x14ac:dyDescent="0.25">
      <c r="A17" s="261" t="s">
        <v>1283</v>
      </c>
      <c r="B17" s="261" t="s">
        <v>1284</v>
      </c>
      <c r="C17" s="261" t="s">
        <v>1278</v>
      </c>
      <c r="D17" s="261" t="s">
        <v>1020</v>
      </c>
      <c r="E17">
        <v>575000</v>
      </c>
      <c r="F17" s="261" t="s">
        <v>1084</v>
      </c>
      <c r="G17">
        <v>152500</v>
      </c>
      <c r="H17" s="261"/>
      <c r="I17" s="261"/>
      <c r="K17">
        <v>1</v>
      </c>
      <c r="L17" s="261"/>
      <c r="P17" s="261"/>
      <c r="Q17" s="261"/>
      <c r="R17" s="215"/>
      <c r="S17">
        <v>1</v>
      </c>
      <c r="T17" s="261"/>
    </row>
    <row r="18" spans="1:20" x14ac:dyDescent="0.25">
      <c r="A18" s="261" t="s">
        <v>1108</v>
      </c>
      <c r="B18" s="261" t="s">
        <v>1109</v>
      </c>
      <c r="C18" s="261" t="s">
        <v>1083</v>
      </c>
      <c r="D18" s="261" t="s">
        <v>1046</v>
      </c>
      <c r="E18">
        <v>5750</v>
      </c>
      <c r="F18" s="261" t="s">
        <v>1110</v>
      </c>
      <c r="H18" s="261"/>
      <c r="I18" s="261"/>
      <c r="K18">
        <v>1</v>
      </c>
      <c r="L18" s="261"/>
      <c r="P18" s="261"/>
      <c r="Q18" s="261"/>
      <c r="R18" s="215"/>
      <c r="S18">
        <v>1</v>
      </c>
      <c r="T18" s="261"/>
    </row>
    <row r="19" spans="1:20" x14ac:dyDescent="0.25">
      <c r="A19" s="261" t="s">
        <v>1106</v>
      </c>
      <c r="B19" s="261" t="s">
        <v>1107</v>
      </c>
      <c r="C19" s="261" t="s">
        <v>1083</v>
      </c>
      <c r="D19" s="261" t="s">
        <v>1046</v>
      </c>
      <c r="E19">
        <v>552000</v>
      </c>
      <c r="F19" s="261" t="s">
        <v>1084</v>
      </c>
      <c r="G19">
        <v>552000</v>
      </c>
      <c r="H19" s="261"/>
      <c r="I19" s="261"/>
      <c r="K19">
        <v>1</v>
      </c>
      <c r="L19" s="261"/>
      <c r="P19" s="261"/>
      <c r="Q19" s="261"/>
      <c r="R19" s="215"/>
      <c r="S19">
        <v>1</v>
      </c>
      <c r="T19" s="261"/>
    </row>
    <row r="20" spans="1:20" x14ac:dyDescent="0.25">
      <c r="A20" s="261" t="s">
        <v>1102</v>
      </c>
      <c r="B20" s="261" t="s">
        <v>1103</v>
      </c>
      <c r="C20" s="261" t="s">
        <v>1083</v>
      </c>
      <c r="D20" s="261" t="s">
        <v>1046</v>
      </c>
      <c r="E20">
        <v>2587500</v>
      </c>
      <c r="F20" s="261" t="s">
        <v>1084</v>
      </c>
      <c r="G20">
        <v>2587500</v>
      </c>
      <c r="H20" s="261"/>
      <c r="I20" s="261"/>
      <c r="K20">
        <v>1</v>
      </c>
      <c r="L20" s="261"/>
      <c r="P20" s="261"/>
      <c r="Q20" s="261"/>
      <c r="R20" s="215"/>
      <c r="S20">
        <v>1</v>
      </c>
      <c r="T20" s="261"/>
    </row>
    <row r="21" spans="1:20" x14ac:dyDescent="0.25">
      <c r="A21" s="261" t="s">
        <v>1104</v>
      </c>
      <c r="B21" s="261" t="s">
        <v>1105</v>
      </c>
      <c r="C21" s="261" t="s">
        <v>1083</v>
      </c>
      <c r="D21" s="261" t="s">
        <v>1046</v>
      </c>
      <c r="E21">
        <v>1725000</v>
      </c>
      <c r="F21" s="261" t="s">
        <v>1084</v>
      </c>
      <c r="G21">
        <v>1725000</v>
      </c>
      <c r="H21" s="261"/>
      <c r="I21" s="261"/>
      <c r="K21">
        <v>1</v>
      </c>
      <c r="L21" s="261"/>
      <c r="P21" s="261"/>
      <c r="Q21" s="261"/>
      <c r="R21" s="215"/>
      <c r="S21">
        <v>1</v>
      </c>
      <c r="T21" s="261"/>
    </row>
    <row r="22" spans="1:20" x14ac:dyDescent="0.25">
      <c r="A22" s="261" t="s">
        <v>1100</v>
      </c>
      <c r="B22" s="261" t="s">
        <v>1101</v>
      </c>
      <c r="C22" s="261" t="s">
        <v>1083</v>
      </c>
      <c r="D22" s="261" t="s">
        <v>1046</v>
      </c>
      <c r="E22">
        <v>1725000</v>
      </c>
      <c r="F22" s="261" t="s">
        <v>1084</v>
      </c>
      <c r="G22">
        <v>1725000</v>
      </c>
      <c r="H22" s="261"/>
      <c r="I22" s="261"/>
      <c r="K22">
        <v>1</v>
      </c>
      <c r="L22" s="261"/>
      <c r="P22" s="261"/>
      <c r="Q22" s="261"/>
      <c r="R22" s="215"/>
      <c r="S22">
        <v>1</v>
      </c>
      <c r="T22" s="261"/>
    </row>
    <row r="23" spans="1:20" x14ac:dyDescent="0.25">
      <c r="A23" s="261" t="s">
        <v>1238</v>
      </c>
      <c r="B23" s="261" t="s">
        <v>1239</v>
      </c>
      <c r="C23" s="261" t="s">
        <v>1229</v>
      </c>
      <c r="D23" s="261" t="s">
        <v>1023</v>
      </c>
      <c r="E23">
        <v>13800</v>
      </c>
      <c r="F23" s="261" t="s">
        <v>1084</v>
      </c>
      <c r="G23">
        <v>3355</v>
      </c>
      <c r="H23" s="261"/>
      <c r="I23" s="261"/>
      <c r="K23">
        <v>1</v>
      </c>
      <c r="L23" s="261"/>
      <c r="P23" s="261"/>
      <c r="Q23" s="261"/>
      <c r="R23" s="215"/>
      <c r="S23">
        <v>1</v>
      </c>
      <c r="T23" s="261"/>
    </row>
    <row r="24" spans="1:20" x14ac:dyDescent="0.25">
      <c r="A24" s="261" t="s">
        <v>1240</v>
      </c>
      <c r="B24" s="261" t="s">
        <v>1241</v>
      </c>
      <c r="C24" s="261" t="s">
        <v>1229</v>
      </c>
      <c r="D24" s="261" t="s">
        <v>1023</v>
      </c>
      <c r="E24">
        <v>20700</v>
      </c>
      <c r="F24" s="261" t="s">
        <v>1084</v>
      </c>
      <c r="G24">
        <v>4880</v>
      </c>
      <c r="H24" s="261"/>
      <c r="I24" s="261"/>
      <c r="K24">
        <v>1</v>
      </c>
      <c r="L24" s="261"/>
      <c r="P24" s="261"/>
      <c r="Q24" s="261"/>
      <c r="R24" s="215"/>
      <c r="S24">
        <v>1</v>
      </c>
      <c r="T24" s="261"/>
    </row>
    <row r="25" spans="1:20" x14ac:dyDescent="0.25">
      <c r="A25" s="261" t="s">
        <v>1236</v>
      </c>
      <c r="B25" s="261" t="s">
        <v>1237</v>
      </c>
      <c r="C25" s="261" t="s">
        <v>1229</v>
      </c>
      <c r="D25" s="261" t="s">
        <v>1023</v>
      </c>
      <c r="E25">
        <v>10350</v>
      </c>
      <c r="F25" s="261" t="s">
        <v>1084</v>
      </c>
      <c r="G25">
        <v>2440</v>
      </c>
      <c r="H25" s="261"/>
      <c r="I25" s="261"/>
      <c r="K25">
        <v>1</v>
      </c>
      <c r="L25" s="261"/>
      <c r="P25" s="261"/>
      <c r="Q25" s="261"/>
      <c r="R25" s="215"/>
      <c r="S25">
        <v>1</v>
      </c>
      <c r="T25" s="261"/>
    </row>
    <row r="26" spans="1:20" x14ac:dyDescent="0.25">
      <c r="A26" s="261" t="s">
        <v>1250</v>
      </c>
      <c r="B26" s="261" t="s">
        <v>1251</v>
      </c>
      <c r="C26" s="261" t="s">
        <v>1229</v>
      </c>
      <c r="D26" s="261" t="s">
        <v>1023</v>
      </c>
      <c r="E26">
        <v>67275</v>
      </c>
      <c r="F26" s="261" t="s">
        <v>1084</v>
      </c>
      <c r="G26">
        <v>14030</v>
      </c>
      <c r="H26" s="261"/>
      <c r="I26" s="261"/>
      <c r="K26">
        <v>1</v>
      </c>
      <c r="L26" s="261"/>
      <c r="P26" s="261"/>
      <c r="Q26" s="261"/>
      <c r="R26" s="215"/>
      <c r="S26">
        <v>1</v>
      </c>
      <c r="T26" s="261"/>
    </row>
    <row r="27" spans="1:20" x14ac:dyDescent="0.25">
      <c r="A27" s="261" t="s">
        <v>1252</v>
      </c>
      <c r="B27" s="261" t="s">
        <v>1253</v>
      </c>
      <c r="C27" s="261" t="s">
        <v>1229</v>
      </c>
      <c r="D27" s="261" t="s">
        <v>1023</v>
      </c>
      <c r="E27">
        <v>43125</v>
      </c>
      <c r="F27" s="261" t="s">
        <v>1084</v>
      </c>
      <c r="G27">
        <v>9760</v>
      </c>
      <c r="H27" s="261"/>
      <c r="I27" s="261"/>
      <c r="K27">
        <v>1</v>
      </c>
      <c r="L27" s="261"/>
      <c r="P27" s="261"/>
      <c r="Q27" s="261"/>
      <c r="R27" s="215"/>
      <c r="S27">
        <v>1</v>
      </c>
      <c r="T27" s="261"/>
    </row>
    <row r="28" spans="1:20" x14ac:dyDescent="0.25">
      <c r="A28" s="261" t="s">
        <v>1258</v>
      </c>
      <c r="B28" s="261" t="s">
        <v>1259</v>
      </c>
      <c r="C28" s="261" t="s">
        <v>1229</v>
      </c>
      <c r="D28" s="261" t="s">
        <v>1023</v>
      </c>
      <c r="E28">
        <v>10350</v>
      </c>
      <c r="F28" s="261" t="s">
        <v>1084</v>
      </c>
      <c r="G28">
        <v>855</v>
      </c>
      <c r="H28" s="261"/>
      <c r="I28" s="261"/>
      <c r="K28">
        <v>1</v>
      </c>
      <c r="L28" s="261"/>
      <c r="P28" s="261"/>
      <c r="Q28" s="261"/>
      <c r="R28" s="215"/>
      <c r="S28">
        <v>1</v>
      </c>
      <c r="T28" s="261"/>
    </row>
    <row r="29" spans="1:20" x14ac:dyDescent="0.25">
      <c r="A29" s="261" t="s">
        <v>1227</v>
      </c>
      <c r="B29" s="261" t="s">
        <v>1228</v>
      </c>
      <c r="C29" s="261" t="s">
        <v>1229</v>
      </c>
      <c r="D29" s="261" t="s">
        <v>1023</v>
      </c>
      <c r="E29">
        <v>40250</v>
      </c>
      <c r="F29" s="261" t="s">
        <v>1084</v>
      </c>
      <c r="G29">
        <v>7320</v>
      </c>
      <c r="H29" s="261"/>
      <c r="I29" s="261"/>
      <c r="K29">
        <v>1</v>
      </c>
      <c r="L29" s="261"/>
      <c r="P29" s="261"/>
      <c r="Q29" s="261"/>
      <c r="R29" s="215"/>
      <c r="S29">
        <v>1</v>
      </c>
      <c r="T29" s="261"/>
    </row>
    <row r="30" spans="1:20" x14ac:dyDescent="0.25">
      <c r="A30" s="261" t="s">
        <v>1260</v>
      </c>
      <c r="B30" s="261" t="s">
        <v>1261</v>
      </c>
      <c r="C30" s="261" t="s">
        <v>1229</v>
      </c>
      <c r="D30" s="261" t="s">
        <v>1023</v>
      </c>
      <c r="E30">
        <v>46000</v>
      </c>
      <c r="F30" s="261" t="s">
        <v>1084</v>
      </c>
      <c r="G30">
        <v>4270</v>
      </c>
      <c r="H30" s="261"/>
      <c r="I30" s="261"/>
      <c r="K30">
        <v>1</v>
      </c>
      <c r="L30" s="261"/>
      <c r="P30" s="261"/>
      <c r="Q30" s="261"/>
      <c r="R30" s="215"/>
      <c r="S30">
        <v>1</v>
      </c>
      <c r="T30" s="261"/>
    </row>
    <row r="31" spans="1:20" x14ac:dyDescent="0.25">
      <c r="A31" s="261" t="s">
        <v>1254</v>
      </c>
      <c r="B31" s="261" t="s">
        <v>1255</v>
      </c>
      <c r="C31" s="261" t="s">
        <v>1229</v>
      </c>
      <c r="D31" s="261" t="s">
        <v>1023</v>
      </c>
      <c r="E31">
        <v>8050</v>
      </c>
      <c r="F31" s="261" t="s">
        <v>1084</v>
      </c>
      <c r="G31">
        <v>580</v>
      </c>
      <c r="H31" s="261"/>
      <c r="I31" s="261"/>
      <c r="K31">
        <v>1</v>
      </c>
      <c r="L31" s="261"/>
      <c r="P31" s="261"/>
      <c r="Q31" s="261"/>
      <c r="R31" s="215"/>
      <c r="S31">
        <v>1</v>
      </c>
      <c r="T31" s="261"/>
    </row>
    <row r="32" spans="1:20" x14ac:dyDescent="0.25">
      <c r="A32" s="261" t="s">
        <v>1256</v>
      </c>
      <c r="B32" s="261" t="s">
        <v>1257</v>
      </c>
      <c r="C32" s="261" t="s">
        <v>1229</v>
      </c>
      <c r="D32" s="261" t="s">
        <v>1023</v>
      </c>
      <c r="E32">
        <v>8050</v>
      </c>
      <c r="F32" s="261" t="s">
        <v>1084</v>
      </c>
      <c r="G32">
        <v>640</v>
      </c>
      <c r="H32" s="261"/>
      <c r="I32" s="261"/>
      <c r="K32">
        <v>1</v>
      </c>
      <c r="L32" s="261"/>
      <c r="P32" s="261"/>
      <c r="Q32" s="261"/>
      <c r="R32" s="215"/>
      <c r="S32">
        <v>1</v>
      </c>
      <c r="T32" s="261"/>
    </row>
    <row r="33" spans="1:20" x14ac:dyDescent="0.25">
      <c r="A33" s="261" t="s">
        <v>1262</v>
      </c>
      <c r="B33" s="261" t="s">
        <v>1263</v>
      </c>
      <c r="C33" s="261" t="s">
        <v>1229</v>
      </c>
      <c r="D33" s="261" t="s">
        <v>1023</v>
      </c>
      <c r="E33">
        <v>4197500</v>
      </c>
      <c r="F33" s="261" t="s">
        <v>1084</v>
      </c>
      <c r="G33">
        <v>610000</v>
      </c>
      <c r="H33" s="261"/>
      <c r="I33" s="261"/>
      <c r="K33">
        <v>1</v>
      </c>
      <c r="L33" s="261"/>
      <c r="P33" s="261"/>
      <c r="Q33" s="261"/>
      <c r="R33" s="215"/>
      <c r="S33">
        <v>1</v>
      </c>
      <c r="T33" s="261"/>
    </row>
    <row r="34" spans="1:20" x14ac:dyDescent="0.25">
      <c r="A34" s="261" t="s">
        <v>1234</v>
      </c>
      <c r="B34" s="261" t="s">
        <v>1235</v>
      </c>
      <c r="C34" s="261" t="s">
        <v>1229</v>
      </c>
      <c r="D34" s="261" t="s">
        <v>1023</v>
      </c>
      <c r="E34">
        <v>4750</v>
      </c>
      <c r="F34" s="261" t="s">
        <v>1084</v>
      </c>
      <c r="G34">
        <v>7625</v>
      </c>
      <c r="H34" s="261"/>
      <c r="I34" s="261"/>
      <c r="K34">
        <v>1</v>
      </c>
      <c r="L34" s="261"/>
      <c r="P34" s="261"/>
      <c r="Q34" s="261"/>
      <c r="R34" s="215"/>
      <c r="S34">
        <v>1</v>
      </c>
      <c r="T34" s="261"/>
    </row>
    <row r="35" spans="1:20" x14ac:dyDescent="0.25">
      <c r="A35" s="261" t="s">
        <v>1274</v>
      </c>
      <c r="B35" s="261" t="s">
        <v>1275</v>
      </c>
      <c r="C35" s="261" t="s">
        <v>1229</v>
      </c>
      <c r="D35" s="261" t="s">
        <v>1023</v>
      </c>
      <c r="E35">
        <v>8050</v>
      </c>
      <c r="F35" s="261" t="s">
        <v>1084</v>
      </c>
      <c r="G35">
        <v>975</v>
      </c>
      <c r="H35" s="261"/>
      <c r="I35" s="261"/>
      <c r="K35">
        <v>1</v>
      </c>
      <c r="L35" s="261"/>
      <c r="P35" s="261"/>
      <c r="Q35" s="261"/>
      <c r="R35" s="215"/>
      <c r="S35">
        <v>1</v>
      </c>
      <c r="T35" s="261"/>
    </row>
    <row r="36" spans="1:20" x14ac:dyDescent="0.25">
      <c r="A36" s="261" t="s">
        <v>1264</v>
      </c>
      <c r="B36" s="261" t="s">
        <v>1265</v>
      </c>
      <c r="C36" s="261" t="s">
        <v>1229</v>
      </c>
      <c r="D36" s="261" t="s">
        <v>1023</v>
      </c>
      <c r="E36">
        <v>5750</v>
      </c>
      <c r="F36" s="261" t="s">
        <v>1084</v>
      </c>
      <c r="G36">
        <v>490</v>
      </c>
      <c r="H36" s="261"/>
      <c r="I36" s="261"/>
      <c r="K36">
        <v>1</v>
      </c>
      <c r="L36" s="261"/>
      <c r="P36" s="261"/>
      <c r="Q36" s="261"/>
      <c r="R36" s="215"/>
      <c r="S36">
        <v>1</v>
      </c>
      <c r="T36" s="261"/>
    </row>
    <row r="37" spans="1:20" x14ac:dyDescent="0.25">
      <c r="A37" s="261" t="s">
        <v>1266</v>
      </c>
      <c r="B37" s="261" t="s">
        <v>1267</v>
      </c>
      <c r="C37" s="261" t="s">
        <v>1229</v>
      </c>
      <c r="D37" s="261" t="s">
        <v>1023</v>
      </c>
      <c r="E37">
        <v>8050</v>
      </c>
      <c r="F37" s="261" t="s">
        <v>1084</v>
      </c>
      <c r="G37">
        <v>640</v>
      </c>
      <c r="H37" s="261"/>
      <c r="I37" s="261"/>
      <c r="K37">
        <v>1</v>
      </c>
      <c r="L37" s="261"/>
      <c r="P37" s="261"/>
      <c r="Q37" s="261"/>
      <c r="R37" s="215"/>
      <c r="S37">
        <v>1</v>
      </c>
      <c r="T37" s="261"/>
    </row>
    <row r="38" spans="1:20" x14ac:dyDescent="0.25">
      <c r="A38" s="261" t="s">
        <v>1268</v>
      </c>
      <c r="B38" s="261" t="s">
        <v>1269</v>
      </c>
      <c r="C38" s="261" t="s">
        <v>1229</v>
      </c>
      <c r="D38" s="261" t="s">
        <v>1023</v>
      </c>
      <c r="E38">
        <v>5750</v>
      </c>
      <c r="F38" s="261" t="s">
        <v>1084</v>
      </c>
      <c r="G38">
        <v>915</v>
      </c>
      <c r="H38" s="261"/>
      <c r="I38" s="261"/>
      <c r="K38">
        <v>1</v>
      </c>
      <c r="L38" s="261"/>
      <c r="P38" s="261"/>
      <c r="Q38" s="261"/>
      <c r="R38" s="215"/>
      <c r="S38">
        <v>1</v>
      </c>
      <c r="T38" s="261"/>
    </row>
    <row r="39" spans="1:20" x14ac:dyDescent="0.25">
      <c r="A39" s="261" t="s">
        <v>1270</v>
      </c>
      <c r="B39" s="261" t="s">
        <v>1271</v>
      </c>
      <c r="C39" s="261" t="s">
        <v>1229</v>
      </c>
      <c r="D39" s="261" t="s">
        <v>1023</v>
      </c>
      <c r="E39">
        <v>5750</v>
      </c>
      <c r="F39" s="261" t="s">
        <v>1084</v>
      </c>
      <c r="G39">
        <v>700</v>
      </c>
      <c r="H39" s="261"/>
      <c r="I39" s="261"/>
      <c r="K39">
        <v>1</v>
      </c>
      <c r="L39" s="261"/>
      <c r="P39" s="261"/>
      <c r="Q39" s="261"/>
      <c r="R39" s="215"/>
      <c r="S39">
        <v>1</v>
      </c>
      <c r="T39" s="261"/>
    </row>
    <row r="40" spans="1:20" x14ac:dyDescent="0.25">
      <c r="A40" s="261" t="s">
        <v>1272</v>
      </c>
      <c r="B40" s="261" t="s">
        <v>1273</v>
      </c>
      <c r="C40" s="261" t="s">
        <v>1229</v>
      </c>
      <c r="D40" s="261" t="s">
        <v>1023</v>
      </c>
      <c r="E40">
        <v>5750</v>
      </c>
      <c r="F40" s="261" t="s">
        <v>1084</v>
      </c>
      <c r="G40">
        <v>700</v>
      </c>
      <c r="H40" s="261"/>
      <c r="I40" s="261"/>
      <c r="K40">
        <v>1</v>
      </c>
      <c r="L40" s="261"/>
      <c r="P40" s="261"/>
      <c r="Q40" s="261"/>
      <c r="R40" s="215"/>
      <c r="S40">
        <v>1</v>
      </c>
      <c r="T40" s="261"/>
    </row>
    <row r="41" spans="1:20" x14ac:dyDescent="0.25">
      <c r="A41" s="261" t="s">
        <v>1230</v>
      </c>
      <c r="B41" s="261" t="s">
        <v>1231</v>
      </c>
      <c r="C41" s="261" t="s">
        <v>1229</v>
      </c>
      <c r="D41" s="261" t="s">
        <v>1023</v>
      </c>
      <c r="E41">
        <v>4750</v>
      </c>
      <c r="F41" s="261" t="s">
        <v>1084</v>
      </c>
      <c r="G41">
        <v>5185</v>
      </c>
      <c r="H41" s="261"/>
      <c r="I41" s="261"/>
      <c r="K41">
        <v>1</v>
      </c>
      <c r="L41" s="261"/>
      <c r="P41" s="261"/>
      <c r="Q41" s="261"/>
      <c r="R41" s="215"/>
      <c r="S41">
        <v>1</v>
      </c>
      <c r="T41" s="261"/>
    </row>
    <row r="42" spans="1:20" x14ac:dyDescent="0.25">
      <c r="A42" s="261" t="s">
        <v>1232</v>
      </c>
      <c r="B42" s="261" t="s">
        <v>1233</v>
      </c>
      <c r="C42" s="261" t="s">
        <v>1229</v>
      </c>
      <c r="D42" s="261" t="s">
        <v>1023</v>
      </c>
      <c r="E42">
        <v>40250</v>
      </c>
      <c r="F42" s="261" t="s">
        <v>1084</v>
      </c>
      <c r="G42">
        <v>6100</v>
      </c>
      <c r="H42" s="261"/>
      <c r="I42" s="261"/>
      <c r="K42">
        <v>1</v>
      </c>
      <c r="L42" s="261"/>
      <c r="P42" s="261"/>
      <c r="Q42" s="261"/>
      <c r="R42" s="215"/>
      <c r="S42">
        <v>1</v>
      </c>
      <c r="T42" s="261"/>
    </row>
    <row r="43" spans="1:20" x14ac:dyDescent="0.25">
      <c r="A43" s="261" t="s">
        <v>1242</v>
      </c>
      <c r="B43" s="261" t="s">
        <v>1243</v>
      </c>
      <c r="C43" s="261" t="s">
        <v>1229</v>
      </c>
      <c r="D43" s="261" t="s">
        <v>1023</v>
      </c>
      <c r="E43">
        <v>34500</v>
      </c>
      <c r="F43" s="261" t="s">
        <v>1084</v>
      </c>
      <c r="G43">
        <v>2745</v>
      </c>
      <c r="H43" s="261"/>
      <c r="I43" s="261"/>
      <c r="K43">
        <v>1</v>
      </c>
      <c r="L43" s="261"/>
      <c r="P43" s="261"/>
      <c r="Q43" s="261"/>
      <c r="R43" s="215"/>
      <c r="S43">
        <v>1</v>
      </c>
      <c r="T43" s="261"/>
    </row>
    <row r="44" spans="1:20" x14ac:dyDescent="0.25">
      <c r="A44" s="261" t="s">
        <v>1248</v>
      </c>
      <c r="B44" s="261" t="s">
        <v>1249</v>
      </c>
      <c r="C44" s="261" t="s">
        <v>1229</v>
      </c>
      <c r="D44" s="261" t="s">
        <v>1023</v>
      </c>
      <c r="E44">
        <v>6900</v>
      </c>
      <c r="F44" s="261" t="s">
        <v>1084</v>
      </c>
      <c r="G44">
        <v>1680</v>
      </c>
      <c r="H44" s="261"/>
      <c r="I44" s="261"/>
      <c r="K44">
        <v>1</v>
      </c>
      <c r="L44" s="261"/>
      <c r="P44" s="261"/>
      <c r="Q44" s="261"/>
      <c r="R44" s="215"/>
      <c r="S44">
        <v>1</v>
      </c>
      <c r="T44" s="261"/>
    </row>
    <row r="45" spans="1:20" x14ac:dyDescent="0.25">
      <c r="A45" s="261" t="s">
        <v>1244</v>
      </c>
      <c r="B45" s="261" t="s">
        <v>1245</v>
      </c>
      <c r="C45" s="261" t="s">
        <v>1229</v>
      </c>
      <c r="D45" s="261" t="s">
        <v>1023</v>
      </c>
      <c r="E45">
        <v>18400</v>
      </c>
      <c r="F45" s="261" t="s">
        <v>1084</v>
      </c>
      <c r="G45">
        <v>2440</v>
      </c>
      <c r="H45" s="261"/>
      <c r="I45" s="261"/>
      <c r="K45">
        <v>1</v>
      </c>
      <c r="L45" s="261"/>
      <c r="P45" s="261"/>
      <c r="Q45" s="261"/>
      <c r="R45" s="215"/>
      <c r="S45">
        <v>1</v>
      </c>
      <c r="T45" s="261"/>
    </row>
    <row r="46" spans="1:20" x14ac:dyDescent="0.25">
      <c r="A46" s="261" t="s">
        <v>1246</v>
      </c>
      <c r="B46" s="261" t="s">
        <v>1247</v>
      </c>
      <c r="C46" s="261" t="s">
        <v>1229</v>
      </c>
      <c r="D46" s="261" t="s">
        <v>1023</v>
      </c>
      <c r="E46">
        <v>20700</v>
      </c>
      <c r="F46" s="261" t="s">
        <v>1084</v>
      </c>
      <c r="G46">
        <v>3050</v>
      </c>
      <c r="H46" s="261"/>
      <c r="I46" s="261"/>
      <c r="K46">
        <v>1</v>
      </c>
      <c r="L46" s="261"/>
      <c r="P46" s="261"/>
      <c r="Q46" s="261"/>
      <c r="R46" s="215"/>
      <c r="S46">
        <v>1</v>
      </c>
      <c r="T46" s="261"/>
    </row>
    <row r="47" spans="1:20" x14ac:dyDescent="0.25">
      <c r="A47" s="261" t="s">
        <v>1175</v>
      </c>
      <c r="B47" s="261" t="s">
        <v>1176</v>
      </c>
      <c r="C47" s="261" t="s">
        <v>1174</v>
      </c>
      <c r="D47" s="261" t="s">
        <v>1042</v>
      </c>
      <c r="E47">
        <v>8641</v>
      </c>
      <c r="F47" s="261" t="s">
        <v>1177</v>
      </c>
      <c r="H47" s="261"/>
      <c r="I47" s="261"/>
      <c r="K47">
        <v>1</v>
      </c>
      <c r="L47" s="261"/>
      <c r="P47" s="261"/>
      <c r="Q47" s="261"/>
      <c r="R47" s="215"/>
      <c r="S47">
        <v>1</v>
      </c>
      <c r="T47" s="261"/>
    </row>
    <row r="48" spans="1:20" x14ac:dyDescent="0.25">
      <c r="A48" s="261" t="s">
        <v>1172</v>
      </c>
      <c r="B48" s="261" t="s">
        <v>1173</v>
      </c>
      <c r="C48" s="261" t="s">
        <v>1174</v>
      </c>
      <c r="D48" s="261" t="s">
        <v>1042</v>
      </c>
      <c r="E48">
        <v>17276</v>
      </c>
      <c r="F48" s="261" t="s">
        <v>1110</v>
      </c>
      <c r="H48" s="261"/>
      <c r="I48" s="261"/>
      <c r="K48">
        <v>1</v>
      </c>
      <c r="L48" s="261"/>
      <c r="P48" s="261"/>
      <c r="Q48" s="261"/>
      <c r="R48" s="215"/>
      <c r="S48">
        <v>1</v>
      </c>
      <c r="T48" s="261"/>
    </row>
    <row r="49" spans="1:20" x14ac:dyDescent="0.25">
      <c r="A49" s="261" t="s">
        <v>1180</v>
      </c>
      <c r="B49" s="261" t="s">
        <v>1181</v>
      </c>
      <c r="C49" s="261" t="s">
        <v>1174</v>
      </c>
      <c r="D49" s="261" t="s">
        <v>1042</v>
      </c>
      <c r="E49">
        <v>34552</v>
      </c>
      <c r="F49" s="261" t="s">
        <v>1110</v>
      </c>
      <c r="G49">
        <v>6100</v>
      </c>
      <c r="H49" s="261"/>
      <c r="I49" s="261"/>
      <c r="K49">
        <v>1</v>
      </c>
      <c r="L49" s="261"/>
      <c r="P49" s="261"/>
      <c r="Q49" s="261"/>
      <c r="R49" s="215"/>
      <c r="S49">
        <v>1</v>
      </c>
      <c r="T49" s="261"/>
    </row>
    <row r="50" spans="1:20" x14ac:dyDescent="0.25">
      <c r="A50" s="261" t="s">
        <v>1178</v>
      </c>
      <c r="B50" s="261" t="s">
        <v>1179</v>
      </c>
      <c r="C50" s="261" t="s">
        <v>1174</v>
      </c>
      <c r="D50" s="261" t="s">
        <v>1042</v>
      </c>
      <c r="E50">
        <v>11793</v>
      </c>
      <c r="F50" s="261" t="s">
        <v>1110</v>
      </c>
      <c r="G50">
        <v>11793</v>
      </c>
      <c r="H50" s="261"/>
      <c r="I50" s="261"/>
      <c r="K50">
        <v>1</v>
      </c>
      <c r="L50" s="261"/>
      <c r="P50" s="261"/>
      <c r="Q50" s="261"/>
      <c r="R50" s="215"/>
      <c r="S50">
        <v>1</v>
      </c>
      <c r="T50" s="261"/>
    </row>
    <row r="51" spans="1:20" x14ac:dyDescent="0.25">
      <c r="A51" s="261" t="s">
        <v>1182</v>
      </c>
      <c r="B51" s="261" t="s">
        <v>1176</v>
      </c>
      <c r="C51" s="261" t="s">
        <v>1174</v>
      </c>
      <c r="D51" s="261" t="s">
        <v>1042</v>
      </c>
      <c r="E51">
        <v>8641</v>
      </c>
      <c r="F51" s="261" t="s">
        <v>1177</v>
      </c>
      <c r="G51">
        <v>3050</v>
      </c>
      <c r="H51" s="261"/>
      <c r="I51" s="261"/>
      <c r="K51">
        <v>1</v>
      </c>
      <c r="L51" s="261"/>
      <c r="P51" s="261"/>
      <c r="Q51" s="261"/>
      <c r="R51" s="215"/>
      <c r="S51">
        <v>1</v>
      </c>
      <c r="T51" s="261"/>
    </row>
    <row r="52" spans="1:20" x14ac:dyDescent="0.25">
      <c r="A52" s="261" t="s">
        <v>1183</v>
      </c>
      <c r="B52" s="261" t="s">
        <v>1179</v>
      </c>
      <c r="C52" s="261" t="s">
        <v>1174</v>
      </c>
      <c r="D52" s="261" t="s">
        <v>1042</v>
      </c>
      <c r="E52">
        <v>11793</v>
      </c>
      <c r="F52" s="261" t="s">
        <v>1110</v>
      </c>
      <c r="G52">
        <v>11793</v>
      </c>
      <c r="H52" s="261"/>
      <c r="I52" s="261"/>
      <c r="K52">
        <v>1</v>
      </c>
      <c r="L52" s="261"/>
      <c r="P52" s="261"/>
      <c r="Q52" s="261"/>
      <c r="R52" s="215"/>
      <c r="S52">
        <v>1</v>
      </c>
      <c r="T52" s="261"/>
    </row>
    <row r="53" spans="1:20" x14ac:dyDescent="0.25">
      <c r="A53" s="261" t="s">
        <v>1184</v>
      </c>
      <c r="B53" s="261" t="s">
        <v>1185</v>
      </c>
      <c r="C53" s="261" t="s">
        <v>1174</v>
      </c>
      <c r="D53" s="261" t="s">
        <v>1042</v>
      </c>
      <c r="E53">
        <v>17276</v>
      </c>
      <c r="F53" s="261" t="s">
        <v>1110</v>
      </c>
      <c r="G53">
        <v>4575</v>
      </c>
      <c r="H53" s="261"/>
      <c r="I53" s="261"/>
      <c r="K53">
        <v>1</v>
      </c>
      <c r="L53" s="261"/>
      <c r="P53" s="261"/>
      <c r="Q53" s="261"/>
      <c r="R53" s="215"/>
      <c r="S53">
        <v>1</v>
      </c>
      <c r="T53" s="261"/>
    </row>
    <row r="54" spans="1:20" x14ac:dyDescent="0.25">
      <c r="A54" s="261" t="s">
        <v>1186</v>
      </c>
      <c r="B54" s="261" t="s">
        <v>1176</v>
      </c>
      <c r="C54" s="261" t="s">
        <v>1174</v>
      </c>
      <c r="D54" s="261" t="s">
        <v>1042</v>
      </c>
      <c r="E54">
        <v>8641</v>
      </c>
      <c r="F54" s="261" t="s">
        <v>1177</v>
      </c>
      <c r="G54">
        <v>3050</v>
      </c>
      <c r="H54" s="261"/>
      <c r="I54" s="261"/>
      <c r="K54">
        <v>1</v>
      </c>
      <c r="L54" s="261"/>
      <c r="P54" s="261"/>
      <c r="Q54" s="261"/>
      <c r="R54" s="215"/>
      <c r="S54">
        <v>1</v>
      </c>
      <c r="T54" s="261"/>
    </row>
    <row r="55" spans="1:20" x14ac:dyDescent="0.25">
      <c r="A55" s="261" t="s">
        <v>1424</v>
      </c>
      <c r="B55" s="261" t="s">
        <v>1425</v>
      </c>
      <c r="C55" s="261" t="s">
        <v>1423</v>
      </c>
      <c r="D55" s="261" t="s">
        <v>1011</v>
      </c>
      <c r="E55">
        <v>39100</v>
      </c>
      <c r="F55" s="261" t="s">
        <v>1110</v>
      </c>
      <c r="H55" s="261"/>
      <c r="I55" s="261"/>
      <c r="K55">
        <v>1</v>
      </c>
      <c r="L55" s="261"/>
      <c r="P55" s="261"/>
      <c r="Q55" s="261"/>
      <c r="R55" s="215"/>
      <c r="S55">
        <v>1</v>
      </c>
      <c r="T55" s="261"/>
    </row>
    <row r="56" spans="1:20" x14ac:dyDescent="0.25">
      <c r="A56" s="261" t="s">
        <v>1428</v>
      </c>
      <c r="B56" s="261" t="s">
        <v>1429</v>
      </c>
      <c r="C56" s="261" t="s">
        <v>1423</v>
      </c>
      <c r="D56" s="261" t="s">
        <v>1011</v>
      </c>
      <c r="E56">
        <v>5750</v>
      </c>
      <c r="F56" s="261" t="s">
        <v>1177</v>
      </c>
      <c r="H56" s="261"/>
      <c r="I56" s="261"/>
      <c r="K56">
        <v>1</v>
      </c>
      <c r="L56" s="261"/>
      <c r="P56" s="261"/>
      <c r="Q56" s="261"/>
      <c r="R56" s="215"/>
      <c r="S56">
        <v>1</v>
      </c>
      <c r="T56" s="261"/>
    </row>
    <row r="57" spans="1:20" x14ac:dyDescent="0.25">
      <c r="A57" s="261" t="s">
        <v>1421</v>
      </c>
      <c r="B57" s="261" t="s">
        <v>1422</v>
      </c>
      <c r="C57" s="261" t="s">
        <v>1423</v>
      </c>
      <c r="D57" s="261" t="s">
        <v>1011</v>
      </c>
      <c r="E57">
        <v>26450</v>
      </c>
      <c r="F57" s="261" t="s">
        <v>1110</v>
      </c>
      <c r="H57" s="261"/>
      <c r="I57" s="261"/>
      <c r="K57">
        <v>1</v>
      </c>
      <c r="L57" s="261"/>
      <c r="P57" s="261"/>
      <c r="Q57" s="261"/>
      <c r="R57" s="215"/>
      <c r="S57">
        <v>1</v>
      </c>
      <c r="T57" s="261"/>
    </row>
    <row r="58" spans="1:20" x14ac:dyDescent="0.25">
      <c r="A58" s="261" t="s">
        <v>1426</v>
      </c>
      <c r="B58" s="261" t="s">
        <v>1427</v>
      </c>
      <c r="C58" s="261" t="s">
        <v>1423</v>
      </c>
      <c r="D58" s="261" t="s">
        <v>1011</v>
      </c>
      <c r="E58">
        <v>23000</v>
      </c>
      <c r="F58" s="261" t="s">
        <v>1110</v>
      </c>
      <c r="H58" s="261"/>
      <c r="I58" s="261"/>
      <c r="K58">
        <v>1</v>
      </c>
      <c r="L58" s="261"/>
      <c r="P58" s="261"/>
      <c r="Q58" s="261"/>
      <c r="R58" s="215"/>
      <c r="S58">
        <v>1</v>
      </c>
      <c r="T58" s="261"/>
    </row>
    <row r="59" spans="1:20" x14ac:dyDescent="0.25">
      <c r="A59" s="261" t="s">
        <v>1098</v>
      </c>
      <c r="B59" s="261" t="s">
        <v>1099</v>
      </c>
      <c r="C59" s="261" t="s">
        <v>1083</v>
      </c>
      <c r="D59" s="261" t="s">
        <v>1046</v>
      </c>
      <c r="E59">
        <v>1265000</v>
      </c>
      <c r="F59" s="261" t="s">
        <v>1084</v>
      </c>
      <c r="G59">
        <v>1265000</v>
      </c>
      <c r="H59" s="261"/>
      <c r="I59" s="261"/>
      <c r="K59">
        <v>1</v>
      </c>
      <c r="L59" s="261"/>
      <c r="P59" s="261"/>
      <c r="Q59" s="261"/>
      <c r="R59" s="215"/>
      <c r="S59">
        <v>1</v>
      </c>
      <c r="T59" s="261"/>
    </row>
    <row r="60" spans="1:20" x14ac:dyDescent="0.25">
      <c r="A60" s="261" t="s">
        <v>1088</v>
      </c>
      <c r="B60" s="261" t="s">
        <v>1089</v>
      </c>
      <c r="C60" s="261" t="s">
        <v>1083</v>
      </c>
      <c r="D60" s="261" t="s">
        <v>1046</v>
      </c>
      <c r="E60">
        <v>3758730</v>
      </c>
      <c r="F60" s="261" t="s">
        <v>1084</v>
      </c>
      <c r="G60">
        <v>3758730</v>
      </c>
      <c r="H60" s="261"/>
      <c r="I60" s="261"/>
      <c r="K60">
        <v>1</v>
      </c>
      <c r="L60" s="261"/>
      <c r="P60" s="261"/>
      <c r="Q60" s="261"/>
      <c r="R60" s="215"/>
      <c r="S60">
        <v>1</v>
      </c>
      <c r="T60" s="261"/>
    </row>
    <row r="61" spans="1:20" x14ac:dyDescent="0.25">
      <c r="A61" s="261" t="s">
        <v>1090</v>
      </c>
      <c r="B61" s="261" t="s">
        <v>1091</v>
      </c>
      <c r="C61" s="261" t="s">
        <v>1083</v>
      </c>
      <c r="D61" s="261" t="s">
        <v>1046</v>
      </c>
      <c r="E61">
        <v>2507000</v>
      </c>
      <c r="F61" s="261" t="s">
        <v>1084</v>
      </c>
      <c r="G61">
        <v>2507000</v>
      </c>
      <c r="H61" s="261"/>
      <c r="I61" s="261"/>
      <c r="K61">
        <v>1</v>
      </c>
      <c r="L61" s="261"/>
      <c r="P61" s="261"/>
      <c r="Q61" s="261"/>
      <c r="R61" s="215"/>
      <c r="S61">
        <v>1</v>
      </c>
      <c r="T61" s="261"/>
    </row>
    <row r="62" spans="1:20" x14ac:dyDescent="0.25">
      <c r="A62" s="261" t="s">
        <v>1094</v>
      </c>
      <c r="B62" s="261" t="s">
        <v>1095</v>
      </c>
      <c r="C62" s="261" t="s">
        <v>1083</v>
      </c>
      <c r="D62" s="261" t="s">
        <v>1046</v>
      </c>
      <c r="E62">
        <v>4945000</v>
      </c>
      <c r="F62" s="261" t="s">
        <v>1084</v>
      </c>
      <c r="G62">
        <v>4945000</v>
      </c>
      <c r="H62" s="261"/>
      <c r="I62" s="261"/>
      <c r="K62">
        <v>1</v>
      </c>
      <c r="L62" s="261"/>
      <c r="P62" s="261"/>
      <c r="Q62" s="261"/>
      <c r="R62" s="215"/>
      <c r="S62">
        <v>1</v>
      </c>
      <c r="T62" s="261"/>
    </row>
    <row r="63" spans="1:20" x14ac:dyDescent="0.25">
      <c r="A63" s="261" t="s">
        <v>1096</v>
      </c>
      <c r="B63" s="261" t="s">
        <v>1097</v>
      </c>
      <c r="C63" s="261" t="s">
        <v>1083</v>
      </c>
      <c r="D63" s="261" t="s">
        <v>1046</v>
      </c>
      <c r="E63">
        <v>4795500</v>
      </c>
      <c r="F63" s="261" t="s">
        <v>1084</v>
      </c>
      <c r="G63">
        <v>4795500</v>
      </c>
      <c r="H63" s="261"/>
      <c r="I63" s="261"/>
      <c r="K63">
        <v>1</v>
      </c>
      <c r="L63" s="261"/>
      <c r="P63" s="261"/>
      <c r="Q63" s="261"/>
      <c r="R63" s="215"/>
      <c r="S63">
        <v>1</v>
      </c>
      <c r="T63" s="261"/>
    </row>
    <row r="64" spans="1:20" x14ac:dyDescent="0.25">
      <c r="A64" s="261" t="s">
        <v>1092</v>
      </c>
      <c r="B64" s="261" t="s">
        <v>1093</v>
      </c>
      <c r="C64" s="261" t="s">
        <v>1083</v>
      </c>
      <c r="D64" s="261" t="s">
        <v>1046</v>
      </c>
      <c r="E64">
        <v>4213438</v>
      </c>
      <c r="F64" s="261" t="s">
        <v>1084</v>
      </c>
      <c r="G64">
        <v>4213438</v>
      </c>
      <c r="H64" s="261"/>
      <c r="I64" s="261"/>
      <c r="K64">
        <v>1</v>
      </c>
      <c r="L64" s="261"/>
      <c r="P64" s="261"/>
      <c r="Q64" s="261"/>
      <c r="R64" s="215"/>
      <c r="S64">
        <v>1</v>
      </c>
      <c r="T64" s="261"/>
    </row>
    <row r="65" spans="1:20" x14ac:dyDescent="0.25">
      <c r="A65" s="261" t="s">
        <v>1081</v>
      </c>
      <c r="B65" s="261" t="s">
        <v>1082</v>
      </c>
      <c r="C65" s="261" t="s">
        <v>1083</v>
      </c>
      <c r="D65" s="261" t="s">
        <v>1046</v>
      </c>
      <c r="E65">
        <v>4755250</v>
      </c>
      <c r="F65" s="261" t="s">
        <v>1084</v>
      </c>
      <c r="G65">
        <v>4755250</v>
      </c>
      <c r="H65" s="261"/>
      <c r="I65" s="261"/>
      <c r="K65">
        <v>1</v>
      </c>
      <c r="L65" s="261"/>
      <c r="P65" s="261"/>
      <c r="Q65" s="261"/>
      <c r="R65" s="215"/>
      <c r="S65">
        <v>1</v>
      </c>
      <c r="T65" s="261"/>
    </row>
    <row r="66" spans="1:20" x14ac:dyDescent="0.25">
      <c r="A66" s="261" t="s">
        <v>1155</v>
      </c>
      <c r="B66" s="261" t="s">
        <v>1156</v>
      </c>
      <c r="C66" s="261" t="s">
        <v>1083</v>
      </c>
      <c r="D66" s="261" t="s">
        <v>1046</v>
      </c>
      <c r="E66">
        <v>11185</v>
      </c>
      <c r="F66" s="261" t="s">
        <v>1110</v>
      </c>
      <c r="G66">
        <v>11185</v>
      </c>
      <c r="H66" s="261"/>
      <c r="I66" s="261"/>
      <c r="K66">
        <v>1</v>
      </c>
      <c r="L66" s="261"/>
      <c r="P66" s="261"/>
      <c r="Q66" s="261"/>
      <c r="R66" s="215"/>
      <c r="S66">
        <v>1</v>
      </c>
      <c r="T66" s="261"/>
    </row>
    <row r="67" spans="1:20" x14ac:dyDescent="0.25">
      <c r="A67" s="261" t="s">
        <v>1142</v>
      </c>
      <c r="B67" s="261" t="s">
        <v>1119</v>
      </c>
      <c r="C67" s="261" t="s">
        <v>1083</v>
      </c>
      <c r="D67" s="261" t="s">
        <v>1046</v>
      </c>
      <c r="E67">
        <v>1380</v>
      </c>
      <c r="F67" s="261" t="s">
        <v>1120</v>
      </c>
      <c r="H67" s="261"/>
      <c r="I67" s="261"/>
      <c r="K67">
        <v>1</v>
      </c>
      <c r="L67" s="261"/>
      <c r="P67" s="261"/>
      <c r="Q67" s="261"/>
      <c r="R67" s="215"/>
      <c r="S67">
        <v>1</v>
      </c>
      <c r="T67" s="261"/>
    </row>
    <row r="68" spans="1:20" x14ac:dyDescent="0.25">
      <c r="A68" s="261" t="s">
        <v>1140</v>
      </c>
      <c r="B68" s="261" t="s">
        <v>1137</v>
      </c>
      <c r="C68" s="261" t="s">
        <v>1083</v>
      </c>
      <c r="D68" s="261" t="s">
        <v>1046</v>
      </c>
      <c r="E68">
        <v>189175</v>
      </c>
      <c r="F68" s="261" t="s">
        <v>1113</v>
      </c>
      <c r="H68" s="261"/>
      <c r="I68" s="261"/>
      <c r="K68">
        <v>1</v>
      </c>
      <c r="L68" s="261"/>
      <c r="P68" s="261"/>
      <c r="Q68" s="261"/>
      <c r="R68" s="215"/>
      <c r="S68">
        <v>1</v>
      </c>
      <c r="T68" s="261"/>
    </row>
    <row r="69" spans="1:20" x14ac:dyDescent="0.25">
      <c r="A69" s="261" t="s">
        <v>1141</v>
      </c>
      <c r="B69" s="261" t="s">
        <v>1117</v>
      </c>
      <c r="C69" s="261" t="s">
        <v>1083</v>
      </c>
      <c r="D69" s="261" t="s">
        <v>1046</v>
      </c>
      <c r="E69">
        <v>5750</v>
      </c>
      <c r="F69" s="261" t="s">
        <v>1110</v>
      </c>
      <c r="H69" s="261"/>
      <c r="I69" s="261"/>
      <c r="K69">
        <v>1</v>
      </c>
      <c r="L69" s="261"/>
      <c r="P69" s="261"/>
      <c r="Q69" s="261"/>
      <c r="R69" s="215"/>
      <c r="S69">
        <v>1</v>
      </c>
      <c r="T69" s="261"/>
    </row>
    <row r="70" spans="1:20" x14ac:dyDescent="0.25">
      <c r="A70" s="261" t="s">
        <v>1130</v>
      </c>
      <c r="B70" s="261" t="s">
        <v>1119</v>
      </c>
      <c r="C70" s="261" t="s">
        <v>1083</v>
      </c>
      <c r="D70" s="261" t="s">
        <v>1046</v>
      </c>
      <c r="E70">
        <v>1380</v>
      </c>
      <c r="F70" s="261" t="s">
        <v>1120</v>
      </c>
      <c r="H70" s="261"/>
      <c r="I70" s="261"/>
      <c r="K70">
        <v>1</v>
      </c>
      <c r="L70" s="261"/>
      <c r="P70" s="261"/>
      <c r="Q70" s="261"/>
      <c r="R70" s="215"/>
      <c r="S70">
        <v>1</v>
      </c>
      <c r="T70" s="261"/>
    </row>
    <row r="71" spans="1:20" x14ac:dyDescent="0.25">
      <c r="A71" s="261" t="s">
        <v>1127</v>
      </c>
      <c r="B71" s="261" t="s">
        <v>1128</v>
      </c>
      <c r="C71" s="261" t="s">
        <v>1083</v>
      </c>
      <c r="D71" s="261" t="s">
        <v>1046</v>
      </c>
      <c r="E71">
        <v>189175</v>
      </c>
      <c r="F71" s="261" t="s">
        <v>1113</v>
      </c>
      <c r="H71" s="261"/>
      <c r="I71" s="261"/>
      <c r="K71">
        <v>1</v>
      </c>
      <c r="L71" s="261"/>
      <c r="P71" s="261"/>
      <c r="Q71" s="261"/>
      <c r="R71" s="215"/>
      <c r="S71">
        <v>1</v>
      </c>
      <c r="T71" s="261"/>
    </row>
    <row r="72" spans="1:20" x14ac:dyDescent="0.25">
      <c r="A72" s="261" t="s">
        <v>1129</v>
      </c>
      <c r="B72" s="261" t="s">
        <v>1117</v>
      </c>
      <c r="C72" s="261" t="s">
        <v>1083</v>
      </c>
      <c r="D72" s="261" t="s">
        <v>1046</v>
      </c>
      <c r="E72">
        <v>5750</v>
      </c>
      <c r="F72" s="261" t="s">
        <v>1110</v>
      </c>
      <c r="H72" s="261"/>
      <c r="I72" s="261"/>
      <c r="K72">
        <v>1</v>
      </c>
      <c r="L72" s="261"/>
      <c r="P72" s="261"/>
      <c r="Q72" s="261"/>
      <c r="R72" s="215"/>
      <c r="S72">
        <v>1</v>
      </c>
      <c r="T72" s="261"/>
    </row>
    <row r="73" spans="1:20" x14ac:dyDescent="0.25">
      <c r="A73" s="261" t="s">
        <v>1149</v>
      </c>
      <c r="B73" s="261" t="s">
        <v>1119</v>
      </c>
      <c r="C73" s="261" t="s">
        <v>1083</v>
      </c>
      <c r="D73" s="261" t="s">
        <v>1046</v>
      </c>
      <c r="E73">
        <v>1380</v>
      </c>
      <c r="F73" s="261" t="s">
        <v>1120</v>
      </c>
      <c r="H73" s="261"/>
      <c r="I73" s="261"/>
      <c r="K73">
        <v>1</v>
      </c>
      <c r="L73" s="261"/>
      <c r="P73" s="261"/>
      <c r="Q73" s="261"/>
      <c r="R73" s="215"/>
      <c r="S73">
        <v>1</v>
      </c>
      <c r="T73" s="261"/>
    </row>
    <row r="74" spans="1:20" x14ac:dyDescent="0.25">
      <c r="A74" s="261" t="s">
        <v>1147</v>
      </c>
      <c r="B74" s="261" t="s">
        <v>1137</v>
      </c>
      <c r="C74" s="261" t="s">
        <v>1083</v>
      </c>
      <c r="D74" s="261" t="s">
        <v>1046</v>
      </c>
      <c r="E74">
        <v>189175</v>
      </c>
      <c r="F74" s="261" t="s">
        <v>1113</v>
      </c>
      <c r="H74" s="261"/>
      <c r="I74" s="261"/>
      <c r="K74">
        <v>1</v>
      </c>
      <c r="L74" s="261"/>
      <c r="P74" s="261"/>
      <c r="Q74" s="261"/>
      <c r="R74" s="215"/>
      <c r="S74">
        <v>1</v>
      </c>
      <c r="T74" s="261"/>
    </row>
    <row r="75" spans="1:20" x14ac:dyDescent="0.25">
      <c r="A75" s="261" t="s">
        <v>1148</v>
      </c>
      <c r="B75" s="261" t="s">
        <v>1117</v>
      </c>
      <c r="C75" s="261" t="s">
        <v>1083</v>
      </c>
      <c r="D75" s="261" t="s">
        <v>1046</v>
      </c>
      <c r="E75">
        <v>5750</v>
      </c>
      <c r="F75" s="261" t="s">
        <v>1110</v>
      </c>
      <c r="H75" s="261"/>
      <c r="I75" s="261"/>
      <c r="K75">
        <v>1</v>
      </c>
      <c r="L75" s="261"/>
      <c r="P75" s="261"/>
      <c r="Q75" s="261"/>
      <c r="R75" s="215"/>
      <c r="S75">
        <v>1</v>
      </c>
      <c r="T75" s="261"/>
    </row>
    <row r="76" spans="1:20" x14ac:dyDescent="0.25">
      <c r="A76" s="261" t="s">
        <v>1146</v>
      </c>
      <c r="B76" s="261" t="s">
        <v>1119</v>
      </c>
      <c r="C76" s="261" t="s">
        <v>1083</v>
      </c>
      <c r="D76" s="261" t="s">
        <v>1046</v>
      </c>
      <c r="E76">
        <v>1380</v>
      </c>
      <c r="F76" s="261" t="s">
        <v>1120</v>
      </c>
      <c r="H76" s="261"/>
      <c r="I76" s="261"/>
      <c r="K76">
        <v>1</v>
      </c>
      <c r="L76" s="261"/>
      <c r="P76" s="261"/>
      <c r="Q76" s="261"/>
      <c r="R76" s="215"/>
      <c r="S76">
        <v>1</v>
      </c>
      <c r="T76" s="261"/>
    </row>
    <row r="77" spans="1:20" x14ac:dyDescent="0.25">
      <c r="A77" s="261" t="s">
        <v>1143</v>
      </c>
      <c r="B77" s="261" t="s">
        <v>1144</v>
      </c>
      <c r="C77" s="261" t="s">
        <v>1083</v>
      </c>
      <c r="D77" s="261" t="s">
        <v>1046</v>
      </c>
      <c r="E77">
        <v>189175</v>
      </c>
      <c r="F77" s="261" t="s">
        <v>1113</v>
      </c>
      <c r="H77" s="261"/>
      <c r="I77" s="261"/>
      <c r="K77">
        <v>1</v>
      </c>
      <c r="L77" s="261"/>
      <c r="P77" s="261"/>
      <c r="Q77" s="261"/>
      <c r="R77" s="215"/>
      <c r="S77">
        <v>1</v>
      </c>
      <c r="T77" s="261"/>
    </row>
    <row r="78" spans="1:20" x14ac:dyDescent="0.25">
      <c r="A78" s="261" t="s">
        <v>1145</v>
      </c>
      <c r="B78" s="261" t="s">
        <v>1117</v>
      </c>
      <c r="C78" s="261" t="s">
        <v>1083</v>
      </c>
      <c r="D78" s="261" t="s">
        <v>1046</v>
      </c>
      <c r="E78">
        <v>5750</v>
      </c>
      <c r="F78" s="261" t="s">
        <v>1110</v>
      </c>
      <c r="H78" s="261"/>
      <c r="I78" s="261"/>
      <c r="K78">
        <v>1</v>
      </c>
      <c r="L78" s="261"/>
      <c r="P78" s="261"/>
      <c r="Q78" s="261"/>
      <c r="R78" s="215"/>
      <c r="S78">
        <v>1</v>
      </c>
      <c r="T78" s="261"/>
    </row>
    <row r="79" spans="1:20" x14ac:dyDescent="0.25">
      <c r="A79" s="261" t="s">
        <v>1126</v>
      </c>
      <c r="B79" s="261" t="s">
        <v>1119</v>
      </c>
      <c r="C79" s="261" t="s">
        <v>1083</v>
      </c>
      <c r="D79" s="261" t="s">
        <v>1046</v>
      </c>
      <c r="E79">
        <v>1380</v>
      </c>
      <c r="F79" s="261" t="s">
        <v>1120</v>
      </c>
      <c r="H79" s="261"/>
      <c r="I79" s="261"/>
      <c r="K79">
        <v>1</v>
      </c>
      <c r="L79" s="261"/>
      <c r="P79" s="261"/>
      <c r="Q79" s="261"/>
      <c r="R79" s="215"/>
      <c r="S79">
        <v>1</v>
      </c>
      <c r="T79" s="261"/>
    </row>
    <row r="80" spans="1:20" x14ac:dyDescent="0.25">
      <c r="A80" s="261" t="s">
        <v>1124</v>
      </c>
      <c r="B80" s="261" t="s">
        <v>1115</v>
      </c>
      <c r="C80" s="261" t="s">
        <v>1083</v>
      </c>
      <c r="D80" s="261" t="s">
        <v>1046</v>
      </c>
      <c r="E80">
        <v>189175</v>
      </c>
      <c r="F80" s="261" t="s">
        <v>1113</v>
      </c>
      <c r="H80" s="261"/>
      <c r="I80" s="261"/>
      <c r="K80">
        <v>1</v>
      </c>
      <c r="L80" s="261"/>
      <c r="P80" s="261"/>
      <c r="Q80" s="261"/>
      <c r="R80" s="215"/>
      <c r="S80">
        <v>1</v>
      </c>
      <c r="T80" s="261"/>
    </row>
    <row r="81" spans="1:20" x14ac:dyDescent="0.25">
      <c r="A81" s="261" t="s">
        <v>1125</v>
      </c>
      <c r="B81" s="261" t="s">
        <v>1117</v>
      </c>
      <c r="C81" s="261" t="s">
        <v>1083</v>
      </c>
      <c r="D81" s="261" t="s">
        <v>1046</v>
      </c>
      <c r="E81">
        <v>5750</v>
      </c>
      <c r="F81" s="261" t="s">
        <v>1110</v>
      </c>
      <c r="H81" s="261"/>
      <c r="I81" s="261"/>
      <c r="K81">
        <v>1</v>
      </c>
      <c r="L81" s="261"/>
      <c r="P81" s="261"/>
      <c r="Q81" s="261"/>
      <c r="R81" s="215"/>
      <c r="S81">
        <v>1</v>
      </c>
      <c r="T81" s="261"/>
    </row>
    <row r="82" spans="1:20" x14ac:dyDescent="0.25">
      <c r="A82" s="261" t="s">
        <v>1154</v>
      </c>
      <c r="B82" s="261" t="s">
        <v>1119</v>
      </c>
      <c r="C82" s="261" t="s">
        <v>1083</v>
      </c>
      <c r="D82" s="261" t="s">
        <v>1046</v>
      </c>
      <c r="E82">
        <v>1380</v>
      </c>
      <c r="F82" s="261" t="s">
        <v>1120</v>
      </c>
      <c r="H82" s="261"/>
      <c r="I82" s="261"/>
      <c r="K82">
        <v>1</v>
      </c>
      <c r="L82" s="261"/>
      <c r="P82" s="261"/>
      <c r="Q82" s="261"/>
      <c r="R82" s="215"/>
      <c r="S82">
        <v>1</v>
      </c>
      <c r="T82" s="261"/>
    </row>
    <row r="83" spans="1:20" x14ac:dyDescent="0.25">
      <c r="A83" s="261" t="s">
        <v>1150</v>
      </c>
      <c r="B83" s="261" t="s">
        <v>1137</v>
      </c>
      <c r="C83" s="261" t="s">
        <v>1083</v>
      </c>
      <c r="D83" s="261" t="s">
        <v>1046</v>
      </c>
      <c r="E83">
        <v>189175</v>
      </c>
      <c r="F83" s="261" t="s">
        <v>1113</v>
      </c>
      <c r="H83" s="261"/>
      <c r="I83" s="261"/>
      <c r="K83">
        <v>1</v>
      </c>
      <c r="L83" s="261"/>
      <c r="P83" s="261"/>
      <c r="Q83" s="261"/>
      <c r="R83" s="215"/>
      <c r="S83">
        <v>1</v>
      </c>
      <c r="T83" s="261"/>
    </row>
    <row r="84" spans="1:20" x14ac:dyDescent="0.25">
      <c r="A84" s="261" t="s">
        <v>1153</v>
      </c>
      <c r="B84" s="261" t="s">
        <v>1117</v>
      </c>
      <c r="C84" s="261" t="s">
        <v>1083</v>
      </c>
      <c r="D84" s="261" t="s">
        <v>1046</v>
      </c>
      <c r="E84">
        <v>5750</v>
      </c>
      <c r="F84" s="261" t="s">
        <v>1120</v>
      </c>
      <c r="H84" s="261"/>
      <c r="I84" s="261"/>
      <c r="K84">
        <v>1</v>
      </c>
      <c r="L84" s="261"/>
      <c r="P84" s="261"/>
      <c r="Q84" s="261"/>
      <c r="R84" s="215"/>
      <c r="S84">
        <v>1</v>
      </c>
      <c r="T84" s="261"/>
    </row>
    <row r="85" spans="1:20" x14ac:dyDescent="0.25">
      <c r="A85" s="261" t="s">
        <v>1151</v>
      </c>
      <c r="B85" s="261" t="s">
        <v>1152</v>
      </c>
      <c r="C85" s="261" t="s">
        <v>1083</v>
      </c>
      <c r="D85" s="261" t="s">
        <v>1046</v>
      </c>
      <c r="E85">
        <v>14231</v>
      </c>
      <c r="F85" s="261" t="s">
        <v>1110</v>
      </c>
      <c r="H85" s="261"/>
      <c r="I85" s="261"/>
      <c r="K85">
        <v>1</v>
      </c>
      <c r="L85" s="261"/>
      <c r="P85" s="261"/>
      <c r="Q85" s="261"/>
      <c r="R85" s="215"/>
      <c r="S85">
        <v>1</v>
      </c>
      <c r="T85" s="261"/>
    </row>
    <row r="86" spans="1:20" x14ac:dyDescent="0.25">
      <c r="A86" s="261" t="s">
        <v>1123</v>
      </c>
      <c r="B86" s="261" t="s">
        <v>1119</v>
      </c>
      <c r="C86" s="261" t="s">
        <v>1083</v>
      </c>
      <c r="D86" s="261" t="s">
        <v>1046</v>
      </c>
      <c r="E86">
        <v>1380</v>
      </c>
      <c r="F86" s="261" t="s">
        <v>1120</v>
      </c>
      <c r="H86" s="261"/>
      <c r="I86" s="261"/>
      <c r="K86">
        <v>1</v>
      </c>
      <c r="L86" s="261"/>
      <c r="P86" s="261"/>
      <c r="Q86" s="261"/>
      <c r="R86" s="215"/>
      <c r="S86">
        <v>1</v>
      </c>
      <c r="T86" s="261"/>
    </row>
    <row r="87" spans="1:20" x14ac:dyDescent="0.25">
      <c r="A87" s="261" t="s">
        <v>1135</v>
      </c>
      <c r="B87" s="261" t="s">
        <v>1119</v>
      </c>
      <c r="C87" s="261" t="s">
        <v>1083</v>
      </c>
      <c r="D87" s="261" t="s">
        <v>1046</v>
      </c>
      <c r="E87">
        <v>1380</v>
      </c>
      <c r="F87" s="261" t="s">
        <v>1120</v>
      </c>
      <c r="H87" s="261"/>
      <c r="I87" s="261"/>
      <c r="K87">
        <v>1</v>
      </c>
      <c r="L87" s="261"/>
      <c r="P87" s="261"/>
      <c r="Q87" s="261"/>
      <c r="R87" s="215"/>
      <c r="S87">
        <v>1</v>
      </c>
      <c r="T87" s="261"/>
    </row>
    <row r="88" spans="1:20" x14ac:dyDescent="0.25">
      <c r="A88" s="261" t="s">
        <v>1121</v>
      </c>
      <c r="B88" s="261" t="s">
        <v>1115</v>
      </c>
      <c r="C88" s="261" t="s">
        <v>1083</v>
      </c>
      <c r="D88" s="261" t="s">
        <v>1046</v>
      </c>
      <c r="E88">
        <v>189175</v>
      </c>
      <c r="F88" s="261" t="s">
        <v>1113</v>
      </c>
      <c r="H88" s="261"/>
      <c r="I88" s="261"/>
      <c r="K88">
        <v>1</v>
      </c>
      <c r="L88" s="261"/>
      <c r="P88" s="261"/>
      <c r="Q88" s="261"/>
      <c r="R88" s="215"/>
      <c r="S88">
        <v>1</v>
      </c>
      <c r="T88" s="261"/>
    </row>
    <row r="89" spans="1:20" x14ac:dyDescent="0.25">
      <c r="A89" s="261" t="s">
        <v>1133</v>
      </c>
      <c r="B89" s="261" t="s">
        <v>1115</v>
      </c>
      <c r="C89" s="261" t="s">
        <v>1083</v>
      </c>
      <c r="D89" s="261" t="s">
        <v>1046</v>
      </c>
      <c r="E89">
        <v>189175</v>
      </c>
      <c r="F89" s="261" t="s">
        <v>1113</v>
      </c>
      <c r="H89" s="261"/>
      <c r="I89" s="261"/>
      <c r="K89">
        <v>1</v>
      </c>
      <c r="L89" s="261"/>
      <c r="P89" s="261"/>
      <c r="Q89" s="261"/>
      <c r="R89" s="215"/>
      <c r="S89">
        <v>1</v>
      </c>
      <c r="T89" s="261"/>
    </row>
    <row r="90" spans="1:20" x14ac:dyDescent="0.25">
      <c r="A90" s="261" t="s">
        <v>1122</v>
      </c>
      <c r="B90" s="261" t="s">
        <v>1117</v>
      </c>
      <c r="C90" s="261" t="s">
        <v>1083</v>
      </c>
      <c r="D90" s="261" t="s">
        <v>1046</v>
      </c>
      <c r="E90">
        <v>5750</v>
      </c>
      <c r="F90" s="261" t="s">
        <v>1110</v>
      </c>
      <c r="H90" s="261"/>
      <c r="I90" s="261"/>
      <c r="K90">
        <v>1</v>
      </c>
      <c r="L90" s="261"/>
      <c r="P90" s="261"/>
      <c r="Q90" s="261"/>
      <c r="R90" s="215"/>
      <c r="S90">
        <v>1</v>
      </c>
      <c r="T90" s="261"/>
    </row>
    <row r="91" spans="1:20" x14ac:dyDescent="0.25">
      <c r="A91" s="261" t="s">
        <v>1134</v>
      </c>
      <c r="B91" s="261" t="s">
        <v>1117</v>
      </c>
      <c r="C91" s="261" t="s">
        <v>1083</v>
      </c>
      <c r="D91" s="261" t="s">
        <v>1046</v>
      </c>
      <c r="E91">
        <v>5750</v>
      </c>
      <c r="F91" s="261" t="s">
        <v>1110</v>
      </c>
      <c r="H91" s="261"/>
      <c r="I91" s="261"/>
      <c r="K91">
        <v>1</v>
      </c>
      <c r="L91" s="261"/>
      <c r="P91" s="261"/>
      <c r="Q91" s="261"/>
      <c r="R91" s="215"/>
      <c r="S91">
        <v>1</v>
      </c>
      <c r="T91" s="261"/>
    </row>
    <row r="92" spans="1:20" x14ac:dyDescent="0.25">
      <c r="A92" s="261" t="s">
        <v>1139</v>
      </c>
      <c r="B92" s="261" t="s">
        <v>1119</v>
      </c>
      <c r="C92" s="261" t="s">
        <v>1083</v>
      </c>
      <c r="D92" s="261" t="s">
        <v>1046</v>
      </c>
      <c r="E92">
        <v>1380</v>
      </c>
      <c r="F92" s="261" t="s">
        <v>1120</v>
      </c>
      <c r="H92" s="261"/>
      <c r="I92" s="261"/>
      <c r="K92">
        <v>1</v>
      </c>
      <c r="L92" s="261"/>
      <c r="P92" s="261"/>
      <c r="Q92" s="261"/>
      <c r="R92" s="215"/>
      <c r="S92">
        <v>1</v>
      </c>
      <c r="T92" s="261"/>
    </row>
    <row r="93" spans="1:20" x14ac:dyDescent="0.25">
      <c r="A93" s="261" t="s">
        <v>1136</v>
      </c>
      <c r="B93" s="261" t="s">
        <v>1137</v>
      </c>
      <c r="C93" s="261" t="s">
        <v>1083</v>
      </c>
      <c r="D93" s="261" t="s">
        <v>1046</v>
      </c>
      <c r="E93">
        <v>189175</v>
      </c>
      <c r="F93" s="261" t="s">
        <v>1113</v>
      </c>
      <c r="H93" s="261"/>
      <c r="I93" s="261"/>
      <c r="K93">
        <v>1</v>
      </c>
      <c r="L93" s="261"/>
      <c r="P93" s="261"/>
      <c r="Q93" s="261"/>
      <c r="R93" s="215"/>
      <c r="S93">
        <v>1</v>
      </c>
      <c r="T93" s="261"/>
    </row>
    <row r="94" spans="1:20" x14ac:dyDescent="0.25">
      <c r="A94" s="261" t="s">
        <v>1138</v>
      </c>
      <c r="B94" s="261" t="s">
        <v>1117</v>
      </c>
      <c r="C94" s="261" t="s">
        <v>1083</v>
      </c>
      <c r="D94" s="261" t="s">
        <v>1046</v>
      </c>
      <c r="E94">
        <v>5750</v>
      </c>
      <c r="F94" s="261" t="s">
        <v>1110</v>
      </c>
      <c r="H94" s="261"/>
      <c r="I94" s="261"/>
      <c r="K94">
        <v>1</v>
      </c>
      <c r="L94" s="261"/>
      <c r="P94" s="261"/>
      <c r="Q94" s="261"/>
      <c r="R94" s="215"/>
      <c r="S94">
        <v>1</v>
      </c>
      <c r="T94" s="261"/>
    </row>
    <row r="95" spans="1:20" x14ac:dyDescent="0.25">
      <c r="A95" s="261" t="s">
        <v>1169</v>
      </c>
      <c r="B95" s="261" t="s">
        <v>1119</v>
      </c>
      <c r="C95" s="261" t="s">
        <v>1083</v>
      </c>
      <c r="D95" s="261" t="s">
        <v>1046</v>
      </c>
      <c r="E95">
        <v>1380</v>
      </c>
      <c r="F95" s="261" t="s">
        <v>1120</v>
      </c>
      <c r="H95" s="261"/>
      <c r="I95" s="261"/>
      <c r="K95">
        <v>1</v>
      </c>
      <c r="L95" s="261"/>
      <c r="P95" s="261"/>
      <c r="Q95" s="261"/>
      <c r="R95" s="215"/>
      <c r="S95">
        <v>1</v>
      </c>
      <c r="T95" s="261"/>
    </row>
    <row r="96" spans="1:20" x14ac:dyDescent="0.25">
      <c r="A96" s="261" t="s">
        <v>1167</v>
      </c>
      <c r="B96" s="261" t="s">
        <v>1137</v>
      </c>
      <c r="C96" s="261" t="s">
        <v>1083</v>
      </c>
      <c r="D96" s="261" t="s">
        <v>1046</v>
      </c>
      <c r="E96">
        <v>189175</v>
      </c>
      <c r="F96" s="261" t="s">
        <v>1113</v>
      </c>
      <c r="H96" s="261"/>
      <c r="I96" s="261"/>
      <c r="K96">
        <v>1</v>
      </c>
      <c r="L96" s="261"/>
      <c r="P96" s="261"/>
      <c r="Q96" s="261"/>
      <c r="R96" s="215"/>
      <c r="S96">
        <v>1</v>
      </c>
      <c r="T96" s="261"/>
    </row>
    <row r="97" spans="1:20" x14ac:dyDescent="0.25">
      <c r="A97" s="261" t="s">
        <v>1168</v>
      </c>
      <c r="B97" s="261" t="s">
        <v>1117</v>
      </c>
      <c r="C97" s="261" t="s">
        <v>1083</v>
      </c>
      <c r="D97" s="261" t="s">
        <v>1046</v>
      </c>
      <c r="E97">
        <v>5750</v>
      </c>
      <c r="F97" s="261" t="s">
        <v>1110</v>
      </c>
      <c r="H97" s="261"/>
      <c r="I97" s="261"/>
      <c r="K97">
        <v>1</v>
      </c>
      <c r="L97" s="261"/>
      <c r="P97" s="261"/>
      <c r="Q97" s="261"/>
      <c r="R97" s="215"/>
      <c r="S97">
        <v>1</v>
      </c>
      <c r="T97" s="261"/>
    </row>
    <row r="98" spans="1:20" x14ac:dyDescent="0.25">
      <c r="A98" s="261" t="s">
        <v>1157</v>
      </c>
      <c r="B98" s="261" t="s">
        <v>1158</v>
      </c>
      <c r="C98" s="261" t="s">
        <v>1083</v>
      </c>
      <c r="D98" s="261" t="s">
        <v>1046</v>
      </c>
      <c r="E98">
        <v>3827</v>
      </c>
      <c r="F98" s="261" t="s">
        <v>1110</v>
      </c>
      <c r="G98">
        <v>3827</v>
      </c>
      <c r="H98" s="261"/>
      <c r="I98" s="261"/>
      <c r="K98">
        <v>1</v>
      </c>
      <c r="L98" s="261"/>
      <c r="P98" s="261"/>
      <c r="Q98" s="261"/>
      <c r="R98" s="215"/>
      <c r="S98">
        <v>1</v>
      </c>
      <c r="T98" s="261"/>
    </row>
    <row r="99" spans="1:20" x14ac:dyDescent="0.25">
      <c r="A99" s="261" t="s">
        <v>1159</v>
      </c>
      <c r="B99" s="261" t="s">
        <v>1160</v>
      </c>
      <c r="C99" s="261" t="s">
        <v>1083</v>
      </c>
      <c r="D99" s="261" t="s">
        <v>1046</v>
      </c>
      <c r="E99">
        <v>3827</v>
      </c>
      <c r="F99" s="261" t="s">
        <v>1110</v>
      </c>
      <c r="G99">
        <v>3827</v>
      </c>
      <c r="H99" s="261"/>
      <c r="I99" s="261"/>
      <c r="K99">
        <v>1</v>
      </c>
      <c r="L99" s="261"/>
      <c r="P99" s="261"/>
      <c r="Q99" s="261"/>
      <c r="R99" s="215"/>
      <c r="S99">
        <v>1</v>
      </c>
      <c r="T99" s="261"/>
    </row>
    <row r="100" spans="1:20" x14ac:dyDescent="0.25">
      <c r="A100" s="261" t="s">
        <v>1170</v>
      </c>
      <c r="B100" s="261" t="s">
        <v>1171</v>
      </c>
      <c r="C100" s="261" t="s">
        <v>1083</v>
      </c>
      <c r="D100" s="261" t="s">
        <v>1046</v>
      </c>
      <c r="E100">
        <v>2344172</v>
      </c>
      <c r="F100" s="261" t="s">
        <v>1084</v>
      </c>
      <c r="H100" s="261"/>
      <c r="I100" s="261"/>
      <c r="K100">
        <v>1</v>
      </c>
      <c r="L100" s="261"/>
      <c r="P100" s="261"/>
      <c r="Q100" s="261"/>
      <c r="R100" s="215"/>
      <c r="S100">
        <v>1</v>
      </c>
      <c r="T100" s="261"/>
    </row>
    <row r="101" spans="1:20" x14ac:dyDescent="0.25">
      <c r="A101" s="261" t="s">
        <v>1118</v>
      </c>
      <c r="B101" s="261" t="s">
        <v>1119</v>
      </c>
      <c r="C101" s="261" t="s">
        <v>1083</v>
      </c>
      <c r="D101" s="261" t="s">
        <v>1046</v>
      </c>
      <c r="E101">
        <v>1380</v>
      </c>
      <c r="F101" s="261" t="s">
        <v>1120</v>
      </c>
      <c r="G101">
        <v>370</v>
      </c>
      <c r="H101" s="261"/>
      <c r="I101" s="261"/>
      <c r="K101">
        <v>1</v>
      </c>
      <c r="L101" s="261"/>
      <c r="P101" s="261"/>
      <c r="Q101" s="261"/>
      <c r="R101" s="215"/>
      <c r="S101">
        <v>1</v>
      </c>
      <c r="T101" s="261"/>
    </row>
    <row r="102" spans="1:20" x14ac:dyDescent="0.25">
      <c r="A102" s="261" t="s">
        <v>1114</v>
      </c>
      <c r="B102" s="261" t="s">
        <v>1115</v>
      </c>
      <c r="C102" s="261" t="s">
        <v>1083</v>
      </c>
      <c r="D102" s="261" t="s">
        <v>1046</v>
      </c>
      <c r="E102">
        <v>189175</v>
      </c>
      <c r="F102" s="261" t="s">
        <v>1113</v>
      </c>
      <c r="G102">
        <v>189175</v>
      </c>
      <c r="H102" s="261"/>
      <c r="I102" s="261"/>
      <c r="K102">
        <v>1</v>
      </c>
      <c r="L102" s="261"/>
      <c r="P102" s="261"/>
      <c r="Q102" s="261"/>
      <c r="R102" s="215"/>
      <c r="S102">
        <v>1</v>
      </c>
      <c r="T102" s="261"/>
    </row>
    <row r="103" spans="1:20" x14ac:dyDescent="0.25">
      <c r="A103" s="261" t="s">
        <v>1111</v>
      </c>
      <c r="B103" s="261" t="s">
        <v>1112</v>
      </c>
      <c r="C103" s="261" t="s">
        <v>1083</v>
      </c>
      <c r="D103" s="261" t="s">
        <v>1046</v>
      </c>
      <c r="E103">
        <v>338720</v>
      </c>
      <c r="F103" s="261" t="s">
        <v>1113</v>
      </c>
      <c r="G103">
        <v>338720</v>
      </c>
      <c r="H103" s="261"/>
      <c r="I103" s="261"/>
      <c r="K103">
        <v>1</v>
      </c>
      <c r="L103" s="261"/>
      <c r="P103" s="261"/>
      <c r="Q103" s="261"/>
      <c r="R103" s="215"/>
      <c r="S103">
        <v>1</v>
      </c>
      <c r="T103" s="261"/>
    </row>
    <row r="104" spans="1:20" x14ac:dyDescent="0.25">
      <c r="A104" s="261" t="s">
        <v>1116</v>
      </c>
      <c r="B104" s="261" t="s">
        <v>1117</v>
      </c>
      <c r="C104" s="261" t="s">
        <v>1083</v>
      </c>
      <c r="D104" s="261" t="s">
        <v>1046</v>
      </c>
      <c r="E104">
        <v>5750</v>
      </c>
      <c r="F104" s="261" t="s">
        <v>1110</v>
      </c>
      <c r="G104">
        <v>3350</v>
      </c>
      <c r="H104" s="261"/>
      <c r="I104" s="261"/>
      <c r="K104">
        <v>1</v>
      </c>
      <c r="L104" s="261"/>
      <c r="P104" s="261"/>
      <c r="Q104" s="261"/>
      <c r="R104" s="215"/>
      <c r="S104">
        <v>1</v>
      </c>
      <c r="T104" s="261"/>
    </row>
    <row r="105" spans="1:20" x14ac:dyDescent="0.25">
      <c r="A105" s="261" t="s">
        <v>1165</v>
      </c>
      <c r="B105" s="261" t="s">
        <v>1137</v>
      </c>
      <c r="C105" s="261" t="s">
        <v>1083</v>
      </c>
      <c r="D105" s="261" t="s">
        <v>1046</v>
      </c>
      <c r="E105">
        <v>189175</v>
      </c>
      <c r="F105" s="261" t="s">
        <v>1113</v>
      </c>
      <c r="H105" s="261"/>
      <c r="I105" s="261"/>
      <c r="K105">
        <v>1</v>
      </c>
      <c r="L105" s="261"/>
      <c r="P105" s="261"/>
      <c r="Q105" s="261"/>
      <c r="R105" s="215"/>
      <c r="S105">
        <v>1</v>
      </c>
      <c r="T105" s="261"/>
    </row>
    <row r="106" spans="1:20" x14ac:dyDescent="0.25">
      <c r="A106" s="261" t="s">
        <v>1166</v>
      </c>
      <c r="B106" s="261" t="s">
        <v>1117</v>
      </c>
      <c r="C106" s="261" t="s">
        <v>1083</v>
      </c>
      <c r="D106" s="261" t="s">
        <v>1046</v>
      </c>
      <c r="E106">
        <v>5750</v>
      </c>
      <c r="F106" s="261" t="s">
        <v>1110</v>
      </c>
      <c r="H106" s="261"/>
      <c r="I106" s="261"/>
      <c r="K106">
        <v>1</v>
      </c>
      <c r="L106" s="261"/>
      <c r="P106" s="261"/>
      <c r="Q106" s="261"/>
      <c r="R106" s="215"/>
      <c r="S106">
        <v>1</v>
      </c>
      <c r="T106" s="261"/>
    </row>
    <row r="107" spans="1:20" x14ac:dyDescent="0.25">
      <c r="A107" s="261" t="s">
        <v>1161</v>
      </c>
      <c r="B107" s="261" t="s">
        <v>1162</v>
      </c>
      <c r="C107" s="261" t="s">
        <v>1083</v>
      </c>
      <c r="D107" s="261" t="s">
        <v>1046</v>
      </c>
      <c r="E107">
        <v>1</v>
      </c>
      <c r="F107" s="261" t="s">
        <v>1084</v>
      </c>
      <c r="H107" s="261"/>
      <c r="I107" s="261"/>
      <c r="K107">
        <v>1</v>
      </c>
      <c r="L107" s="261"/>
      <c r="P107" s="261"/>
      <c r="Q107" s="261"/>
      <c r="R107" s="215"/>
      <c r="S107">
        <v>1</v>
      </c>
      <c r="T107" s="261"/>
    </row>
    <row r="108" spans="1:20" x14ac:dyDescent="0.25">
      <c r="A108" s="261" t="s">
        <v>1163</v>
      </c>
      <c r="B108" s="261" t="s">
        <v>1164</v>
      </c>
      <c r="C108" s="261" t="s">
        <v>1083</v>
      </c>
      <c r="D108" s="261" t="s">
        <v>1046</v>
      </c>
      <c r="E108">
        <v>1</v>
      </c>
      <c r="F108" s="261" t="s">
        <v>1084</v>
      </c>
      <c r="H108" s="261"/>
      <c r="I108" s="261"/>
      <c r="K108">
        <v>1</v>
      </c>
      <c r="L108" s="261"/>
      <c r="P108" s="261"/>
      <c r="Q108" s="261"/>
      <c r="R108" s="215"/>
      <c r="S108">
        <v>1</v>
      </c>
      <c r="T108" s="261"/>
    </row>
    <row r="109" spans="1:20" x14ac:dyDescent="0.25">
      <c r="A109" s="261" t="s">
        <v>1131</v>
      </c>
      <c r="B109" s="261" t="s">
        <v>1132</v>
      </c>
      <c r="C109" s="261" t="s">
        <v>1083</v>
      </c>
      <c r="D109" s="261" t="s">
        <v>1046</v>
      </c>
      <c r="E109">
        <v>12180</v>
      </c>
      <c r="F109" s="261" t="s">
        <v>1110</v>
      </c>
      <c r="G109">
        <v>12180</v>
      </c>
      <c r="H109" s="261"/>
      <c r="I109" s="261"/>
      <c r="K109">
        <v>1</v>
      </c>
      <c r="L109" s="261"/>
      <c r="P109" s="261"/>
      <c r="Q109" s="261"/>
      <c r="R109" s="215"/>
      <c r="S109">
        <v>1</v>
      </c>
      <c r="T109" s="261"/>
    </row>
    <row r="110" spans="1:20" x14ac:dyDescent="0.25">
      <c r="A110" s="261" t="s">
        <v>1196</v>
      </c>
      <c r="B110" s="261" t="s">
        <v>1197</v>
      </c>
      <c r="C110" s="261" t="s">
        <v>1198</v>
      </c>
      <c r="D110" s="261" t="s">
        <v>1032</v>
      </c>
      <c r="E110">
        <v>138000</v>
      </c>
      <c r="F110" s="261" t="s">
        <v>1110</v>
      </c>
      <c r="G110">
        <v>35075</v>
      </c>
      <c r="H110" s="261"/>
      <c r="I110" s="261"/>
      <c r="K110">
        <v>1</v>
      </c>
      <c r="L110" s="261"/>
      <c r="P110" s="261"/>
      <c r="Q110" s="261"/>
      <c r="R110" s="215"/>
      <c r="S110">
        <v>1</v>
      </c>
      <c r="T110" s="261"/>
    </row>
    <row r="111" spans="1:20" x14ac:dyDescent="0.25">
      <c r="A111" s="261" t="s">
        <v>1199</v>
      </c>
      <c r="B111" s="261" t="s">
        <v>1200</v>
      </c>
      <c r="C111" s="261" t="s">
        <v>1198</v>
      </c>
      <c r="D111" s="261" t="s">
        <v>1032</v>
      </c>
      <c r="E111">
        <v>138000</v>
      </c>
      <c r="F111" s="261" t="s">
        <v>1110</v>
      </c>
      <c r="G111">
        <v>25925</v>
      </c>
      <c r="H111" s="261"/>
      <c r="I111" s="261"/>
      <c r="K111">
        <v>1</v>
      </c>
      <c r="L111" s="261"/>
      <c r="P111" s="261"/>
      <c r="Q111" s="261"/>
      <c r="R111" s="215"/>
      <c r="S111">
        <v>1</v>
      </c>
      <c r="T111" s="261"/>
    </row>
    <row r="112" spans="1:20" x14ac:dyDescent="0.25">
      <c r="A112" s="261" t="s">
        <v>1221</v>
      </c>
      <c r="B112" s="261" t="s">
        <v>1222</v>
      </c>
      <c r="C112" s="261" t="s">
        <v>1216</v>
      </c>
      <c r="D112" s="261" t="s">
        <v>1032</v>
      </c>
      <c r="E112">
        <v>402500</v>
      </c>
      <c r="F112" s="261" t="s">
        <v>1177</v>
      </c>
      <c r="G112">
        <v>47275</v>
      </c>
      <c r="H112" s="261"/>
      <c r="I112" s="261"/>
      <c r="K112">
        <v>1</v>
      </c>
      <c r="L112" s="261"/>
      <c r="P112" s="261"/>
      <c r="Q112" s="261"/>
      <c r="R112" s="215"/>
      <c r="S112">
        <v>1</v>
      </c>
      <c r="T112" s="261"/>
    </row>
    <row r="113" spans="1:20" x14ac:dyDescent="0.25">
      <c r="A113" s="261" t="s">
        <v>1219</v>
      </c>
      <c r="B113" s="261" t="s">
        <v>1220</v>
      </c>
      <c r="C113" s="261" t="s">
        <v>1216</v>
      </c>
      <c r="D113" s="261" t="s">
        <v>1032</v>
      </c>
      <c r="E113">
        <v>345000</v>
      </c>
      <c r="F113" s="261" t="s">
        <v>1177</v>
      </c>
      <c r="G113">
        <v>41175</v>
      </c>
      <c r="H113" s="261"/>
      <c r="I113" s="261"/>
      <c r="K113">
        <v>1</v>
      </c>
      <c r="L113" s="261"/>
      <c r="P113" s="261"/>
      <c r="Q113" s="261"/>
      <c r="R113" s="215"/>
      <c r="S113">
        <v>1</v>
      </c>
      <c r="T113" s="261"/>
    </row>
    <row r="114" spans="1:20" x14ac:dyDescent="0.25">
      <c r="A114" s="261" t="s">
        <v>1225</v>
      </c>
      <c r="B114" s="261" t="s">
        <v>1226</v>
      </c>
      <c r="C114" s="261" t="s">
        <v>1216</v>
      </c>
      <c r="D114" s="261" t="s">
        <v>1032</v>
      </c>
      <c r="E114">
        <v>402500</v>
      </c>
      <c r="F114" s="261" t="s">
        <v>1177</v>
      </c>
      <c r="G114">
        <v>47275</v>
      </c>
      <c r="H114" s="261"/>
      <c r="I114" s="261"/>
      <c r="K114">
        <v>1</v>
      </c>
      <c r="L114" s="261"/>
      <c r="P114" s="261"/>
      <c r="Q114" s="261"/>
      <c r="R114" s="215"/>
      <c r="S114">
        <v>1</v>
      </c>
      <c r="T114" s="261"/>
    </row>
    <row r="115" spans="1:20" x14ac:dyDescent="0.25">
      <c r="A115" s="261" t="s">
        <v>1223</v>
      </c>
      <c r="B115" s="261" t="s">
        <v>1224</v>
      </c>
      <c r="C115" s="261" t="s">
        <v>1216</v>
      </c>
      <c r="D115" s="261" t="s">
        <v>1032</v>
      </c>
      <c r="E115">
        <v>402500</v>
      </c>
      <c r="F115" s="261" t="s">
        <v>1177</v>
      </c>
      <c r="G115">
        <v>47275</v>
      </c>
      <c r="H115" s="261"/>
      <c r="I115" s="261"/>
      <c r="K115">
        <v>1</v>
      </c>
      <c r="L115" s="261"/>
      <c r="P115" s="261"/>
      <c r="Q115" s="261"/>
      <c r="R115" s="215"/>
      <c r="S115">
        <v>1</v>
      </c>
      <c r="T115" s="261"/>
    </row>
    <row r="116" spans="1:20" x14ac:dyDescent="0.25">
      <c r="A116" s="261" t="s">
        <v>1214</v>
      </c>
      <c r="B116" s="261" t="s">
        <v>1215</v>
      </c>
      <c r="C116" s="261" t="s">
        <v>1216</v>
      </c>
      <c r="D116" s="261" t="s">
        <v>1032</v>
      </c>
      <c r="E116">
        <v>759000</v>
      </c>
      <c r="F116" s="261" t="s">
        <v>1084</v>
      </c>
      <c r="G116">
        <v>152500</v>
      </c>
      <c r="H116" s="261"/>
      <c r="I116" s="261"/>
      <c r="K116">
        <v>1</v>
      </c>
      <c r="L116" s="261"/>
      <c r="P116" s="261"/>
      <c r="Q116" s="261"/>
      <c r="R116" s="215"/>
      <c r="S116">
        <v>1</v>
      </c>
      <c r="T116" s="261"/>
    </row>
    <row r="117" spans="1:20" x14ac:dyDescent="0.25">
      <c r="A117" s="261" t="s">
        <v>1217</v>
      </c>
      <c r="B117" s="261" t="s">
        <v>1218</v>
      </c>
      <c r="C117" s="261" t="s">
        <v>1216</v>
      </c>
      <c r="D117" s="261" t="s">
        <v>1032</v>
      </c>
      <c r="E117">
        <v>341550</v>
      </c>
      <c r="F117" s="261" t="s">
        <v>1084</v>
      </c>
      <c r="G117">
        <v>35075</v>
      </c>
      <c r="H117" s="261"/>
      <c r="I117" s="261"/>
      <c r="K117">
        <v>1</v>
      </c>
      <c r="L117" s="261"/>
      <c r="P117" s="261"/>
      <c r="Q117" s="261"/>
      <c r="R117" s="215"/>
      <c r="S117">
        <v>1</v>
      </c>
      <c r="T117" s="261"/>
    </row>
    <row r="118" spans="1:20" x14ac:dyDescent="0.25">
      <c r="A118" s="261" t="s">
        <v>1208</v>
      </c>
      <c r="B118" s="261" t="s">
        <v>1209</v>
      </c>
      <c r="C118" s="261" t="s">
        <v>1203</v>
      </c>
      <c r="D118" s="261" t="s">
        <v>1032</v>
      </c>
      <c r="E118">
        <v>1092500</v>
      </c>
      <c r="F118" s="261" t="s">
        <v>1084</v>
      </c>
      <c r="G118">
        <v>366000</v>
      </c>
      <c r="H118" s="261"/>
      <c r="I118" s="261"/>
      <c r="K118">
        <v>1</v>
      </c>
      <c r="L118" s="261"/>
      <c r="P118" s="261"/>
      <c r="Q118" s="261"/>
      <c r="R118" s="215"/>
      <c r="S118">
        <v>1</v>
      </c>
      <c r="T118" s="261"/>
    </row>
    <row r="119" spans="1:20" x14ac:dyDescent="0.25">
      <c r="A119" s="261" t="s">
        <v>1210</v>
      </c>
      <c r="B119" s="261" t="s">
        <v>1211</v>
      </c>
      <c r="C119" s="261" t="s">
        <v>1203</v>
      </c>
      <c r="D119" s="261" t="s">
        <v>1032</v>
      </c>
      <c r="E119">
        <v>97750</v>
      </c>
      <c r="F119" s="261" t="s">
        <v>1110</v>
      </c>
      <c r="G119">
        <v>22875</v>
      </c>
      <c r="H119" s="261"/>
      <c r="I119" s="261"/>
      <c r="K119">
        <v>1</v>
      </c>
      <c r="L119" s="261"/>
      <c r="P119" s="261"/>
      <c r="Q119" s="261"/>
      <c r="R119" s="215"/>
      <c r="S119">
        <v>1</v>
      </c>
      <c r="T119" s="261"/>
    </row>
    <row r="120" spans="1:20" x14ac:dyDescent="0.25">
      <c r="A120" s="261" t="s">
        <v>1212</v>
      </c>
      <c r="B120" s="261" t="s">
        <v>1213</v>
      </c>
      <c r="C120" s="261" t="s">
        <v>1203</v>
      </c>
      <c r="D120" s="261" t="s">
        <v>1032</v>
      </c>
      <c r="E120">
        <v>97750</v>
      </c>
      <c r="F120" s="261" t="s">
        <v>1110</v>
      </c>
      <c r="G120">
        <v>12200</v>
      </c>
      <c r="H120" s="261"/>
      <c r="I120" s="261"/>
      <c r="K120">
        <v>1</v>
      </c>
      <c r="L120" s="261"/>
      <c r="P120" s="261"/>
      <c r="Q120" s="261"/>
      <c r="R120" s="215"/>
      <c r="S120">
        <v>1</v>
      </c>
      <c r="T120" s="261"/>
    </row>
    <row r="121" spans="1:20" x14ac:dyDescent="0.25">
      <c r="A121" s="261" t="s">
        <v>1204</v>
      </c>
      <c r="B121" s="261" t="s">
        <v>1205</v>
      </c>
      <c r="C121" s="261" t="s">
        <v>1203</v>
      </c>
      <c r="D121" s="261" t="s">
        <v>1032</v>
      </c>
      <c r="E121">
        <v>230000</v>
      </c>
      <c r="F121" s="261" t="s">
        <v>1084</v>
      </c>
      <c r="G121">
        <v>76250</v>
      </c>
      <c r="H121" s="261"/>
      <c r="I121" s="261"/>
      <c r="K121">
        <v>1</v>
      </c>
      <c r="L121" s="261"/>
      <c r="P121" s="261"/>
      <c r="Q121" s="261"/>
      <c r="R121" s="215"/>
      <c r="S121">
        <v>1</v>
      </c>
      <c r="T121" s="261"/>
    </row>
    <row r="122" spans="1:20" x14ac:dyDescent="0.25">
      <c r="A122" s="261" t="s">
        <v>1206</v>
      </c>
      <c r="B122" s="261" t="s">
        <v>1207</v>
      </c>
      <c r="C122" s="261" t="s">
        <v>1203</v>
      </c>
      <c r="D122" s="261" t="s">
        <v>1032</v>
      </c>
      <c r="E122">
        <v>189750</v>
      </c>
      <c r="F122" s="261" t="s">
        <v>1110</v>
      </c>
      <c r="G122">
        <v>39650</v>
      </c>
      <c r="H122" s="261"/>
      <c r="I122" s="261"/>
      <c r="K122">
        <v>1</v>
      </c>
      <c r="L122" s="261"/>
      <c r="P122" s="261"/>
      <c r="Q122" s="261"/>
      <c r="R122" s="215"/>
      <c r="S122">
        <v>1</v>
      </c>
      <c r="T122" s="261"/>
    </row>
    <row r="123" spans="1:20" x14ac:dyDescent="0.25">
      <c r="A123" s="261" t="s">
        <v>1201</v>
      </c>
      <c r="B123" s="261" t="s">
        <v>1202</v>
      </c>
      <c r="C123" s="261" t="s">
        <v>1203</v>
      </c>
      <c r="D123" s="261" t="s">
        <v>1032</v>
      </c>
      <c r="E123">
        <v>345000</v>
      </c>
      <c r="F123" s="261" t="s">
        <v>1084</v>
      </c>
      <c r="G123">
        <v>131150</v>
      </c>
      <c r="H123" s="261"/>
      <c r="I123" s="261"/>
      <c r="K123">
        <v>1</v>
      </c>
      <c r="L123" s="261"/>
      <c r="P123" s="261"/>
      <c r="Q123" s="261"/>
      <c r="R123" s="215"/>
      <c r="S123">
        <v>1</v>
      </c>
      <c r="T123" s="261"/>
    </row>
    <row r="124" spans="1:20" x14ac:dyDescent="0.25">
      <c r="A124" s="261" t="s">
        <v>1439</v>
      </c>
      <c r="B124" s="261" t="s">
        <v>1440</v>
      </c>
      <c r="C124" s="261" t="s">
        <v>1438</v>
      </c>
      <c r="D124" s="261" t="s">
        <v>1005</v>
      </c>
      <c r="E124">
        <v>6325</v>
      </c>
      <c r="F124" s="261" t="s">
        <v>1110</v>
      </c>
      <c r="G124">
        <v>6325</v>
      </c>
      <c r="H124" s="261"/>
      <c r="I124" s="261"/>
      <c r="K124">
        <v>1</v>
      </c>
      <c r="L124" s="261"/>
      <c r="P124" s="261"/>
      <c r="Q124" s="261"/>
      <c r="R124" s="215"/>
      <c r="S124">
        <v>1</v>
      </c>
      <c r="T124" s="261"/>
    </row>
    <row r="125" spans="1:20" x14ac:dyDescent="0.25">
      <c r="A125" s="261" t="s">
        <v>1436</v>
      </c>
      <c r="B125" s="261" t="s">
        <v>1437</v>
      </c>
      <c r="C125" s="261" t="s">
        <v>1438</v>
      </c>
      <c r="D125" s="261" t="s">
        <v>1005</v>
      </c>
      <c r="E125">
        <v>575</v>
      </c>
      <c r="F125" s="261" t="s">
        <v>1110</v>
      </c>
      <c r="G125">
        <v>575</v>
      </c>
      <c r="H125" s="261"/>
      <c r="I125" s="261"/>
      <c r="K125">
        <v>1</v>
      </c>
      <c r="L125" s="261"/>
      <c r="P125" s="261"/>
      <c r="Q125" s="261"/>
      <c r="R125" s="215"/>
      <c r="S125">
        <v>1</v>
      </c>
      <c r="T125" s="261"/>
    </row>
    <row r="126" spans="1:20" x14ac:dyDescent="0.25">
      <c r="A126" s="261" t="s">
        <v>1442</v>
      </c>
      <c r="B126" s="261" t="s">
        <v>1440</v>
      </c>
      <c r="C126" s="261" t="s">
        <v>1438</v>
      </c>
      <c r="D126" s="261" t="s">
        <v>1005</v>
      </c>
      <c r="E126">
        <v>6325</v>
      </c>
      <c r="F126" s="261" t="s">
        <v>1110</v>
      </c>
      <c r="G126">
        <v>6325</v>
      </c>
      <c r="H126" s="261"/>
      <c r="I126" s="261"/>
      <c r="K126">
        <v>1</v>
      </c>
      <c r="L126" s="261"/>
      <c r="P126" s="261"/>
      <c r="Q126" s="261"/>
      <c r="R126" s="215"/>
      <c r="S126">
        <v>1</v>
      </c>
      <c r="T126" s="261"/>
    </row>
    <row r="127" spans="1:20" x14ac:dyDescent="0.25">
      <c r="A127" s="261" t="s">
        <v>1441</v>
      </c>
      <c r="B127" s="261" t="s">
        <v>1437</v>
      </c>
      <c r="C127" s="261" t="s">
        <v>1438</v>
      </c>
      <c r="D127" s="261" t="s">
        <v>1005</v>
      </c>
      <c r="E127">
        <v>575</v>
      </c>
      <c r="F127" s="261" t="s">
        <v>1110</v>
      </c>
      <c r="G127">
        <v>575</v>
      </c>
      <c r="H127" s="261"/>
      <c r="I127" s="261"/>
      <c r="K127">
        <v>1</v>
      </c>
      <c r="L127" s="261"/>
      <c r="P127" s="261"/>
      <c r="Q127" s="261"/>
      <c r="R127" s="215"/>
      <c r="S127">
        <v>1</v>
      </c>
      <c r="T127" s="261"/>
    </row>
    <row r="128" spans="1:20" x14ac:dyDescent="0.25">
      <c r="A128" s="261" t="s">
        <v>1412</v>
      </c>
      <c r="B128" s="261" t="s">
        <v>1413</v>
      </c>
      <c r="C128" s="261" t="s">
        <v>1350</v>
      </c>
      <c r="D128" s="261" t="s">
        <v>1014</v>
      </c>
      <c r="E128">
        <v>26450</v>
      </c>
      <c r="F128" s="261" t="s">
        <v>1084</v>
      </c>
      <c r="H128" s="261"/>
      <c r="I128" s="261"/>
      <c r="K128">
        <v>1</v>
      </c>
      <c r="L128" s="261"/>
      <c r="P128" s="261"/>
      <c r="Q128" s="261"/>
      <c r="R128" s="215"/>
      <c r="S128">
        <v>1</v>
      </c>
      <c r="T128" s="261"/>
    </row>
    <row r="129" spans="1:20" x14ac:dyDescent="0.25">
      <c r="A129" s="261" t="s">
        <v>1414</v>
      </c>
      <c r="B129" s="261" t="s">
        <v>1413</v>
      </c>
      <c r="C129" s="261" t="s">
        <v>1350</v>
      </c>
      <c r="D129" s="261" t="s">
        <v>1014</v>
      </c>
      <c r="E129">
        <v>28750</v>
      </c>
      <c r="F129" s="261" t="s">
        <v>1084</v>
      </c>
      <c r="H129" s="261"/>
      <c r="I129" s="261"/>
      <c r="K129">
        <v>1</v>
      </c>
      <c r="L129" s="261"/>
      <c r="P129" s="261"/>
      <c r="Q129" s="261"/>
      <c r="R129" s="215"/>
      <c r="S129">
        <v>1</v>
      </c>
      <c r="T129" s="261"/>
    </row>
    <row r="130" spans="1:20" x14ac:dyDescent="0.25">
      <c r="A130" s="261" t="s">
        <v>1387</v>
      </c>
      <c r="B130" s="261" t="s">
        <v>1388</v>
      </c>
      <c r="C130" s="261" t="s">
        <v>1350</v>
      </c>
      <c r="D130" s="261" t="s">
        <v>1014</v>
      </c>
      <c r="E130">
        <v>4255</v>
      </c>
      <c r="F130" s="261" t="s">
        <v>1177</v>
      </c>
      <c r="H130" s="261"/>
      <c r="I130" s="261"/>
      <c r="K130">
        <v>1</v>
      </c>
      <c r="L130" s="261"/>
      <c r="P130" s="261"/>
      <c r="Q130" s="261"/>
      <c r="R130" s="215"/>
      <c r="S130">
        <v>1</v>
      </c>
      <c r="T130" s="261"/>
    </row>
    <row r="131" spans="1:20" x14ac:dyDescent="0.25">
      <c r="A131" s="261" t="s">
        <v>1385</v>
      </c>
      <c r="B131" s="261" t="s">
        <v>1386</v>
      </c>
      <c r="C131" s="261" t="s">
        <v>1350</v>
      </c>
      <c r="D131" s="261" t="s">
        <v>1014</v>
      </c>
      <c r="E131">
        <v>4830</v>
      </c>
      <c r="F131" s="261" t="s">
        <v>1177</v>
      </c>
      <c r="H131" s="261"/>
      <c r="I131" s="261"/>
      <c r="K131">
        <v>1</v>
      </c>
      <c r="L131" s="261"/>
      <c r="P131" s="261"/>
      <c r="Q131" s="261"/>
      <c r="R131" s="215"/>
      <c r="S131">
        <v>1</v>
      </c>
      <c r="T131" s="261"/>
    </row>
    <row r="132" spans="1:20" x14ac:dyDescent="0.25">
      <c r="A132" s="261" t="s">
        <v>1383</v>
      </c>
      <c r="B132" s="261" t="s">
        <v>1384</v>
      </c>
      <c r="C132" s="261" t="s">
        <v>1350</v>
      </c>
      <c r="D132" s="261" t="s">
        <v>1014</v>
      </c>
      <c r="E132">
        <v>5405</v>
      </c>
      <c r="F132" s="261" t="s">
        <v>1177</v>
      </c>
      <c r="H132" s="261"/>
      <c r="I132" s="261"/>
      <c r="K132">
        <v>1</v>
      </c>
      <c r="L132" s="261"/>
      <c r="P132" s="261"/>
      <c r="Q132" s="261"/>
      <c r="R132" s="215"/>
      <c r="S132">
        <v>1</v>
      </c>
      <c r="T132" s="261"/>
    </row>
    <row r="133" spans="1:20" x14ac:dyDescent="0.25">
      <c r="A133" s="261" t="s">
        <v>1381</v>
      </c>
      <c r="B133" s="261" t="s">
        <v>1382</v>
      </c>
      <c r="C133" s="261" t="s">
        <v>1350</v>
      </c>
      <c r="D133" s="261" t="s">
        <v>1014</v>
      </c>
      <c r="E133">
        <v>5980</v>
      </c>
      <c r="F133" s="261" t="s">
        <v>1177</v>
      </c>
      <c r="H133" s="261"/>
      <c r="I133" s="261"/>
      <c r="K133">
        <v>1</v>
      </c>
      <c r="L133" s="261"/>
      <c r="P133" s="261"/>
      <c r="Q133" s="261"/>
      <c r="R133" s="215"/>
      <c r="S133">
        <v>1</v>
      </c>
      <c r="T133" s="261"/>
    </row>
    <row r="134" spans="1:20" x14ac:dyDescent="0.25">
      <c r="A134" s="261" t="s">
        <v>1389</v>
      </c>
      <c r="B134" s="261" t="s">
        <v>1390</v>
      </c>
      <c r="C134" s="261" t="s">
        <v>1350</v>
      </c>
      <c r="D134" s="261" t="s">
        <v>1014</v>
      </c>
      <c r="E134">
        <v>3450</v>
      </c>
      <c r="F134" s="261" t="s">
        <v>1177</v>
      </c>
      <c r="H134" s="261"/>
      <c r="I134" s="261"/>
      <c r="K134">
        <v>1</v>
      </c>
      <c r="L134" s="261"/>
      <c r="P134" s="261"/>
      <c r="Q134" s="261"/>
      <c r="R134" s="215"/>
      <c r="S134">
        <v>1</v>
      </c>
      <c r="T134" s="261"/>
    </row>
    <row r="135" spans="1:20" x14ac:dyDescent="0.25">
      <c r="A135" s="261" t="s">
        <v>1391</v>
      </c>
      <c r="B135" s="261" t="s">
        <v>1392</v>
      </c>
      <c r="C135" s="261" t="s">
        <v>1350</v>
      </c>
      <c r="D135" s="261" t="s">
        <v>1014</v>
      </c>
      <c r="E135">
        <v>4255</v>
      </c>
      <c r="F135" s="261" t="s">
        <v>1177</v>
      </c>
      <c r="H135" s="261"/>
      <c r="I135" s="261"/>
      <c r="K135">
        <v>1</v>
      </c>
      <c r="L135" s="261"/>
      <c r="P135" s="261"/>
      <c r="Q135" s="261"/>
      <c r="R135" s="215"/>
      <c r="S135">
        <v>1</v>
      </c>
      <c r="T135" s="261"/>
    </row>
    <row r="136" spans="1:20" x14ac:dyDescent="0.25">
      <c r="A136" s="261" t="s">
        <v>1393</v>
      </c>
      <c r="B136" s="261" t="s">
        <v>1394</v>
      </c>
      <c r="C136" s="261" t="s">
        <v>1350</v>
      </c>
      <c r="D136" s="261" t="s">
        <v>1014</v>
      </c>
      <c r="E136">
        <v>4830</v>
      </c>
      <c r="F136" s="261" t="s">
        <v>1177</v>
      </c>
      <c r="H136" s="261"/>
      <c r="I136" s="261"/>
      <c r="K136">
        <v>1</v>
      </c>
      <c r="L136" s="261"/>
      <c r="P136" s="261"/>
      <c r="Q136" s="261"/>
      <c r="R136" s="215"/>
      <c r="S136">
        <v>1</v>
      </c>
      <c r="T136" s="261"/>
    </row>
    <row r="137" spans="1:20" x14ac:dyDescent="0.25">
      <c r="A137" s="261" t="s">
        <v>1395</v>
      </c>
      <c r="B137" s="261" t="s">
        <v>1396</v>
      </c>
      <c r="C137" s="261" t="s">
        <v>1350</v>
      </c>
      <c r="D137" s="261" t="s">
        <v>1014</v>
      </c>
      <c r="E137">
        <v>7475</v>
      </c>
      <c r="F137" s="261" t="s">
        <v>1177</v>
      </c>
      <c r="H137" s="261"/>
      <c r="I137" s="261"/>
      <c r="K137">
        <v>1</v>
      </c>
      <c r="L137" s="261"/>
      <c r="P137" s="261"/>
      <c r="Q137" s="261"/>
      <c r="R137" s="215"/>
      <c r="S137">
        <v>1</v>
      </c>
      <c r="T137" s="261"/>
    </row>
    <row r="138" spans="1:20" x14ac:dyDescent="0.25">
      <c r="A138" s="261" t="s">
        <v>1373</v>
      </c>
      <c r="B138" s="261" t="s">
        <v>1374</v>
      </c>
      <c r="C138" s="261" t="s">
        <v>1350</v>
      </c>
      <c r="D138" s="261" t="s">
        <v>1014</v>
      </c>
      <c r="E138">
        <v>11224</v>
      </c>
      <c r="F138" s="261" t="s">
        <v>1177</v>
      </c>
      <c r="H138" s="261"/>
      <c r="I138" s="261"/>
      <c r="K138">
        <v>1</v>
      </c>
      <c r="L138" s="261"/>
      <c r="P138" s="261"/>
      <c r="Q138" s="261"/>
      <c r="R138" s="215"/>
      <c r="S138">
        <v>1</v>
      </c>
      <c r="T138" s="261"/>
    </row>
    <row r="139" spans="1:20" x14ac:dyDescent="0.25">
      <c r="A139" s="261" t="s">
        <v>1375</v>
      </c>
      <c r="B139" s="261" t="s">
        <v>1376</v>
      </c>
      <c r="C139" s="261" t="s">
        <v>1350</v>
      </c>
      <c r="D139" s="261" t="s">
        <v>1014</v>
      </c>
      <c r="E139">
        <v>13915</v>
      </c>
      <c r="F139" s="261" t="s">
        <v>1177</v>
      </c>
      <c r="H139" s="261"/>
      <c r="I139" s="261"/>
      <c r="K139">
        <v>1</v>
      </c>
      <c r="L139" s="261"/>
      <c r="P139" s="261"/>
      <c r="Q139" s="261"/>
      <c r="R139" s="215"/>
      <c r="S139">
        <v>1</v>
      </c>
      <c r="T139" s="261"/>
    </row>
    <row r="140" spans="1:20" x14ac:dyDescent="0.25">
      <c r="A140" s="261" t="s">
        <v>1377</v>
      </c>
      <c r="B140" s="261" t="s">
        <v>1378</v>
      </c>
      <c r="C140" s="261" t="s">
        <v>1350</v>
      </c>
      <c r="D140" s="261" t="s">
        <v>1014</v>
      </c>
      <c r="E140">
        <v>21327</v>
      </c>
      <c r="F140" s="261" t="s">
        <v>1177</v>
      </c>
      <c r="H140" s="261"/>
      <c r="I140" s="261"/>
      <c r="K140">
        <v>1</v>
      </c>
      <c r="L140" s="261"/>
      <c r="P140" s="261"/>
      <c r="Q140" s="261"/>
      <c r="R140" s="215"/>
      <c r="S140">
        <v>1</v>
      </c>
      <c r="T140" s="261"/>
    </row>
    <row r="141" spans="1:20" x14ac:dyDescent="0.25">
      <c r="A141" s="261" t="s">
        <v>1379</v>
      </c>
      <c r="B141" s="261" t="s">
        <v>1380</v>
      </c>
      <c r="C141" s="261" t="s">
        <v>1350</v>
      </c>
      <c r="D141" s="261" t="s">
        <v>1014</v>
      </c>
      <c r="E141">
        <v>23575</v>
      </c>
      <c r="F141" s="261" t="s">
        <v>1177</v>
      </c>
      <c r="H141" s="261"/>
      <c r="I141" s="261"/>
      <c r="K141">
        <v>1</v>
      </c>
      <c r="L141" s="261"/>
      <c r="P141" s="261"/>
      <c r="Q141" s="261"/>
      <c r="R141" s="215"/>
      <c r="S141">
        <v>1</v>
      </c>
      <c r="T141" s="261"/>
    </row>
    <row r="142" spans="1:20" x14ac:dyDescent="0.25">
      <c r="A142" s="261" t="s">
        <v>1363</v>
      </c>
      <c r="B142" s="261" t="s">
        <v>1364</v>
      </c>
      <c r="C142" s="261" t="s">
        <v>1350</v>
      </c>
      <c r="D142" s="261" t="s">
        <v>1014</v>
      </c>
      <c r="E142">
        <v>4255</v>
      </c>
      <c r="F142" s="261" t="s">
        <v>1177</v>
      </c>
      <c r="H142" s="261"/>
      <c r="I142" s="261"/>
      <c r="K142">
        <v>1</v>
      </c>
      <c r="L142" s="261"/>
      <c r="P142" s="261"/>
      <c r="Q142" s="261"/>
      <c r="R142" s="215"/>
      <c r="S142">
        <v>1</v>
      </c>
      <c r="T142" s="261"/>
    </row>
    <row r="143" spans="1:20" x14ac:dyDescent="0.25">
      <c r="A143" s="261" t="s">
        <v>1365</v>
      </c>
      <c r="B143" s="261" t="s">
        <v>1366</v>
      </c>
      <c r="C143" s="261" t="s">
        <v>1350</v>
      </c>
      <c r="D143" s="261" t="s">
        <v>1014</v>
      </c>
      <c r="E143">
        <v>5635</v>
      </c>
      <c r="F143" s="261" t="s">
        <v>1177</v>
      </c>
      <c r="H143" s="261"/>
      <c r="I143" s="261"/>
      <c r="K143">
        <v>1</v>
      </c>
      <c r="L143" s="261"/>
      <c r="P143" s="261"/>
      <c r="Q143" s="261"/>
      <c r="R143" s="215"/>
      <c r="S143">
        <v>1</v>
      </c>
      <c r="T143" s="261"/>
    </row>
    <row r="144" spans="1:20" x14ac:dyDescent="0.25">
      <c r="A144" s="261" t="s">
        <v>1367</v>
      </c>
      <c r="B144" s="261" t="s">
        <v>1368</v>
      </c>
      <c r="C144" s="261" t="s">
        <v>1350</v>
      </c>
      <c r="D144" s="261" t="s">
        <v>1014</v>
      </c>
      <c r="E144">
        <v>5980</v>
      </c>
      <c r="F144" s="261" t="s">
        <v>1177</v>
      </c>
      <c r="H144" s="261"/>
      <c r="I144" s="261"/>
      <c r="K144">
        <v>1</v>
      </c>
      <c r="L144" s="261"/>
      <c r="P144" s="261"/>
      <c r="Q144" s="261"/>
      <c r="R144" s="215"/>
      <c r="S144">
        <v>1</v>
      </c>
      <c r="T144" s="261"/>
    </row>
    <row r="145" spans="1:20" x14ac:dyDescent="0.25">
      <c r="A145" s="261" t="s">
        <v>1369</v>
      </c>
      <c r="B145" s="261" t="s">
        <v>1370</v>
      </c>
      <c r="C145" s="261" t="s">
        <v>1350</v>
      </c>
      <c r="D145" s="261" t="s">
        <v>1014</v>
      </c>
      <c r="E145">
        <v>8050</v>
      </c>
      <c r="F145" s="261" t="s">
        <v>1177</v>
      </c>
      <c r="H145" s="261"/>
      <c r="I145" s="261"/>
      <c r="K145">
        <v>1</v>
      </c>
      <c r="L145" s="261"/>
      <c r="P145" s="261"/>
      <c r="Q145" s="261"/>
      <c r="R145" s="215"/>
      <c r="S145">
        <v>1</v>
      </c>
      <c r="T145" s="261"/>
    </row>
    <row r="146" spans="1:20" x14ac:dyDescent="0.25">
      <c r="A146" s="261" t="s">
        <v>1371</v>
      </c>
      <c r="B146" s="261" t="s">
        <v>1372</v>
      </c>
      <c r="C146" s="261" t="s">
        <v>1350</v>
      </c>
      <c r="D146" s="261" t="s">
        <v>1014</v>
      </c>
      <c r="E146">
        <v>9545</v>
      </c>
      <c r="F146" s="261" t="s">
        <v>1177</v>
      </c>
      <c r="H146" s="261"/>
      <c r="I146" s="261"/>
      <c r="K146">
        <v>1</v>
      </c>
      <c r="L146" s="261"/>
      <c r="P146" s="261"/>
      <c r="Q146" s="261"/>
      <c r="R146" s="215"/>
      <c r="S146">
        <v>1</v>
      </c>
      <c r="T146" s="261"/>
    </row>
    <row r="147" spans="1:20" x14ac:dyDescent="0.25">
      <c r="A147" s="261" t="s">
        <v>1361</v>
      </c>
      <c r="B147" s="261" t="s">
        <v>1362</v>
      </c>
      <c r="C147" s="261" t="s">
        <v>1350</v>
      </c>
      <c r="D147" s="261" t="s">
        <v>1014</v>
      </c>
      <c r="E147">
        <v>316250</v>
      </c>
      <c r="F147" s="261" t="s">
        <v>1084</v>
      </c>
      <c r="G147">
        <v>48800</v>
      </c>
      <c r="H147" s="261"/>
      <c r="I147" s="261"/>
      <c r="K147">
        <v>1</v>
      </c>
      <c r="L147" s="261"/>
      <c r="P147" s="261"/>
      <c r="Q147" s="261"/>
      <c r="R147" s="215"/>
      <c r="S147">
        <v>1</v>
      </c>
      <c r="T147" s="261"/>
    </row>
    <row r="148" spans="1:20" x14ac:dyDescent="0.25">
      <c r="A148" s="261" t="s">
        <v>1357</v>
      </c>
      <c r="B148" s="261" t="s">
        <v>1358</v>
      </c>
      <c r="C148" s="261" t="s">
        <v>1350</v>
      </c>
      <c r="D148" s="261" t="s">
        <v>1014</v>
      </c>
      <c r="E148">
        <v>201250</v>
      </c>
      <c r="F148" s="261" t="s">
        <v>1084</v>
      </c>
      <c r="G148">
        <v>32025</v>
      </c>
      <c r="H148" s="261"/>
      <c r="I148" s="261"/>
      <c r="K148">
        <v>1</v>
      </c>
      <c r="L148" s="261"/>
      <c r="P148" s="261"/>
      <c r="Q148" s="261"/>
      <c r="R148" s="215"/>
      <c r="S148">
        <v>1</v>
      </c>
      <c r="T148" s="261"/>
    </row>
    <row r="149" spans="1:20" x14ac:dyDescent="0.25">
      <c r="A149" s="261" t="s">
        <v>1359</v>
      </c>
      <c r="B149" s="261" t="s">
        <v>1360</v>
      </c>
      <c r="C149" s="261" t="s">
        <v>1350</v>
      </c>
      <c r="D149" s="261" t="s">
        <v>1014</v>
      </c>
      <c r="E149">
        <v>247250</v>
      </c>
      <c r="F149" s="261" t="s">
        <v>1084</v>
      </c>
      <c r="G149">
        <v>41175</v>
      </c>
      <c r="H149" s="261"/>
      <c r="I149" s="261"/>
      <c r="K149">
        <v>1</v>
      </c>
      <c r="L149" s="261"/>
      <c r="P149" s="261"/>
      <c r="Q149" s="261"/>
      <c r="R149" s="215"/>
      <c r="S149">
        <v>1</v>
      </c>
      <c r="T149" s="261"/>
    </row>
    <row r="150" spans="1:20" x14ac:dyDescent="0.25">
      <c r="A150" s="261" t="s">
        <v>1397</v>
      </c>
      <c r="B150" s="261" t="s">
        <v>1398</v>
      </c>
      <c r="C150" s="261" t="s">
        <v>1350</v>
      </c>
      <c r="D150" s="261" t="s">
        <v>1014</v>
      </c>
      <c r="E150">
        <v>550600</v>
      </c>
      <c r="F150" s="261" t="s">
        <v>1084</v>
      </c>
      <c r="H150" s="261"/>
      <c r="I150" s="261"/>
      <c r="K150">
        <v>1</v>
      </c>
      <c r="L150" s="261"/>
      <c r="P150" s="261"/>
      <c r="Q150" s="261"/>
      <c r="R150" s="215"/>
      <c r="S150">
        <v>1</v>
      </c>
      <c r="T150" s="261"/>
    </row>
    <row r="151" spans="1:20" x14ac:dyDescent="0.25">
      <c r="A151" s="261" t="s">
        <v>1407</v>
      </c>
      <c r="B151" s="261" t="s">
        <v>1408</v>
      </c>
      <c r="C151" s="261" t="s">
        <v>1350</v>
      </c>
      <c r="D151" s="261" t="s">
        <v>1014</v>
      </c>
      <c r="E151">
        <v>862500</v>
      </c>
      <c r="F151" s="261" t="s">
        <v>1084</v>
      </c>
      <c r="H151" s="261"/>
      <c r="I151" s="261"/>
      <c r="K151">
        <v>1</v>
      </c>
      <c r="L151" s="261"/>
      <c r="P151" s="261"/>
      <c r="Q151" s="261"/>
      <c r="R151" s="215"/>
      <c r="S151">
        <v>1</v>
      </c>
      <c r="T151" s="261"/>
    </row>
    <row r="152" spans="1:20" x14ac:dyDescent="0.25">
      <c r="A152" s="261" t="s">
        <v>1415</v>
      </c>
      <c r="B152" s="261" t="s">
        <v>1416</v>
      </c>
      <c r="C152" s="261" t="s">
        <v>1350</v>
      </c>
      <c r="D152" s="261" t="s">
        <v>1014</v>
      </c>
      <c r="E152">
        <v>14375</v>
      </c>
      <c r="F152" s="261" t="s">
        <v>1177</v>
      </c>
      <c r="H152" s="261"/>
      <c r="I152" s="261"/>
      <c r="K152">
        <v>1</v>
      </c>
      <c r="L152" s="261"/>
      <c r="P152" s="261"/>
      <c r="Q152" s="261"/>
      <c r="R152" s="215"/>
      <c r="S152">
        <v>1</v>
      </c>
      <c r="T152" s="261"/>
    </row>
    <row r="153" spans="1:20" x14ac:dyDescent="0.25">
      <c r="A153" s="261" t="s">
        <v>1417</v>
      </c>
      <c r="B153" s="261" t="s">
        <v>1418</v>
      </c>
      <c r="C153" s="261" t="s">
        <v>1350</v>
      </c>
      <c r="D153" s="261" t="s">
        <v>1014</v>
      </c>
      <c r="E153">
        <v>19550</v>
      </c>
      <c r="F153" s="261" t="s">
        <v>1177</v>
      </c>
      <c r="H153" s="261"/>
      <c r="I153" s="261"/>
      <c r="K153">
        <v>1</v>
      </c>
      <c r="L153" s="261"/>
      <c r="P153" s="261"/>
      <c r="Q153" s="261"/>
      <c r="R153" s="215"/>
      <c r="S153">
        <v>1</v>
      </c>
      <c r="T153" s="261"/>
    </row>
    <row r="154" spans="1:20" x14ac:dyDescent="0.25">
      <c r="A154" s="261" t="s">
        <v>1419</v>
      </c>
      <c r="B154" s="261" t="s">
        <v>1420</v>
      </c>
      <c r="C154" s="261" t="s">
        <v>1350</v>
      </c>
      <c r="D154" s="261" t="s">
        <v>1014</v>
      </c>
      <c r="E154">
        <v>29210</v>
      </c>
      <c r="F154" s="261" t="s">
        <v>1177</v>
      </c>
      <c r="H154" s="261"/>
      <c r="I154" s="261"/>
      <c r="K154">
        <v>1</v>
      </c>
      <c r="L154" s="261"/>
      <c r="P154" s="261"/>
      <c r="Q154" s="261"/>
      <c r="R154" s="215"/>
      <c r="S154">
        <v>1</v>
      </c>
      <c r="T154" s="261"/>
    </row>
    <row r="155" spans="1:20" x14ac:dyDescent="0.25">
      <c r="A155" s="261" t="s">
        <v>1355</v>
      </c>
      <c r="B155" s="261" t="s">
        <v>1356</v>
      </c>
      <c r="C155" s="261" t="s">
        <v>1350</v>
      </c>
      <c r="D155" s="261" t="s">
        <v>1014</v>
      </c>
      <c r="E155">
        <v>109250</v>
      </c>
      <c r="F155" s="261" t="s">
        <v>1084</v>
      </c>
      <c r="G155">
        <v>16165</v>
      </c>
      <c r="H155" s="261"/>
      <c r="I155" s="261"/>
      <c r="K155">
        <v>1</v>
      </c>
      <c r="L155" s="261"/>
      <c r="P155" s="261"/>
      <c r="Q155" s="261"/>
      <c r="R155" s="215"/>
      <c r="S155">
        <v>1</v>
      </c>
      <c r="T155" s="261"/>
    </row>
    <row r="156" spans="1:20" x14ac:dyDescent="0.25">
      <c r="A156" s="261" t="s">
        <v>1353</v>
      </c>
      <c r="B156" s="261" t="s">
        <v>1354</v>
      </c>
      <c r="C156" s="261" t="s">
        <v>1350</v>
      </c>
      <c r="D156" s="261" t="s">
        <v>1014</v>
      </c>
      <c r="E156">
        <v>126500</v>
      </c>
      <c r="F156" s="261" t="s">
        <v>1084</v>
      </c>
      <c r="G156">
        <v>13725</v>
      </c>
      <c r="H156" s="261"/>
      <c r="I156" s="261"/>
      <c r="K156">
        <v>1</v>
      </c>
      <c r="L156" s="261"/>
      <c r="P156" s="261"/>
      <c r="Q156" s="261"/>
      <c r="R156" s="215"/>
      <c r="S156">
        <v>1</v>
      </c>
      <c r="T156" s="261"/>
    </row>
    <row r="157" spans="1:20" x14ac:dyDescent="0.25">
      <c r="A157" s="261" t="s">
        <v>1401</v>
      </c>
      <c r="B157" s="261" t="s">
        <v>1402</v>
      </c>
      <c r="C157" s="261" t="s">
        <v>1423</v>
      </c>
      <c r="D157" s="261" t="s">
        <v>1014</v>
      </c>
      <c r="E157">
        <v>402500</v>
      </c>
      <c r="F157" s="261"/>
      <c r="H157" s="261"/>
      <c r="I157" s="261"/>
      <c r="K157">
        <v>1</v>
      </c>
      <c r="L157" s="261"/>
      <c r="P157" s="261"/>
      <c r="Q157" s="261"/>
      <c r="R157" s="215"/>
      <c r="S157">
        <v>1</v>
      </c>
      <c r="T157" s="261"/>
    </row>
    <row r="158" spans="1:20" x14ac:dyDescent="0.25">
      <c r="A158" s="261" t="s">
        <v>1351</v>
      </c>
      <c r="B158" s="261" t="s">
        <v>1352</v>
      </c>
      <c r="C158" s="261" t="s">
        <v>1350</v>
      </c>
      <c r="D158" s="261" t="s">
        <v>1014</v>
      </c>
      <c r="E158">
        <v>517500</v>
      </c>
      <c r="F158" s="261" t="s">
        <v>1084</v>
      </c>
      <c r="G158">
        <v>24400</v>
      </c>
      <c r="H158" s="261"/>
      <c r="I158" s="261"/>
      <c r="K158">
        <v>1</v>
      </c>
      <c r="L158" s="261"/>
      <c r="P158" s="261"/>
      <c r="Q158" s="261"/>
      <c r="R158" s="215"/>
      <c r="S158">
        <v>1</v>
      </c>
      <c r="T158" s="261"/>
    </row>
    <row r="159" spans="1:20" x14ac:dyDescent="0.25">
      <c r="A159" s="261" t="s">
        <v>1405</v>
      </c>
      <c r="B159" s="261" t="s">
        <v>1406</v>
      </c>
      <c r="C159" s="261" t="s">
        <v>1350</v>
      </c>
      <c r="D159" s="261" t="s">
        <v>1014</v>
      </c>
      <c r="E159">
        <v>11500</v>
      </c>
      <c r="F159" s="261" t="s">
        <v>1084</v>
      </c>
      <c r="H159" s="261"/>
      <c r="I159" s="261"/>
      <c r="K159">
        <v>1</v>
      </c>
      <c r="L159" s="261"/>
      <c r="P159" s="261"/>
      <c r="Q159" s="261"/>
      <c r="R159" s="215"/>
      <c r="S159">
        <v>1</v>
      </c>
      <c r="T159" s="261"/>
    </row>
    <row r="160" spans="1:20" x14ac:dyDescent="0.25">
      <c r="A160" s="261" t="s">
        <v>1399</v>
      </c>
      <c r="B160" s="261" t="s">
        <v>1400</v>
      </c>
      <c r="C160" s="261" t="s">
        <v>1350</v>
      </c>
      <c r="D160" s="261" t="s">
        <v>1014</v>
      </c>
      <c r="E160">
        <v>1725000</v>
      </c>
      <c r="F160" s="261" t="s">
        <v>1084</v>
      </c>
      <c r="H160" s="261"/>
      <c r="I160" s="261"/>
      <c r="K160">
        <v>1</v>
      </c>
      <c r="L160" s="261"/>
      <c r="P160" s="261"/>
      <c r="Q160" s="261"/>
      <c r="R160" s="215"/>
      <c r="S160">
        <v>1</v>
      </c>
      <c r="T160" s="261"/>
    </row>
    <row r="161" spans="1:20" x14ac:dyDescent="0.25">
      <c r="A161" s="261" t="s">
        <v>1403</v>
      </c>
      <c r="B161" s="261" t="s">
        <v>1404</v>
      </c>
      <c r="C161" s="261" t="s">
        <v>1350</v>
      </c>
      <c r="D161" s="261" t="s">
        <v>1014</v>
      </c>
      <c r="E161">
        <v>402500</v>
      </c>
      <c r="F161" s="261" t="s">
        <v>1084</v>
      </c>
      <c r="H161" s="261"/>
      <c r="I161" s="261"/>
      <c r="K161">
        <v>1</v>
      </c>
      <c r="L161" s="261"/>
      <c r="P161" s="261"/>
      <c r="Q161" s="261"/>
      <c r="R161" s="215"/>
      <c r="S161">
        <v>1</v>
      </c>
      <c r="T161" s="261"/>
    </row>
    <row r="162" spans="1:20" x14ac:dyDescent="0.25">
      <c r="A162" s="261" t="s">
        <v>1409</v>
      </c>
      <c r="B162" s="261" t="s">
        <v>1410</v>
      </c>
      <c r="C162" s="261" t="s">
        <v>1350</v>
      </c>
      <c r="D162" s="261" t="s">
        <v>1014</v>
      </c>
      <c r="E162">
        <v>575000</v>
      </c>
      <c r="F162" s="261" t="s">
        <v>1084</v>
      </c>
      <c r="H162" s="261"/>
      <c r="I162" s="261"/>
      <c r="K162">
        <v>1</v>
      </c>
      <c r="L162" s="261"/>
      <c r="P162" s="261"/>
      <c r="Q162" s="261"/>
      <c r="R162" s="215"/>
      <c r="S162">
        <v>1</v>
      </c>
      <c r="T162" s="261"/>
    </row>
    <row r="163" spans="1:20" x14ac:dyDescent="0.25">
      <c r="A163" s="261" t="s">
        <v>1411</v>
      </c>
      <c r="B163" s="261" t="s">
        <v>1410</v>
      </c>
      <c r="C163" s="261" t="s">
        <v>1350</v>
      </c>
      <c r="D163" s="261" t="s">
        <v>1014</v>
      </c>
      <c r="E163">
        <v>402500</v>
      </c>
      <c r="F163" s="261" t="s">
        <v>1084</v>
      </c>
      <c r="H163" s="261"/>
      <c r="I163" s="261"/>
      <c r="K163">
        <v>1</v>
      </c>
      <c r="L163" s="261"/>
      <c r="P163" s="261"/>
      <c r="Q163" s="261"/>
      <c r="R163" s="215"/>
      <c r="S163">
        <v>1</v>
      </c>
      <c r="T163" s="261"/>
    </row>
    <row r="164" spans="1:20" x14ac:dyDescent="0.25">
      <c r="A164" s="261" t="s">
        <v>1348</v>
      </c>
      <c r="B164" s="261" t="s">
        <v>1349</v>
      </c>
      <c r="C164" s="261" t="s">
        <v>1350</v>
      </c>
      <c r="D164" s="261" t="s">
        <v>1014</v>
      </c>
      <c r="E164">
        <v>264500</v>
      </c>
      <c r="F164" s="261" t="s">
        <v>1084</v>
      </c>
      <c r="G164">
        <v>27450</v>
      </c>
      <c r="H164" s="261"/>
      <c r="I164" s="261"/>
      <c r="K164">
        <v>1</v>
      </c>
      <c r="L164" s="261"/>
      <c r="P164" s="261"/>
      <c r="Q164" s="261"/>
      <c r="R164" s="215"/>
      <c r="S164">
        <v>1</v>
      </c>
      <c r="T164" s="261"/>
    </row>
    <row r="165" spans="1:20" x14ac:dyDescent="0.25">
      <c r="A165" s="261" t="s">
        <v>1187</v>
      </c>
      <c r="B165" s="261" t="s">
        <v>1188</v>
      </c>
      <c r="C165" s="261" t="s">
        <v>1189</v>
      </c>
      <c r="D165" s="261" t="s">
        <v>1035</v>
      </c>
      <c r="E165">
        <v>28175</v>
      </c>
      <c r="F165" s="261" t="s">
        <v>1110</v>
      </c>
      <c r="G165">
        <v>5490</v>
      </c>
      <c r="H165" s="261"/>
      <c r="I165" s="261"/>
      <c r="K165">
        <v>1</v>
      </c>
      <c r="L165" s="261"/>
      <c r="P165" s="261"/>
      <c r="Q165" s="261"/>
      <c r="R165" s="215"/>
      <c r="S165">
        <v>1</v>
      </c>
      <c r="T165" s="261"/>
    </row>
    <row r="166" spans="1:20" x14ac:dyDescent="0.25">
      <c r="A166" s="261" t="s">
        <v>1194</v>
      </c>
      <c r="B166" s="261" t="s">
        <v>1195</v>
      </c>
      <c r="C166" s="261" t="s">
        <v>1189</v>
      </c>
      <c r="D166" s="261" t="s">
        <v>1035</v>
      </c>
      <c r="E166">
        <v>517500</v>
      </c>
      <c r="F166" s="261" t="s">
        <v>1177</v>
      </c>
      <c r="G166">
        <v>42700</v>
      </c>
      <c r="H166" s="261"/>
      <c r="I166" s="261"/>
      <c r="K166">
        <v>1</v>
      </c>
      <c r="L166" s="261"/>
      <c r="P166" s="261"/>
      <c r="Q166" s="261"/>
      <c r="R166" s="215"/>
      <c r="S166">
        <v>1</v>
      </c>
      <c r="T166" s="261"/>
    </row>
    <row r="167" spans="1:20" x14ac:dyDescent="0.25">
      <c r="A167" s="261" t="s">
        <v>1192</v>
      </c>
      <c r="B167" s="261" t="s">
        <v>1193</v>
      </c>
      <c r="C167" s="261" t="s">
        <v>1189</v>
      </c>
      <c r="D167" s="261" t="s">
        <v>1035</v>
      </c>
      <c r="E167">
        <v>5750</v>
      </c>
      <c r="F167" s="261" t="s">
        <v>1177</v>
      </c>
      <c r="G167">
        <v>2745</v>
      </c>
      <c r="H167" s="261"/>
      <c r="I167" s="261"/>
      <c r="K167">
        <v>1</v>
      </c>
      <c r="L167" s="261"/>
      <c r="P167" s="261"/>
      <c r="Q167" s="261"/>
      <c r="R167" s="215"/>
      <c r="S167">
        <v>1</v>
      </c>
      <c r="T167" s="261"/>
    </row>
    <row r="168" spans="1:20" x14ac:dyDescent="0.25">
      <c r="A168" s="261" t="s">
        <v>1190</v>
      </c>
      <c r="B168" s="261" t="s">
        <v>1191</v>
      </c>
      <c r="C168" s="261" t="s">
        <v>1189</v>
      </c>
      <c r="D168" s="261" t="s">
        <v>1035</v>
      </c>
      <c r="E168">
        <v>33925</v>
      </c>
      <c r="F168" s="261" t="s">
        <v>1110</v>
      </c>
      <c r="G168">
        <v>10065</v>
      </c>
      <c r="H168" s="261"/>
      <c r="I168" s="261"/>
      <c r="K168">
        <v>1</v>
      </c>
      <c r="L168" s="261"/>
      <c r="P168" s="261"/>
      <c r="Q168" s="261"/>
      <c r="R168" s="215"/>
      <c r="S168">
        <v>1</v>
      </c>
      <c r="T168" s="261"/>
    </row>
    <row r="169" spans="1:20" x14ac:dyDescent="0.25">
      <c r="A169" s="261" t="s">
        <v>1334</v>
      </c>
      <c r="B169" s="261" t="s">
        <v>1335</v>
      </c>
      <c r="C169" s="261" t="s">
        <v>1305</v>
      </c>
      <c r="D169" s="261" t="s">
        <v>1017</v>
      </c>
      <c r="E169">
        <v>575000</v>
      </c>
      <c r="F169" s="261" t="s">
        <v>1084</v>
      </c>
      <c r="H169" s="261"/>
      <c r="I169" s="261"/>
      <c r="K169">
        <v>1</v>
      </c>
      <c r="L169" s="261"/>
      <c r="P169" s="261"/>
      <c r="Q169" s="261"/>
      <c r="R169" s="215"/>
      <c r="S169">
        <v>1</v>
      </c>
      <c r="T169" s="261"/>
    </row>
    <row r="170" spans="1:20" x14ac:dyDescent="0.25">
      <c r="A170" s="261" t="s">
        <v>1326</v>
      </c>
      <c r="B170" s="261" t="s">
        <v>1327</v>
      </c>
      <c r="C170" s="261" t="s">
        <v>1305</v>
      </c>
      <c r="D170" s="261" t="s">
        <v>1017</v>
      </c>
      <c r="E170">
        <v>141450</v>
      </c>
      <c r="F170" s="261" t="s">
        <v>1084</v>
      </c>
      <c r="G170">
        <v>12200</v>
      </c>
      <c r="H170" s="261"/>
      <c r="I170" s="261"/>
      <c r="K170">
        <v>1</v>
      </c>
      <c r="L170" s="261"/>
      <c r="P170" s="261"/>
      <c r="Q170" s="261"/>
      <c r="R170" s="215"/>
      <c r="S170">
        <v>1</v>
      </c>
      <c r="T170" s="261"/>
    </row>
    <row r="171" spans="1:20" x14ac:dyDescent="0.25">
      <c r="A171" s="261" t="s">
        <v>1332</v>
      </c>
      <c r="B171" s="261" t="s">
        <v>1333</v>
      </c>
      <c r="C171" s="261" t="s">
        <v>1305</v>
      </c>
      <c r="D171" s="261" t="s">
        <v>1017</v>
      </c>
      <c r="E171">
        <v>805000</v>
      </c>
      <c r="F171" s="261" t="s">
        <v>1084</v>
      </c>
      <c r="H171" s="261"/>
      <c r="I171" s="261"/>
      <c r="K171">
        <v>1</v>
      </c>
      <c r="L171" s="261"/>
      <c r="P171" s="261"/>
      <c r="Q171" s="261"/>
      <c r="R171" s="215"/>
      <c r="S171">
        <v>1</v>
      </c>
      <c r="T171" s="261"/>
    </row>
    <row r="172" spans="1:20" x14ac:dyDescent="0.25">
      <c r="A172" s="261" t="s">
        <v>1330</v>
      </c>
      <c r="B172" s="261" t="s">
        <v>1331</v>
      </c>
      <c r="C172" s="261" t="s">
        <v>1305</v>
      </c>
      <c r="D172" s="261" t="s">
        <v>1017</v>
      </c>
      <c r="E172">
        <v>747500</v>
      </c>
      <c r="F172" s="261" t="s">
        <v>1084</v>
      </c>
      <c r="H172" s="261"/>
      <c r="I172" s="261"/>
      <c r="K172">
        <v>1</v>
      </c>
      <c r="L172" s="261"/>
      <c r="P172" s="261"/>
      <c r="Q172" s="261"/>
      <c r="R172" s="215"/>
      <c r="S172">
        <v>1</v>
      </c>
      <c r="T172" s="261"/>
    </row>
    <row r="173" spans="1:20" x14ac:dyDescent="0.25">
      <c r="A173" s="261" t="s">
        <v>1316</v>
      </c>
      <c r="B173" s="261" t="s">
        <v>1317</v>
      </c>
      <c r="C173" s="261" t="s">
        <v>1305</v>
      </c>
      <c r="D173" s="261" t="s">
        <v>1017</v>
      </c>
      <c r="E173">
        <v>1035000</v>
      </c>
      <c r="F173" s="261" t="s">
        <v>1084</v>
      </c>
      <c r="H173" s="261"/>
      <c r="I173" s="261"/>
      <c r="K173">
        <v>1</v>
      </c>
      <c r="L173" s="261"/>
      <c r="P173" s="261"/>
      <c r="Q173" s="261"/>
      <c r="R173" s="215"/>
      <c r="S173">
        <v>1</v>
      </c>
      <c r="T173" s="261"/>
    </row>
    <row r="174" spans="1:20" x14ac:dyDescent="0.25">
      <c r="A174" s="261" t="s">
        <v>1314</v>
      </c>
      <c r="B174" s="261" t="s">
        <v>1315</v>
      </c>
      <c r="C174" s="261" t="s">
        <v>1305</v>
      </c>
      <c r="D174" s="261" t="s">
        <v>1017</v>
      </c>
      <c r="E174">
        <v>74750</v>
      </c>
      <c r="F174" s="261" t="s">
        <v>1084</v>
      </c>
      <c r="G174">
        <v>5185</v>
      </c>
      <c r="H174" s="261"/>
      <c r="I174" s="261"/>
      <c r="K174">
        <v>1</v>
      </c>
      <c r="L174" s="261"/>
      <c r="P174" s="261"/>
      <c r="Q174" s="261"/>
      <c r="R174" s="215"/>
      <c r="S174">
        <v>1</v>
      </c>
      <c r="T174" s="261"/>
    </row>
    <row r="175" spans="1:20" x14ac:dyDescent="0.25">
      <c r="A175" s="261" t="s">
        <v>1308</v>
      </c>
      <c r="B175" s="261" t="s">
        <v>1309</v>
      </c>
      <c r="C175" s="261" t="s">
        <v>1305</v>
      </c>
      <c r="D175" s="261" t="s">
        <v>1017</v>
      </c>
      <c r="E175">
        <v>172500</v>
      </c>
      <c r="F175" s="261" t="s">
        <v>1084</v>
      </c>
      <c r="G175">
        <v>21350</v>
      </c>
      <c r="H175" s="261"/>
      <c r="I175" s="261"/>
      <c r="K175">
        <v>1</v>
      </c>
      <c r="L175" s="261"/>
      <c r="P175" s="261"/>
      <c r="Q175" s="261"/>
      <c r="R175" s="215"/>
      <c r="S175">
        <v>1</v>
      </c>
      <c r="T175" s="261"/>
    </row>
    <row r="176" spans="1:20" x14ac:dyDescent="0.25">
      <c r="A176" s="261" t="s">
        <v>1303</v>
      </c>
      <c r="B176" s="261" t="s">
        <v>1304</v>
      </c>
      <c r="C176" s="261" t="s">
        <v>1305</v>
      </c>
      <c r="D176" s="261" t="s">
        <v>1017</v>
      </c>
      <c r="E176">
        <v>86250</v>
      </c>
      <c r="F176" s="261" t="s">
        <v>1084</v>
      </c>
      <c r="G176">
        <v>7015</v>
      </c>
      <c r="H176" s="261"/>
      <c r="I176" s="261"/>
      <c r="K176">
        <v>1</v>
      </c>
      <c r="L176" s="261"/>
      <c r="P176" s="261"/>
      <c r="Q176" s="261"/>
      <c r="R176" s="215"/>
      <c r="S176">
        <v>1</v>
      </c>
      <c r="T176" s="261"/>
    </row>
    <row r="177" spans="1:20" x14ac:dyDescent="0.25">
      <c r="A177" s="261" t="s">
        <v>1306</v>
      </c>
      <c r="B177" s="261" t="s">
        <v>1307</v>
      </c>
      <c r="C177" s="261" t="s">
        <v>1305</v>
      </c>
      <c r="D177" s="261" t="s">
        <v>1017</v>
      </c>
      <c r="E177">
        <v>86250</v>
      </c>
      <c r="F177" s="261" t="s">
        <v>1084</v>
      </c>
      <c r="G177">
        <v>8540</v>
      </c>
      <c r="H177" s="261"/>
      <c r="I177" s="261"/>
      <c r="K177">
        <v>1</v>
      </c>
      <c r="L177" s="261"/>
      <c r="P177" s="261"/>
      <c r="Q177" s="261"/>
      <c r="R177" s="215"/>
      <c r="S177">
        <v>1</v>
      </c>
      <c r="T177" s="261"/>
    </row>
    <row r="178" spans="1:20" x14ac:dyDescent="0.25">
      <c r="A178" s="261" t="s">
        <v>1320</v>
      </c>
      <c r="B178" s="261" t="s">
        <v>1321</v>
      </c>
      <c r="C178" s="261" t="s">
        <v>1305</v>
      </c>
      <c r="D178" s="261" t="s">
        <v>1017</v>
      </c>
      <c r="E178">
        <v>74750</v>
      </c>
      <c r="F178" s="261" t="s">
        <v>1084</v>
      </c>
      <c r="H178" s="261"/>
      <c r="I178" s="261"/>
      <c r="K178">
        <v>1</v>
      </c>
      <c r="L178" s="261"/>
      <c r="P178" s="261"/>
      <c r="Q178" s="261"/>
      <c r="R178" s="215"/>
      <c r="S178">
        <v>1</v>
      </c>
      <c r="T178" s="261"/>
    </row>
    <row r="179" spans="1:20" x14ac:dyDescent="0.25">
      <c r="A179" s="261" t="s">
        <v>1312</v>
      </c>
      <c r="B179" s="261" t="s">
        <v>1313</v>
      </c>
      <c r="C179" s="261" t="s">
        <v>1305</v>
      </c>
      <c r="D179" s="261" t="s">
        <v>1017</v>
      </c>
      <c r="E179">
        <v>63250</v>
      </c>
      <c r="F179" s="261" t="s">
        <v>1084</v>
      </c>
      <c r="G179">
        <v>7015</v>
      </c>
      <c r="H179" s="261"/>
      <c r="I179" s="261"/>
      <c r="K179">
        <v>1</v>
      </c>
      <c r="L179" s="261"/>
      <c r="P179" s="261"/>
      <c r="Q179" s="261"/>
      <c r="R179" s="215"/>
      <c r="S179">
        <v>1</v>
      </c>
      <c r="T179" s="261"/>
    </row>
    <row r="180" spans="1:20" x14ac:dyDescent="0.25">
      <c r="A180" s="261" t="s">
        <v>1322</v>
      </c>
      <c r="B180" s="261" t="s">
        <v>1323</v>
      </c>
      <c r="C180" s="261" t="s">
        <v>1305</v>
      </c>
      <c r="D180" s="261" t="s">
        <v>1017</v>
      </c>
      <c r="E180">
        <v>71300</v>
      </c>
      <c r="F180" s="261" t="s">
        <v>1084</v>
      </c>
      <c r="G180">
        <v>8540</v>
      </c>
      <c r="H180" s="261"/>
      <c r="I180" s="261"/>
      <c r="K180">
        <v>1</v>
      </c>
      <c r="L180" s="261"/>
      <c r="P180" s="261"/>
      <c r="Q180" s="261"/>
      <c r="R180" s="215"/>
      <c r="S180">
        <v>1</v>
      </c>
      <c r="T180" s="261"/>
    </row>
    <row r="181" spans="1:20" x14ac:dyDescent="0.25">
      <c r="A181" s="261" t="s">
        <v>1324</v>
      </c>
      <c r="B181" s="261" t="s">
        <v>1325</v>
      </c>
      <c r="C181" s="261" t="s">
        <v>1305</v>
      </c>
      <c r="D181" s="261" t="s">
        <v>1017</v>
      </c>
      <c r="E181">
        <v>120750</v>
      </c>
      <c r="F181" s="261" t="s">
        <v>1084</v>
      </c>
      <c r="G181">
        <v>16775</v>
      </c>
      <c r="H181" s="261"/>
      <c r="I181" s="261"/>
      <c r="K181">
        <v>1</v>
      </c>
      <c r="L181" s="261"/>
      <c r="P181" s="261"/>
      <c r="Q181" s="261"/>
      <c r="R181" s="215"/>
      <c r="S181">
        <v>1</v>
      </c>
      <c r="T181" s="261"/>
    </row>
    <row r="182" spans="1:20" x14ac:dyDescent="0.25">
      <c r="A182" s="261" t="s">
        <v>1310</v>
      </c>
      <c r="B182" s="261" t="s">
        <v>1311</v>
      </c>
      <c r="C182" s="261" t="s">
        <v>1305</v>
      </c>
      <c r="D182" s="261" t="s">
        <v>1017</v>
      </c>
      <c r="E182">
        <v>12650</v>
      </c>
      <c r="F182" s="261" t="s">
        <v>1084</v>
      </c>
      <c r="H182" s="261"/>
      <c r="I182" s="261"/>
      <c r="K182">
        <v>1</v>
      </c>
      <c r="L182" s="261"/>
      <c r="P182" s="261"/>
      <c r="Q182" s="261"/>
      <c r="R182" s="215"/>
      <c r="S182">
        <v>1</v>
      </c>
      <c r="T182" s="261"/>
    </row>
    <row r="183" spans="1:20" x14ac:dyDescent="0.25">
      <c r="A183" s="261" t="s">
        <v>1318</v>
      </c>
      <c r="B183" s="261" t="s">
        <v>1319</v>
      </c>
      <c r="C183" s="261" t="s">
        <v>1305</v>
      </c>
      <c r="D183" s="261" t="s">
        <v>1017</v>
      </c>
      <c r="E183">
        <v>575000</v>
      </c>
      <c r="F183" s="261" t="s">
        <v>1084</v>
      </c>
      <c r="H183" s="261"/>
      <c r="I183" s="261"/>
      <c r="K183">
        <v>1</v>
      </c>
      <c r="L183" s="261"/>
      <c r="P183" s="261"/>
      <c r="Q183" s="261"/>
      <c r="R183" s="215"/>
      <c r="S183">
        <v>1</v>
      </c>
      <c r="T183" s="261"/>
    </row>
    <row r="184" spans="1:20" x14ac:dyDescent="0.25">
      <c r="A184" s="261" t="s">
        <v>1328</v>
      </c>
      <c r="B184" s="261" t="s">
        <v>1329</v>
      </c>
      <c r="C184" s="261" t="s">
        <v>1305</v>
      </c>
      <c r="D184" s="261" t="s">
        <v>1017</v>
      </c>
      <c r="E184">
        <v>11500</v>
      </c>
      <c r="F184" s="261" t="s">
        <v>1084</v>
      </c>
      <c r="H184" s="261"/>
      <c r="I184" s="261"/>
      <c r="K184">
        <v>1</v>
      </c>
      <c r="L184" s="261"/>
      <c r="P184" s="261"/>
      <c r="Q184" s="261"/>
      <c r="R184" s="215"/>
      <c r="S184">
        <v>1</v>
      </c>
      <c r="T184" s="261"/>
    </row>
    <row r="185" spans="1:20" x14ac:dyDescent="0.25">
      <c r="A185" s="261" t="s">
        <v>1344</v>
      </c>
      <c r="B185" s="261" t="s">
        <v>1345</v>
      </c>
      <c r="C185" s="261" t="s">
        <v>1305</v>
      </c>
      <c r="D185" s="261" t="s">
        <v>1001</v>
      </c>
      <c r="E185">
        <v>575000</v>
      </c>
      <c r="F185" s="261" t="s">
        <v>1084</v>
      </c>
      <c r="H185" s="261"/>
      <c r="I185" s="261"/>
      <c r="K185">
        <v>1</v>
      </c>
      <c r="L185" s="261"/>
      <c r="P185" s="261"/>
      <c r="Q185" s="261"/>
      <c r="R185" s="215"/>
      <c r="S185">
        <v>1</v>
      </c>
      <c r="T185" s="261"/>
    </row>
    <row r="186" spans="1:20" x14ac:dyDescent="0.25">
      <c r="A186" s="261" t="s">
        <v>1336</v>
      </c>
      <c r="B186" s="261" t="s">
        <v>1337</v>
      </c>
      <c r="C186" s="261" t="s">
        <v>1305</v>
      </c>
      <c r="D186" s="261" t="s">
        <v>1001</v>
      </c>
      <c r="E186">
        <v>272320</v>
      </c>
      <c r="F186" s="261" t="s">
        <v>1084</v>
      </c>
      <c r="G186">
        <v>24400</v>
      </c>
      <c r="H186" s="261"/>
      <c r="I186" s="261"/>
      <c r="K186">
        <v>1</v>
      </c>
      <c r="L186" s="261"/>
      <c r="P186" s="261"/>
      <c r="Q186" s="261"/>
      <c r="R186" s="215"/>
      <c r="S186">
        <v>1</v>
      </c>
      <c r="T186" s="261"/>
    </row>
    <row r="187" spans="1:20" x14ac:dyDescent="0.25">
      <c r="A187" s="261" t="s">
        <v>1338</v>
      </c>
      <c r="B187" s="261" t="s">
        <v>1339</v>
      </c>
      <c r="C187" s="261" t="s">
        <v>1305</v>
      </c>
      <c r="D187" s="261" t="s">
        <v>1001</v>
      </c>
      <c r="E187">
        <v>224250</v>
      </c>
      <c r="F187" s="261" t="s">
        <v>1084</v>
      </c>
      <c r="G187">
        <v>18300</v>
      </c>
      <c r="H187" s="261"/>
      <c r="I187" s="261"/>
      <c r="K187">
        <v>1</v>
      </c>
      <c r="L187" s="261"/>
      <c r="P187" s="261"/>
      <c r="Q187" s="261"/>
      <c r="R187" s="215"/>
      <c r="S187">
        <v>1</v>
      </c>
      <c r="T187" s="261"/>
    </row>
    <row r="188" spans="1:20" x14ac:dyDescent="0.25">
      <c r="A188" s="261" t="s">
        <v>1342</v>
      </c>
      <c r="B188" s="261" t="s">
        <v>1343</v>
      </c>
      <c r="C188" s="261" t="s">
        <v>1305</v>
      </c>
      <c r="D188" s="261" t="s">
        <v>1001</v>
      </c>
      <c r="E188">
        <v>184000</v>
      </c>
      <c r="F188" s="261" t="s">
        <v>1084</v>
      </c>
      <c r="G188">
        <v>64050</v>
      </c>
      <c r="H188" s="261"/>
      <c r="I188" s="261"/>
      <c r="K188">
        <v>1</v>
      </c>
      <c r="L188" s="261"/>
      <c r="P188" s="261"/>
      <c r="Q188" s="261"/>
      <c r="R188" s="215"/>
      <c r="S188">
        <v>1</v>
      </c>
      <c r="T188" s="261"/>
    </row>
    <row r="189" spans="1:20" x14ac:dyDescent="0.25">
      <c r="A189" s="261" t="s">
        <v>1340</v>
      </c>
      <c r="B189" s="261" t="s">
        <v>1341</v>
      </c>
      <c r="C189" s="261" t="s">
        <v>1305</v>
      </c>
      <c r="D189" s="261" t="s">
        <v>1001</v>
      </c>
      <c r="E189">
        <v>1092500</v>
      </c>
      <c r="F189" s="261" t="s">
        <v>1084</v>
      </c>
      <c r="G189">
        <v>97600</v>
      </c>
      <c r="H189" s="261"/>
      <c r="I189" s="261"/>
      <c r="K189">
        <v>1</v>
      </c>
      <c r="L189" s="261"/>
      <c r="P189" s="261"/>
      <c r="Q189" s="261"/>
      <c r="R189" s="215"/>
      <c r="S189">
        <v>1</v>
      </c>
      <c r="T189" s="261"/>
    </row>
  </sheetData>
  <phoneticPr fontId="38" type="noConversion"/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DDBF-19F2-4E54-A1AF-1B6CD32052DE}">
  <sheetPr>
    <tabColor theme="9" tint="-0.249977111117893"/>
  </sheetPr>
  <dimension ref="A1:K189"/>
  <sheetViews>
    <sheetView workbookViewId="0">
      <selection sqref="A1:J1"/>
    </sheetView>
  </sheetViews>
  <sheetFormatPr baseColWidth="10" defaultRowHeight="15" x14ac:dyDescent="0.25"/>
  <cols>
    <col min="1" max="1" width="43.140625" style="1" bestFit="1" customWidth="1"/>
    <col min="2" max="2" width="81.140625" style="1" bestFit="1" customWidth="1"/>
    <col min="3" max="3" width="6.7109375" style="1" bestFit="1" customWidth="1"/>
    <col min="4" max="4" width="8.7109375" style="1" bestFit="1" customWidth="1"/>
    <col min="5" max="5" width="12.42578125" style="1" bestFit="1" customWidth="1"/>
    <col min="6" max="6" width="18.85546875" style="1" bestFit="1" customWidth="1"/>
    <col min="7" max="7" width="31.7109375" style="1" bestFit="1" customWidth="1"/>
    <col min="8" max="8" width="12.5703125" style="1" bestFit="1" customWidth="1"/>
    <col min="9" max="9" width="13.5703125" style="1" bestFit="1" customWidth="1"/>
    <col min="10" max="10" width="8.28515625" style="1" bestFit="1" customWidth="1"/>
    <col min="11" max="11" width="18.42578125" style="1" bestFit="1" customWidth="1"/>
    <col min="12" max="12" width="18.42578125" style="1" customWidth="1"/>
    <col min="13" max="13" width="13.5703125" style="1" bestFit="1" customWidth="1"/>
    <col min="14" max="14" width="8.28515625" style="1" customWidth="1"/>
    <col min="15" max="16384" width="11.42578125" style="1"/>
  </cols>
  <sheetData>
    <row r="1" spans="1:11" x14ac:dyDescent="0.25">
      <c r="A1" s="1" t="s">
        <v>1072</v>
      </c>
      <c r="B1" s="1" t="s">
        <v>1073</v>
      </c>
      <c r="C1" s="1" t="s">
        <v>1074</v>
      </c>
      <c r="D1" s="1" t="s">
        <v>1075</v>
      </c>
      <c r="E1" s="1" t="s">
        <v>1076</v>
      </c>
      <c r="F1" s="1" t="s">
        <v>1077</v>
      </c>
      <c r="G1" t="s">
        <v>1078</v>
      </c>
      <c r="H1" s="1" t="s">
        <v>979</v>
      </c>
      <c r="I1" s="1" t="s">
        <v>1079</v>
      </c>
      <c r="J1" s="1" t="s">
        <v>1080</v>
      </c>
      <c r="K1" s="1" t="s">
        <v>1053</v>
      </c>
    </row>
    <row r="2" spans="1:11" x14ac:dyDescent="0.25">
      <c r="A2" s="1" t="s">
        <v>1081</v>
      </c>
      <c r="B2" s="1" t="s">
        <v>1082</v>
      </c>
      <c r="C2" s="1" t="s">
        <v>1083</v>
      </c>
      <c r="D2" s="1" t="s">
        <v>1084</v>
      </c>
      <c r="E2" s="1">
        <v>4755250</v>
      </c>
      <c r="F2" s="78">
        <v>45882</v>
      </c>
      <c r="G2" s="1" t="s">
        <v>1085</v>
      </c>
      <c r="H2" s="1" t="s">
        <v>1086</v>
      </c>
      <c r="I2" s="1" t="s">
        <v>1087</v>
      </c>
      <c r="J2" s="1">
        <v>1</v>
      </c>
      <c r="K2" s="1" t="s">
        <v>1046</v>
      </c>
    </row>
    <row r="3" spans="1:11" x14ac:dyDescent="0.25">
      <c r="A3" s="1" t="s">
        <v>1088</v>
      </c>
      <c r="B3" s="1" t="s">
        <v>1089</v>
      </c>
      <c r="C3" s="1" t="s">
        <v>1083</v>
      </c>
      <c r="D3" s="1" t="s">
        <v>1084</v>
      </c>
      <c r="E3" s="1">
        <v>3758730</v>
      </c>
      <c r="F3" s="78">
        <v>45882</v>
      </c>
      <c r="G3" s="1" t="s">
        <v>1085</v>
      </c>
      <c r="H3" s="1" t="s">
        <v>1086</v>
      </c>
      <c r="I3" s="1" t="s">
        <v>1087</v>
      </c>
      <c r="J3" s="1">
        <v>1</v>
      </c>
      <c r="K3" s="1" t="s">
        <v>1046</v>
      </c>
    </row>
    <row r="4" spans="1:11" x14ac:dyDescent="0.25">
      <c r="A4" s="1" t="s">
        <v>1090</v>
      </c>
      <c r="B4" s="1" t="s">
        <v>1091</v>
      </c>
      <c r="C4" s="1" t="s">
        <v>1083</v>
      </c>
      <c r="D4" s="1" t="s">
        <v>1084</v>
      </c>
      <c r="E4" s="1">
        <v>2507000</v>
      </c>
      <c r="F4" s="78">
        <v>45882</v>
      </c>
      <c r="G4" s="1" t="s">
        <v>1085</v>
      </c>
      <c r="H4" s="1" t="s">
        <v>1086</v>
      </c>
      <c r="I4" s="1" t="s">
        <v>1087</v>
      </c>
      <c r="J4" s="1">
        <v>1</v>
      </c>
      <c r="K4" s="1" t="s">
        <v>1046</v>
      </c>
    </row>
    <row r="5" spans="1:11" x14ac:dyDescent="0.25">
      <c r="A5" s="1" t="s">
        <v>1092</v>
      </c>
      <c r="B5" s="1" t="s">
        <v>1093</v>
      </c>
      <c r="C5" s="1" t="s">
        <v>1083</v>
      </c>
      <c r="D5" s="1" t="s">
        <v>1084</v>
      </c>
      <c r="E5" s="1">
        <v>4213438</v>
      </c>
      <c r="F5" s="78">
        <v>45882</v>
      </c>
      <c r="G5" s="1" t="s">
        <v>1085</v>
      </c>
      <c r="H5" s="1" t="s">
        <v>1086</v>
      </c>
      <c r="I5" s="1" t="s">
        <v>1087</v>
      </c>
      <c r="J5" s="1">
        <v>1</v>
      </c>
      <c r="K5" s="1" t="s">
        <v>1046</v>
      </c>
    </row>
    <row r="6" spans="1:11" x14ac:dyDescent="0.25">
      <c r="A6" s="1" t="s">
        <v>1094</v>
      </c>
      <c r="B6" s="1" t="s">
        <v>1095</v>
      </c>
      <c r="C6" s="1" t="s">
        <v>1083</v>
      </c>
      <c r="D6" s="1" t="s">
        <v>1084</v>
      </c>
      <c r="E6" s="1">
        <v>4945000</v>
      </c>
      <c r="F6" s="78">
        <v>45882</v>
      </c>
      <c r="G6" s="1" t="s">
        <v>1085</v>
      </c>
      <c r="H6" s="1" t="s">
        <v>1086</v>
      </c>
      <c r="I6" s="1" t="s">
        <v>1087</v>
      </c>
      <c r="J6" s="1">
        <v>1</v>
      </c>
      <c r="K6" s="1" t="s">
        <v>1046</v>
      </c>
    </row>
    <row r="7" spans="1:11" x14ac:dyDescent="0.25">
      <c r="A7" s="1" t="s">
        <v>1096</v>
      </c>
      <c r="B7" s="1" t="s">
        <v>1097</v>
      </c>
      <c r="C7" s="1" t="s">
        <v>1083</v>
      </c>
      <c r="D7" s="1" t="s">
        <v>1084</v>
      </c>
      <c r="E7" s="1">
        <v>4795500</v>
      </c>
      <c r="F7" s="78">
        <v>45882</v>
      </c>
      <c r="G7" s="1" t="s">
        <v>1085</v>
      </c>
      <c r="H7" s="1" t="s">
        <v>1086</v>
      </c>
      <c r="I7" s="1" t="s">
        <v>1087</v>
      </c>
      <c r="J7" s="1">
        <v>1</v>
      </c>
      <c r="K7" s="1" t="s">
        <v>1046</v>
      </c>
    </row>
    <row r="8" spans="1:11" x14ac:dyDescent="0.25">
      <c r="A8" s="1" t="s">
        <v>1098</v>
      </c>
      <c r="B8" s="1" t="s">
        <v>1099</v>
      </c>
      <c r="C8" s="1" t="s">
        <v>1083</v>
      </c>
      <c r="D8" s="1" t="s">
        <v>1084</v>
      </c>
      <c r="E8" s="1">
        <v>1265000</v>
      </c>
      <c r="F8" s="78">
        <v>45882</v>
      </c>
      <c r="G8" s="1" t="s">
        <v>1085</v>
      </c>
      <c r="H8" s="1" t="s">
        <v>1086</v>
      </c>
      <c r="I8" s="1" t="s">
        <v>1087</v>
      </c>
      <c r="J8" s="1">
        <v>1</v>
      </c>
      <c r="K8" s="1" t="s">
        <v>1046</v>
      </c>
    </row>
    <row r="9" spans="1:11" x14ac:dyDescent="0.25">
      <c r="A9" s="1" t="s">
        <v>1100</v>
      </c>
      <c r="B9" s="1" t="s">
        <v>1101</v>
      </c>
      <c r="C9" s="1" t="s">
        <v>1083</v>
      </c>
      <c r="D9" s="1" t="s">
        <v>1084</v>
      </c>
      <c r="E9" s="1">
        <v>1725000</v>
      </c>
      <c r="F9" s="78">
        <v>45882</v>
      </c>
      <c r="G9" s="1" t="s">
        <v>1085</v>
      </c>
      <c r="H9" s="1" t="s">
        <v>1086</v>
      </c>
      <c r="I9" s="1" t="s">
        <v>1087</v>
      </c>
      <c r="J9" s="1">
        <v>1</v>
      </c>
      <c r="K9" s="1" t="s">
        <v>1046</v>
      </c>
    </row>
    <row r="10" spans="1:11" x14ac:dyDescent="0.25">
      <c r="A10" s="1" t="s">
        <v>1102</v>
      </c>
      <c r="B10" s="1" t="s">
        <v>1103</v>
      </c>
      <c r="C10" s="1" t="s">
        <v>1083</v>
      </c>
      <c r="D10" s="1" t="s">
        <v>1084</v>
      </c>
      <c r="E10" s="1">
        <v>2587500</v>
      </c>
      <c r="F10" s="78">
        <v>45882</v>
      </c>
      <c r="G10" s="1" t="s">
        <v>1085</v>
      </c>
      <c r="H10" s="1" t="s">
        <v>1086</v>
      </c>
      <c r="I10" s="1" t="s">
        <v>1087</v>
      </c>
      <c r="J10" s="1">
        <v>1</v>
      </c>
      <c r="K10" s="1" t="s">
        <v>1046</v>
      </c>
    </row>
    <row r="11" spans="1:11" x14ac:dyDescent="0.25">
      <c r="A11" s="1" t="s">
        <v>1104</v>
      </c>
      <c r="B11" s="1" t="s">
        <v>1105</v>
      </c>
      <c r="C11" s="1" t="s">
        <v>1083</v>
      </c>
      <c r="D11" s="1" t="s">
        <v>1084</v>
      </c>
      <c r="E11" s="1">
        <v>1725000</v>
      </c>
      <c r="F11" s="78">
        <v>45882</v>
      </c>
      <c r="G11" s="1" t="s">
        <v>1085</v>
      </c>
      <c r="H11" s="1" t="s">
        <v>1086</v>
      </c>
      <c r="I11" s="1" t="s">
        <v>1087</v>
      </c>
      <c r="J11" s="1">
        <v>1</v>
      </c>
      <c r="K11" s="1" t="s">
        <v>1046</v>
      </c>
    </row>
    <row r="12" spans="1:11" x14ac:dyDescent="0.25">
      <c r="A12" s="1" t="s">
        <v>1106</v>
      </c>
      <c r="B12" s="1" t="s">
        <v>1107</v>
      </c>
      <c r="C12" s="1" t="s">
        <v>1083</v>
      </c>
      <c r="D12" s="1" t="s">
        <v>1084</v>
      </c>
      <c r="E12" s="1">
        <v>552000</v>
      </c>
      <c r="F12" s="78">
        <v>45882</v>
      </c>
      <c r="G12" s="1" t="s">
        <v>1085</v>
      </c>
      <c r="H12" s="1" t="s">
        <v>1086</v>
      </c>
      <c r="I12" s="1" t="s">
        <v>1087</v>
      </c>
      <c r="J12" s="1">
        <v>1</v>
      </c>
      <c r="K12" s="1" t="s">
        <v>1046</v>
      </c>
    </row>
    <row r="13" spans="1:11" x14ac:dyDescent="0.25">
      <c r="A13" s="1" t="s">
        <v>1108</v>
      </c>
      <c r="B13" s="1" t="s">
        <v>1109</v>
      </c>
      <c r="C13" s="1" t="s">
        <v>1083</v>
      </c>
      <c r="D13" s="1" t="s">
        <v>1110</v>
      </c>
      <c r="E13" s="1">
        <v>5750</v>
      </c>
      <c r="F13" s="78">
        <v>45882</v>
      </c>
      <c r="G13" s="1" t="s">
        <v>1085</v>
      </c>
      <c r="H13" s="1" t="s">
        <v>1086</v>
      </c>
      <c r="I13" s="1" t="s">
        <v>1087</v>
      </c>
      <c r="J13" s="1">
        <v>1</v>
      </c>
      <c r="K13" s="1" t="s">
        <v>1046</v>
      </c>
    </row>
    <row r="14" spans="1:11" x14ac:dyDescent="0.25">
      <c r="A14" s="1" t="s">
        <v>1111</v>
      </c>
      <c r="B14" s="1" t="s">
        <v>1112</v>
      </c>
      <c r="C14" s="1" t="s">
        <v>1083</v>
      </c>
      <c r="D14" s="1" t="s">
        <v>1113</v>
      </c>
      <c r="E14" s="1">
        <v>338720</v>
      </c>
      <c r="F14" s="78">
        <v>45882</v>
      </c>
      <c r="G14" s="1" t="s">
        <v>1085</v>
      </c>
      <c r="H14" s="1" t="s">
        <v>1086</v>
      </c>
      <c r="I14" s="1" t="s">
        <v>1087</v>
      </c>
      <c r="J14" s="1">
        <v>1</v>
      </c>
      <c r="K14" s="1" t="s">
        <v>1046</v>
      </c>
    </row>
    <row r="15" spans="1:11" x14ac:dyDescent="0.25">
      <c r="A15" s="1" t="s">
        <v>1114</v>
      </c>
      <c r="B15" s="1" t="s">
        <v>1115</v>
      </c>
      <c r="C15" s="1" t="s">
        <v>1083</v>
      </c>
      <c r="D15" s="1" t="s">
        <v>1113</v>
      </c>
      <c r="E15" s="1">
        <v>189175</v>
      </c>
      <c r="F15" s="78">
        <v>45882</v>
      </c>
      <c r="G15" s="1" t="s">
        <v>1085</v>
      </c>
      <c r="H15" s="1" t="s">
        <v>1086</v>
      </c>
      <c r="I15" s="1" t="s">
        <v>1087</v>
      </c>
      <c r="J15" s="1">
        <v>1</v>
      </c>
      <c r="K15" s="1" t="s">
        <v>1046</v>
      </c>
    </row>
    <row r="16" spans="1:11" x14ac:dyDescent="0.25">
      <c r="A16" s="1" t="s">
        <v>1116</v>
      </c>
      <c r="B16" s="1" t="s">
        <v>1117</v>
      </c>
      <c r="C16" s="1" t="s">
        <v>1083</v>
      </c>
      <c r="D16" s="1" t="s">
        <v>1110</v>
      </c>
      <c r="E16" s="1">
        <v>5750</v>
      </c>
      <c r="F16" s="78">
        <v>45882</v>
      </c>
      <c r="G16" s="1" t="s">
        <v>1085</v>
      </c>
      <c r="H16" s="1" t="s">
        <v>1086</v>
      </c>
      <c r="I16" s="1" t="s">
        <v>1087</v>
      </c>
      <c r="J16" s="1">
        <v>1</v>
      </c>
      <c r="K16" s="1" t="s">
        <v>1046</v>
      </c>
    </row>
    <row r="17" spans="1:11" x14ac:dyDescent="0.25">
      <c r="A17" s="1" t="s">
        <v>1118</v>
      </c>
      <c r="B17" s="1" t="s">
        <v>1119</v>
      </c>
      <c r="C17" s="1" t="s">
        <v>1083</v>
      </c>
      <c r="D17" s="1" t="s">
        <v>1120</v>
      </c>
      <c r="E17" s="1">
        <v>1380</v>
      </c>
      <c r="F17" s="78">
        <v>45882</v>
      </c>
      <c r="G17" s="1" t="s">
        <v>1085</v>
      </c>
      <c r="H17" s="1" t="s">
        <v>1086</v>
      </c>
      <c r="I17" s="1" t="s">
        <v>1087</v>
      </c>
      <c r="J17" s="1">
        <v>1</v>
      </c>
      <c r="K17" s="1" t="s">
        <v>1046</v>
      </c>
    </row>
    <row r="18" spans="1:11" x14ac:dyDescent="0.25">
      <c r="A18" s="1" t="s">
        <v>1121</v>
      </c>
      <c r="B18" s="1" t="s">
        <v>1115</v>
      </c>
      <c r="C18" s="1" t="s">
        <v>1083</v>
      </c>
      <c r="D18" s="1" t="s">
        <v>1113</v>
      </c>
      <c r="E18" s="1">
        <v>189175</v>
      </c>
      <c r="F18" s="78">
        <v>45882</v>
      </c>
      <c r="G18" s="1" t="s">
        <v>1085</v>
      </c>
      <c r="H18" s="1" t="s">
        <v>1086</v>
      </c>
      <c r="I18" s="1" t="s">
        <v>1087</v>
      </c>
      <c r="J18" s="1">
        <v>1</v>
      </c>
      <c r="K18" s="1" t="s">
        <v>1046</v>
      </c>
    </row>
    <row r="19" spans="1:11" x14ac:dyDescent="0.25">
      <c r="A19" s="1" t="s">
        <v>1122</v>
      </c>
      <c r="B19" s="1" t="s">
        <v>1117</v>
      </c>
      <c r="C19" s="1" t="s">
        <v>1083</v>
      </c>
      <c r="D19" s="1" t="s">
        <v>1110</v>
      </c>
      <c r="E19" s="1">
        <v>5750</v>
      </c>
      <c r="F19" s="78">
        <v>45882</v>
      </c>
      <c r="G19" s="1" t="s">
        <v>1085</v>
      </c>
      <c r="H19" s="1" t="s">
        <v>1086</v>
      </c>
      <c r="I19" s="1" t="s">
        <v>1087</v>
      </c>
      <c r="J19" s="1">
        <v>1</v>
      </c>
      <c r="K19" s="1" t="s">
        <v>1046</v>
      </c>
    </row>
    <row r="20" spans="1:11" x14ac:dyDescent="0.25">
      <c r="A20" s="1" t="s">
        <v>1123</v>
      </c>
      <c r="B20" s="1" t="s">
        <v>1119</v>
      </c>
      <c r="C20" s="1" t="s">
        <v>1083</v>
      </c>
      <c r="D20" s="1" t="s">
        <v>1120</v>
      </c>
      <c r="E20" s="1">
        <v>1380</v>
      </c>
      <c r="F20" s="78">
        <v>45882</v>
      </c>
      <c r="G20" s="1" t="s">
        <v>1085</v>
      </c>
      <c r="H20" s="1" t="s">
        <v>1086</v>
      </c>
      <c r="I20" s="1" t="s">
        <v>1087</v>
      </c>
      <c r="J20" s="1">
        <v>1</v>
      </c>
      <c r="K20" s="1" t="s">
        <v>1046</v>
      </c>
    </row>
    <row r="21" spans="1:11" x14ac:dyDescent="0.25">
      <c r="A21" s="1" t="s">
        <v>1124</v>
      </c>
      <c r="B21" s="1" t="s">
        <v>1115</v>
      </c>
      <c r="C21" s="1" t="s">
        <v>1083</v>
      </c>
      <c r="D21" s="1" t="s">
        <v>1113</v>
      </c>
      <c r="E21" s="1">
        <v>189175</v>
      </c>
      <c r="F21" s="78">
        <v>45882</v>
      </c>
      <c r="G21" s="1" t="s">
        <v>1085</v>
      </c>
      <c r="H21" s="1" t="s">
        <v>1086</v>
      </c>
      <c r="I21" s="1" t="s">
        <v>1087</v>
      </c>
      <c r="J21" s="1">
        <v>1</v>
      </c>
      <c r="K21" s="1" t="s">
        <v>1046</v>
      </c>
    </row>
    <row r="22" spans="1:11" x14ac:dyDescent="0.25">
      <c r="A22" s="1" t="s">
        <v>1125</v>
      </c>
      <c r="B22" s="1" t="s">
        <v>1117</v>
      </c>
      <c r="C22" s="1" t="s">
        <v>1083</v>
      </c>
      <c r="D22" s="1" t="s">
        <v>1110</v>
      </c>
      <c r="E22" s="1">
        <v>5750</v>
      </c>
      <c r="F22" s="78">
        <v>45882</v>
      </c>
      <c r="G22" s="1" t="s">
        <v>1085</v>
      </c>
      <c r="H22" s="1" t="s">
        <v>1086</v>
      </c>
      <c r="I22" s="1" t="s">
        <v>1087</v>
      </c>
      <c r="J22" s="1">
        <v>1</v>
      </c>
      <c r="K22" s="1" t="s">
        <v>1046</v>
      </c>
    </row>
    <row r="23" spans="1:11" x14ac:dyDescent="0.25">
      <c r="A23" s="1" t="s">
        <v>1126</v>
      </c>
      <c r="B23" s="1" t="s">
        <v>1119</v>
      </c>
      <c r="C23" s="1" t="s">
        <v>1083</v>
      </c>
      <c r="D23" s="1" t="s">
        <v>1120</v>
      </c>
      <c r="E23" s="1">
        <v>1380</v>
      </c>
      <c r="F23" s="78">
        <v>45882</v>
      </c>
      <c r="G23" s="1" t="s">
        <v>1085</v>
      </c>
      <c r="H23" s="1" t="s">
        <v>1086</v>
      </c>
      <c r="I23" s="1" t="s">
        <v>1087</v>
      </c>
      <c r="J23" s="1">
        <v>1</v>
      </c>
      <c r="K23" s="1" t="s">
        <v>1046</v>
      </c>
    </row>
    <row r="24" spans="1:11" x14ac:dyDescent="0.25">
      <c r="A24" s="1" t="s">
        <v>1127</v>
      </c>
      <c r="B24" s="1" t="s">
        <v>1128</v>
      </c>
      <c r="C24" s="1" t="s">
        <v>1083</v>
      </c>
      <c r="D24" s="1" t="s">
        <v>1113</v>
      </c>
      <c r="E24" s="1">
        <v>189175</v>
      </c>
      <c r="F24" s="78">
        <v>45882</v>
      </c>
      <c r="G24" s="1" t="s">
        <v>1085</v>
      </c>
      <c r="H24" s="1" t="s">
        <v>1086</v>
      </c>
      <c r="I24" s="1" t="s">
        <v>1087</v>
      </c>
      <c r="J24" s="1">
        <v>1</v>
      </c>
      <c r="K24" s="1" t="s">
        <v>1046</v>
      </c>
    </row>
    <row r="25" spans="1:11" x14ac:dyDescent="0.25">
      <c r="A25" s="1" t="s">
        <v>1129</v>
      </c>
      <c r="B25" s="1" t="s">
        <v>1117</v>
      </c>
      <c r="C25" s="1" t="s">
        <v>1083</v>
      </c>
      <c r="D25" s="1" t="s">
        <v>1110</v>
      </c>
      <c r="E25" s="1">
        <v>5750</v>
      </c>
      <c r="F25" s="78">
        <v>45882</v>
      </c>
      <c r="G25" s="1" t="s">
        <v>1085</v>
      </c>
      <c r="H25" s="1" t="s">
        <v>1086</v>
      </c>
      <c r="I25" s="1" t="s">
        <v>1087</v>
      </c>
      <c r="J25" s="1">
        <v>1</v>
      </c>
      <c r="K25" s="1" t="s">
        <v>1046</v>
      </c>
    </row>
    <row r="26" spans="1:11" x14ac:dyDescent="0.25">
      <c r="A26" s="1" t="s">
        <v>1130</v>
      </c>
      <c r="B26" s="1" t="s">
        <v>1119</v>
      </c>
      <c r="C26" s="1" t="s">
        <v>1083</v>
      </c>
      <c r="D26" s="1" t="s">
        <v>1120</v>
      </c>
      <c r="E26" s="1">
        <v>1380</v>
      </c>
      <c r="F26" s="78">
        <v>45882</v>
      </c>
      <c r="G26" s="1" t="s">
        <v>1085</v>
      </c>
      <c r="H26" s="1" t="s">
        <v>1086</v>
      </c>
      <c r="I26" s="1" t="s">
        <v>1087</v>
      </c>
      <c r="J26" s="1">
        <v>1</v>
      </c>
      <c r="K26" s="1" t="s">
        <v>1046</v>
      </c>
    </row>
    <row r="27" spans="1:11" x14ac:dyDescent="0.25">
      <c r="A27" s="1" t="s">
        <v>1131</v>
      </c>
      <c r="B27" s="1" t="s">
        <v>1132</v>
      </c>
      <c r="C27" s="1" t="s">
        <v>1083</v>
      </c>
      <c r="D27" s="1" t="s">
        <v>1110</v>
      </c>
      <c r="E27" s="1">
        <v>12180</v>
      </c>
      <c r="F27" s="78">
        <v>45882</v>
      </c>
      <c r="G27" s="1" t="s">
        <v>1085</v>
      </c>
      <c r="H27" s="1" t="s">
        <v>1086</v>
      </c>
      <c r="I27" s="1" t="s">
        <v>1087</v>
      </c>
      <c r="J27" s="1">
        <v>1</v>
      </c>
      <c r="K27" s="1" t="s">
        <v>1046</v>
      </c>
    </row>
    <row r="28" spans="1:11" x14ac:dyDescent="0.25">
      <c r="A28" s="1" t="s">
        <v>1133</v>
      </c>
      <c r="B28" s="1" t="s">
        <v>1115</v>
      </c>
      <c r="C28" s="1" t="s">
        <v>1083</v>
      </c>
      <c r="D28" s="1" t="s">
        <v>1113</v>
      </c>
      <c r="E28" s="1">
        <v>189175</v>
      </c>
      <c r="F28" s="78">
        <v>45882</v>
      </c>
      <c r="G28" s="1" t="s">
        <v>1085</v>
      </c>
      <c r="H28" s="1" t="s">
        <v>1086</v>
      </c>
      <c r="I28" s="1" t="s">
        <v>1087</v>
      </c>
      <c r="J28" s="1">
        <v>1</v>
      </c>
      <c r="K28" s="1" t="s">
        <v>1046</v>
      </c>
    </row>
    <row r="29" spans="1:11" x14ac:dyDescent="0.25">
      <c r="A29" s="1" t="s">
        <v>1134</v>
      </c>
      <c r="B29" s="1" t="s">
        <v>1117</v>
      </c>
      <c r="C29" s="1" t="s">
        <v>1083</v>
      </c>
      <c r="D29" s="1" t="s">
        <v>1110</v>
      </c>
      <c r="E29" s="1">
        <v>5750</v>
      </c>
      <c r="F29" s="78">
        <v>45882</v>
      </c>
      <c r="G29" s="1" t="s">
        <v>1085</v>
      </c>
      <c r="H29" s="1" t="s">
        <v>1086</v>
      </c>
      <c r="I29" s="1" t="s">
        <v>1087</v>
      </c>
      <c r="J29" s="1">
        <v>1</v>
      </c>
      <c r="K29" s="1" t="s">
        <v>1046</v>
      </c>
    </row>
    <row r="30" spans="1:11" x14ac:dyDescent="0.25">
      <c r="A30" s="1" t="s">
        <v>1135</v>
      </c>
      <c r="B30" s="1" t="s">
        <v>1119</v>
      </c>
      <c r="C30" s="1" t="s">
        <v>1083</v>
      </c>
      <c r="D30" s="1" t="s">
        <v>1120</v>
      </c>
      <c r="E30" s="1">
        <v>1380</v>
      </c>
      <c r="F30" s="78">
        <v>45882</v>
      </c>
      <c r="G30" s="1" t="s">
        <v>1085</v>
      </c>
      <c r="H30" s="1" t="s">
        <v>1086</v>
      </c>
      <c r="I30" s="1" t="s">
        <v>1087</v>
      </c>
      <c r="J30" s="1">
        <v>1</v>
      </c>
      <c r="K30" s="1" t="s">
        <v>1046</v>
      </c>
    </row>
    <row r="31" spans="1:11" x14ac:dyDescent="0.25">
      <c r="A31" s="1" t="s">
        <v>1136</v>
      </c>
      <c r="B31" s="1" t="s">
        <v>1137</v>
      </c>
      <c r="C31" s="1" t="s">
        <v>1083</v>
      </c>
      <c r="D31" s="1" t="s">
        <v>1113</v>
      </c>
      <c r="E31" s="1">
        <v>189175</v>
      </c>
      <c r="F31" s="78">
        <v>45882</v>
      </c>
      <c r="G31" s="1" t="s">
        <v>1085</v>
      </c>
      <c r="H31" s="1" t="s">
        <v>1086</v>
      </c>
      <c r="I31" s="1" t="s">
        <v>1087</v>
      </c>
      <c r="J31" s="1">
        <v>1</v>
      </c>
      <c r="K31" s="1" t="s">
        <v>1046</v>
      </c>
    </row>
    <row r="32" spans="1:11" x14ac:dyDescent="0.25">
      <c r="A32" s="1" t="s">
        <v>1138</v>
      </c>
      <c r="B32" s="1" t="s">
        <v>1117</v>
      </c>
      <c r="C32" s="1" t="s">
        <v>1083</v>
      </c>
      <c r="D32" s="1" t="s">
        <v>1110</v>
      </c>
      <c r="E32" s="1">
        <v>5750</v>
      </c>
      <c r="F32" s="78">
        <v>45882</v>
      </c>
      <c r="G32" s="1" t="s">
        <v>1085</v>
      </c>
      <c r="H32" s="1" t="s">
        <v>1086</v>
      </c>
      <c r="I32" s="1" t="s">
        <v>1087</v>
      </c>
      <c r="J32" s="1">
        <v>1</v>
      </c>
      <c r="K32" s="1" t="s">
        <v>1046</v>
      </c>
    </row>
    <row r="33" spans="1:11" x14ac:dyDescent="0.25">
      <c r="A33" s="1" t="s">
        <v>1139</v>
      </c>
      <c r="B33" s="1" t="s">
        <v>1119</v>
      </c>
      <c r="C33" s="1" t="s">
        <v>1083</v>
      </c>
      <c r="D33" s="1" t="s">
        <v>1120</v>
      </c>
      <c r="E33" s="1">
        <v>1380</v>
      </c>
      <c r="F33" s="78">
        <v>45882</v>
      </c>
      <c r="G33" s="1" t="s">
        <v>1085</v>
      </c>
      <c r="H33" s="1" t="s">
        <v>1086</v>
      </c>
      <c r="I33" s="1" t="s">
        <v>1087</v>
      </c>
      <c r="J33" s="1">
        <v>1</v>
      </c>
      <c r="K33" s="1" t="s">
        <v>1046</v>
      </c>
    </row>
    <row r="34" spans="1:11" x14ac:dyDescent="0.25">
      <c r="A34" s="1" t="s">
        <v>1140</v>
      </c>
      <c r="B34" s="1" t="s">
        <v>1137</v>
      </c>
      <c r="C34" s="1" t="s">
        <v>1083</v>
      </c>
      <c r="D34" s="1" t="s">
        <v>1113</v>
      </c>
      <c r="E34" s="1">
        <v>189175</v>
      </c>
      <c r="F34" s="78">
        <v>45882</v>
      </c>
      <c r="G34" s="1" t="s">
        <v>1085</v>
      </c>
      <c r="H34" s="1" t="s">
        <v>1086</v>
      </c>
      <c r="I34" s="1" t="s">
        <v>1087</v>
      </c>
      <c r="J34" s="1">
        <v>1</v>
      </c>
      <c r="K34" s="1" t="s">
        <v>1046</v>
      </c>
    </row>
    <row r="35" spans="1:11" x14ac:dyDescent="0.25">
      <c r="A35" s="1" t="s">
        <v>1141</v>
      </c>
      <c r="B35" s="1" t="s">
        <v>1117</v>
      </c>
      <c r="C35" s="1" t="s">
        <v>1083</v>
      </c>
      <c r="D35" s="1" t="s">
        <v>1110</v>
      </c>
      <c r="E35" s="1">
        <v>5750</v>
      </c>
      <c r="F35" s="78">
        <v>45882</v>
      </c>
      <c r="G35" s="1" t="s">
        <v>1085</v>
      </c>
      <c r="H35" s="1" t="s">
        <v>1086</v>
      </c>
      <c r="I35" s="1" t="s">
        <v>1087</v>
      </c>
      <c r="J35" s="1">
        <v>1</v>
      </c>
      <c r="K35" s="1" t="s">
        <v>1046</v>
      </c>
    </row>
    <row r="36" spans="1:11" x14ac:dyDescent="0.25">
      <c r="A36" s="1" t="s">
        <v>1142</v>
      </c>
      <c r="B36" s="1" t="s">
        <v>1119</v>
      </c>
      <c r="C36" s="1" t="s">
        <v>1083</v>
      </c>
      <c r="D36" s="1" t="s">
        <v>1120</v>
      </c>
      <c r="E36" s="1">
        <v>1380</v>
      </c>
      <c r="F36" s="78">
        <v>45882</v>
      </c>
      <c r="G36" s="1" t="s">
        <v>1085</v>
      </c>
      <c r="H36" s="1" t="s">
        <v>1086</v>
      </c>
      <c r="I36" s="1" t="s">
        <v>1087</v>
      </c>
      <c r="J36" s="1">
        <v>1</v>
      </c>
      <c r="K36" s="1" t="s">
        <v>1046</v>
      </c>
    </row>
    <row r="37" spans="1:11" x14ac:dyDescent="0.25">
      <c r="A37" s="1" t="s">
        <v>1143</v>
      </c>
      <c r="B37" s="1" t="s">
        <v>1144</v>
      </c>
      <c r="C37" s="1" t="s">
        <v>1083</v>
      </c>
      <c r="D37" s="1" t="s">
        <v>1113</v>
      </c>
      <c r="E37" s="1">
        <v>189175</v>
      </c>
      <c r="F37" s="78">
        <v>45882</v>
      </c>
      <c r="G37" s="1" t="s">
        <v>1085</v>
      </c>
      <c r="H37" s="1" t="s">
        <v>1086</v>
      </c>
      <c r="I37" s="1" t="s">
        <v>1087</v>
      </c>
      <c r="J37" s="1">
        <v>1</v>
      </c>
      <c r="K37" s="1" t="s">
        <v>1046</v>
      </c>
    </row>
    <row r="38" spans="1:11" x14ac:dyDescent="0.25">
      <c r="A38" s="1" t="s">
        <v>1145</v>
      </c>
      <c r="B38" s="1" t="s">
        <v>1117</v>
      </c>
      <c r="C38" s="1" t="s">
        <v>1083</v>
      </c>
      <c r="D38" s="1" t="s">
        <v>1110</v>
      </c>
      <c r="E38" s="1">
        <v>5750</v>
      </c>
      <c r="F38" s="78">
        <v>45882</v>
      </c>
      <c r="G38" s="1" t="s">
        <v>1085</v>
      </c>
      <c r="H38" s="1" t="s">
        <v>1086</v>
      </c>
      <c r="I38" s="1" t="s">
        <v>1087</v>
      </c>
      <c r="J38" s="1">
        <v>1</v>
      </c>
      <c r="K38" s="1" t="s">
        <v>1046</v>
      </c>
    </row>
    <row r="39" spans="1:11" x14ac:dyDescent="0.25">
      <c r="A39" s="1" t="s">
        <v>1146</v>
      </c>
      <c r="B39" s="1" t="s">
        <v>1119</v>
      </c>
      <c r="C39" s="1" t="s">
        <v>1083</v>
      </c>
      <c r="D39" s="1" t="s">
        <v>1120</v>
      </c>
      <c r="E39" s="1">
        <v>1380</v>
      </c>
      <c r="F39" s="78">
        <v>45882</v>
      </c>
      <c r="G39" s="1" t="s">
        <v>1085</v>
      </c>
      <c r="H39" s="1" t="s">
        <v>1086</v>
      </c>
      <c r="I39" s="1" t="s">
        <v>1087</v>
      </c>
      <c r="J39" s="1">
        <v>1</v>
      </c>
      <c r="K39" s="1" t="s">
        <v>1046</v>
      </c>
    </row>
    <row r="40" spans="1:11" x14ac:dyDescent="0.25">
      <c r="A40" s="1" t="s">
        <v>1147</v>
      </c>
      <c r="B40" s="1" t="s">
        <v>1137</v>
      </c>
      <c r="C40" s="1" t="s">
        <v>1083</v>
      </c>
      <c r="D40" s="1" t="s">
        <v>1113</v>
      </c>
      <c r="E40" s="1">
        <v>189175</v>
      </c>
      <c r="F40" s="78">
        <v>45882</v>
      </c>
      <c r="G40" s="1" t="s">
        <v>1085</v>
      </c>
      <c r="H40" s="1" t="s">
        <v>1086</v>
      </c>
      <c r="I40" s="1" t="s">
        <v>1087</v>
      </c>
      <c r="J40" s="1">
        <v>1</v>
      </c>
      <c r="K40" s="1" t="s">
        <v>1046</v>
      </c>
    </row>
    <row r="41" spans="1:11" x14ac:dyDescent="0.25">
      <c r="A41" s="1" t="s">
        <v>1148</v>
      </c>
      <c r="B41" s="1" t="s">
        <v>1117</v>
      </c>
      <c r="C41" s="1" t="s">
        <v>1083</v>
      </c>
      <c r="D41" s="1" t="s">
        <v>1110</v>
      </c>
      <c r="E41" s="1">
        <v>5750</v>
      </c>
      <c r="F41" s="78">
        <v>45882</v>
      </c>
      <c r="G41" s="1" t="s">
        <v>1085</v>
      </c>
      <c r="H41" s="1" t="s">
        <v>1086</v>
      </c>
      <c r="I41" s="1" t="s">
        <v>1087</v>
      </c>
      <c r="J41" s="1">
        <v>1</v>
      </c>
      <c r="K41" s="1" t="s">
        <v>1046</v>
      </c>
    </row>
    <row r="42" spans="1:11" x14ac:dyDescent="0.25">
      <c r="A42" s="1" t="s">
        <v>1149</v>
      </c>
      <c r="B42" s="1" t="s">
        <v>1119</v>
      </c>
      <c r="C42" s="1" t="s">
        <v>1083</v>
      </c>
      <c r="D42" s="1" t="s">
        <v>1120</v>
      </c>
      <c r="E42" s="1">
        <v>1380</v>
      </c>
      <c r="F42" s="78">
        <v>45882</v>
      </c>
      <c r="G42" s="1" t="s">
        <v>1085</v>
      </c>
      <c r="H42" s="1" t="s">
        <v>1086</v>
      </c>
      <c r="I42" s="1" t="s">
        <v>1087</v>
      </c>
      <c r="J42" s="1">
        <v>1</v>
      </c>
      <c r="K42" s="1" t="s">
        <v>1046</v>
      </c>
    </row>
    <row r="43" spans="1:11" x14ac:dyDescent="0.25">
      <c r="A43" s="1" t="s">
        <v>1150</v>
      </c>
      <c r="B43" s="1" t="s">
        <v>1137</v>
      </c>
      <c r="C43" s="1" t="s">
        <v>1083</v>
      </c>
      <c r="D43" s="1" t="s">
        <v>1113</v>
      </c>
      <c r="E43" s="1">
        <v>189175</v>
      </c>
      <c r="F43" s="78">
        <v>45882</v>
      </c>
      <c r="G43" s="1" t="s">
        <v>1085</v>
      </c>
      <c r="H43" s="1" t="s">
        <v>1086</v>
      </c>
      <c r="I43" s="1" t="s">
        <v>1087</v>
      </c>
      <c r="J43" s="1">
        <v>1</v>
      </c>
      <c r="K43" s="1" t="s">
        <v>1046</v>
      </c>
    </row>
    <row r="44" spans="1:11" x14ac:dyDescent="0.25">
      <c r="A44" s="1" t="s">
        <v>1151</v>
      </c>
      <c r="B44" s="1" t="s">
        <v>1152</v>
      </c>
      <c r="C44" s="1" t="s">
        <v>1083</v>
      </c>
      <c r="D44" s="1" t="s">
        <v>1110</v>
      </c>
      <c r="E44" s="1">
        <v>14231</v>
      </c>
      <c r="F44" s="78">
        <v>45882</v>
      </c>
      <c r="G44" s="1" t="s">
        <v>1085</v>
      </c>
      <c r="H44" s="1" t="s">
        <v>1086</v>
      </c>
      <c r="I44" s="1" t="s">
        <v>1087</v>
      </c>
      <c r="J44" s="1">
        <v>1</v>
      </c>
      <c r="K44" s="1" t="s">
        <v>1046</v>
      </c>
    </row>
    <row r="45" spans="1:11" x14ac:dyDescent="0.25">
      <c r="A45" s="1" t="s">
        <v>1153</v>
      </c>
      <c r="B45" s="1" t="s">
        <v>1117</v>
      </c>
      <c r="C45" s="1" t="s">
        <v>1083</v>
      </c>
      <c r="D45" s="1" t="s">
        <v>1110</v>
      </c>
      <c r="E45" s="1">
        <v>5750</v>
      </c>
      <c r="F45" s="78">
        <v>45882</v>
      </c>
      <c r="G45" s="1" t="s">
        <v>1085</v>
      </c>
      <c r="H45" s="1" t="s">
        <v>1086</v>
      </c>
      <c r="I45" s="1" t="s">
        <v>1087</v>
      </c>
      <c r="J45" s="1">
        <v>1</v>
      </c>
      <c r="K45" s="1" t="s">
        <v>1046</v>
      </c>
    </row>
    <row r="46" spans="1:11" x14ac:dyDescent="0.25">
      <c r="A46" s="1" t="s">
        <v>1154</v>
      </c>
      <c r="B46" s="1" t="s">
        <v>1119</v>
      </c>
      <c r="C46" s="1" t="s">
        <v>1083</v>
      </c>
      <c r="D46" s="1" t="s">
        <v>1120</v>
      </c>
      <c r="E46" s="1">
        <v>1380</v>
      </c>
      <c r="F46" s="78">
        <v>45882</v>
      </c>
      <c r="G46" s="1" t="s">
        <v>1085</v>
      </c>
      <c r="H46" s="1" t="s">
        <v>1086</v>
      </c>
      <c r="I46" s="1" t="s">
        <v>1087</v>
      </c>
      <c r="J46" s="1">
        <v>1</v>
      </c>
      <c r="K46" s="1" t="s">
        <v>1046</v>
      </c>
    </row>
    <row r="47" spans="1:11" x14ac:dyDescent="0.25">
      <c r="A47" s="1" t="s">
        <v>1155</v>
      </c>
      <c r="B47" s="1" t="s">
        <v>1156</v>
      </c>
      <c r="C47" s="1" t="s">
        <v>1083</v>
      </c>
      <c r="D47" s="1" t="s">
        <v>1110</v>
      </c>
      <c r="E47" s="1">
        <v>11185</v>
      </c>
      <c r="F47" s="78">
        <v>45882</v>
      </c>
      <c r="G47" s="1" t="s">
        <v>1085</v>
      </c>
      <c r="H47" s="1" t="s">
        <v>1086</v>
      </c>
      <c r="I47" s="1" t="s">
        <v>1087</v>
      </c>
      <c r="J47" s="1">
        <v>1</v>
      </c>
      <c r="K47" s="1" t="s">
        <v>1046</v>
      </c>
    </row>
    <row r="48" spans="1:11" x14ac:dyDescent="0.25">
      <c r="A48" s="1" t="s">
        <v>1157</v>
      </c>
      <c r="B48" s="1" t="s">
        <v>1158</v>
      </c>
      <c r="C48" s="1" t="s">
        <v>1083</v>
      </c>
      <c r="D48" s="1" t="s">
        <v>1110</v>
      </c>
      <c r="E48" s="1">
        <v>3827</v>
      </c>
      <c r="F48" s="78">
        <v>45882</v>
      </c>
      <c r="G48" s="1" t="s">
        <v>1085</v>
      </c>
      <c r="H48" s="1" t="s">
        <v>1086</v>
      </c>
      <c r="I48" s="1" t="s">
        <v>1087</v>
      </c>
      <c r="J48" s="1">
        <v>1</v>
      </c>
      <c r="K48" s="1" t="s">
        <v>1046</v>
      </c>
    </row>
    <row r="49" spans="1:11" x14ac:dyDescent="0.25">
      <c r="A49" s="1" t="s">
        <v>1159</v>
      </c>
      <c r="B49" s="1" t="s">
        <v>1160</v>
      </c>
      <c r="C49" s="1" t="s">
        <v>1083</v>
      </c>
      <c r="D49" s="1" t="s">
        <v>1110</v>
      </c>
      <c r="E49" s="1">
        <v>3827</v>
      </c>
      <c r="F49" s="78">
        <v>45882</v>
      </c>
      <c r="G49" s="1" t="s">
        <v>1085</v>
      </c>
      <c r="H49" s="1" t="s">
        <v>1086</v>
      </c>
      <c r="I49" s="1" t="s">
        <v>1087</v>
      </c>
      <c r="J49" s="1">
        <v>1</v>
      </c>
      <c r="K49" s="1" t="s">
        <v>1046</v>
      </c>
    </row>
    <row r="50" spans="1:11" x14ac:dyDescent="0.25">
      <c r="A50" s="1" t="s">
        <v>1161</v>
      </c>
      <c r="B50" s="1" t="s">
        <v>1162</v>
      </c>
      <c r="C50" s="1" t="s">
        <v>1083</v>
      </c>
      <c r="D50" s="1" t="s">
        <v>1084</v>
      </c>
      <c r="E50" s="1">
        <v>1</v>
      </c>
      <c r="F50" s="78">
        <v>45882</v>
      </c>
      <c r="G50" s="1" t="s">
        <v>1085</v>
      </c>
      <c r="H50" s="1" t="s">
        <v>1086</v>
      </c>
      <c r="I50" s="1" t="s">
        <v>1087</v>
      </c>
      <c r="J50" s="1">
        <v>1</v>
      </c>
      <c r="K50" s="1" t="s">
        <v>1046</v>
      </c>
    </row>
    <row r="51" spans="1:11" x14ac:dyDescent="0.25">
      <c r="A51" s="1" t="s">
        <v>1163</v>
      </c>
      <c r="B51" s="1" t="s">
        <v>1164</v>
      </c>
      <c r="C51" s="1" t="s">
        <v>1083</v>
      </c>
      <c r="D51" s="1" t="s">
        <v>1084</v>
      </c>
      <c r="E51" s="1">
        <v>1</v>
      </c>
      <c r="F51" s="78">
        <v>45882</v>
      </c>
      <c r="G51" s="1" t="s">
        <v>1085</v>
      </c>
      <c r="H51" s="1" t="s">
        <v>1086</v>
      </c>
      <c r="I51" s="1" t="s">
        <v>1087</v>
      </c>
      <c r="J51" s="1">
        <v>1</v>
      </c>
      <c r="K51" s="1" t="s">
        <v>1046</v>
      </c>
    </row>
    <row r="52" spans="1:11" x14ac:dyDescent="0.25">
      <c r="A52" s="1" t="s">
        <v>1165</v>
      </c>
      <c r="B52" s="1" t="s">
        <v>1137</v>
      </c>
      <c r="C52" s="1" t="s">
        <v>1083</v>
      </c>
      <c r="D52" s="1" t="s">
        <v>1113</v>
      </c>
      <c r="E52" s="1">
        <v>189175</v>
      </c>
      <c r="F52" s="78">
        <v>45882</v>
      </c>
      <c r="G52" s="1" t="s">
        <v>1085</v>
      </c>
      <c r="H52" s="1" t="s">
        <v>1086</v>
      </c>
      <c r="I52" s="1" t="s">
        <v>1087</v>
      </c>
      <c r="J52" s="1">
        <v>1</v>
      </c>
      <c r="K52" s="1" t="s">
        <v>1046</v>
      </c>
    </row>
    <row r="53" spans="1:11" x14ac:dyDescent="0.25">
      <c r="A53" s="1" t="s">
        <v>1166</v>
      </c>
      <c r="B53" s="1" t="s">
        <v>1117</v>
      </c>
      <c r="C53" s="1" t="s">
        <v>1083</v>
      </c>
      <c r="D53" s="1" t="s">
        <v>1110</v>
      </c>
      <c r="E53" s="1">
        <v>5750</v>
      </c>
      <c r="F53" s="78">
        <v>45882</v>
      </c>
      <c r="G53" s="1" t="s">
        <v>1085</v>
      </c>
      <c r="H53" s="1" t="s">
        <v>1086</v>
      </c>
      <c r="I53" s="1" t="s">
        <v>1087</v>
      </c>
      <c r="J53" s="1">
        <v>1</v>
      </c>
      <c r="K53" s="1" t="s">
        <v>1046</v>
      </c>
    </row>
    <row r="54" spans="1:11" x14ac:dyDescent="0.25">
      <c r="A54" s="1" t="s">
        <v>1167</v>
      </c>
      <c r="B54" s="1" t="s">
        <v>1137</v>
      </c>
      <c r="C54" s="1" t="s">
        <v>1083</v>
      </c>
      <c r="D54" s="1" t="s">
        <v>1113</v>
      </c>
      <c r="E54" s="1">
        <v>189175</v>
      </c>
      <c r="F54" s="78">
        <v>45882</v>
      </c>
      <c r="G54" s="1" t="s">
        <v>1085</v>
      </c>
      <c r="H54" s="1" t="s">
        <v>1086</v>
      </c>
      <c r="I54" s="1" t="s">
        <v>1087</v>
      </c>
      <c r="J54" s="1">
        <v>1</v>
      </c>
      <c r="K54" s="1" t="s">
        <v>1046</v>
      </c>
    </row>
    <row r="55" spans="1:11" x14ac:dyDescent="0.25">
      <c r="A55" s="1" t="s">
        <v>1168</v>
      </c>
      <c r="B55" s="1" t="s">
        <v>1117</v>
      </c>
      <c r="C55" s="1" t="s">
        <v>1083</v>
      </c>
      <c r="D55" s="1" t="s">
        <v>1110</v>
      </c>
      <c r="E55" s="1">
        <v>5750</v>
      </c>
      <c r="F55" s="78">
        <v>45882</v>
      </c>
      <c r="G55" s="1" t="s">
        <v>1085</v>
      </c>
      <c r="H55" s="1" t="s">
        <v>1086</v>
      </c>
      <c r="I55" s="1" t="s">
        <v>1087</v>
      </c>
      <c r="J55" s="1">
        <v>1</v>
      </c>
      <c r="K55" s="1" t="s">
        <v>1046</v>
      </c>
    </row>
    <row r="56" spans="1:11" x14ac:dyDescent="0.25">
      <c r="A56" s="1" t="s">
        <v>1169</v>
      </c>
      <c r="B56" s="1" t="s">
        <v>1119</v>
      </c>
      <c r="C56" s="1" t="s">
        <v>1083</v>
      </c>
      <c r="D56" s="1" t="s">
        <v>1120</v>
      </c>
      <c r="E56" s="1">
        <v>1380</v>
      </c>
      <c r="F56" s="78">
        <v>45882</v>
      </c>
      <c r="G56" s="1" t="s">
        <v>1085</v>
      </c>
      <c r="H56" s="1" t="s">
        <v>1086</v>
      </c>
      <c r="I56" s="1" t="s">
        <v>1087</v>
      </c>
      <c r="J56" s="1">
        <v>1</v>
      </c>
      <c r="K56" s="1" t="s">
        <v>1046</v>
      </c>
    </row>
    <row r="57" spans="1:11" x14ac:dyDescent="0.25">
      <c r="A57" s="1" t="s">
        <v>1170</v>
      </c>
      <c r="B57" s="1" t="s">
        <v>1171</v>
      </c>
      <c r="C57" s="1" t="s">
        <v>1083</v>
      </c>
      <c r="D57" s="1" t="s">
        <v>1084</v>
      </c>
      <c r="E57" s="1">
        <v>2344172</v>
      </c>
      <c r="F57" s="78">
        <v>45882</v>
      </c>
      <c r="G57" s="1" t="s">
        <v>1085</v>
      </c>
      <c r="H57" s="1" t="s">
        <v>1086</v>
      </c>
      <c r="I57" s="1" t="s">
        <v>1087</v>
      </c>
      <c r="J57" s="1">
        <v>1</v>
      </c>
      <c r="K57" s="1" t="s">
        <v>1046</v>
      </c>
    </row>
    <row r="58" spans="1:11" x14ac:dyDescent="0.25">
      <c r="A58" s="1" t="s">
        <v>1172</v>
      </c>
      <c r="B58" s="1" t="s">
        <v>1173</v>
      </c>
      <c r="C58" s="1" t="s">
        <v>1174</v>
      </c>
      <c r="D58" s="1" t="s">
        <v>1110</v>
      </c>
      <c r="E58" s="1">
        <v>17276</v>
      </c>
      <c r="F58" s="78">
        <v>45882</v>
      </c>
      <c r="G58" s="1" t="s">
        <v>1085</v>
      </c>
      <c r="H58" s="1" t="s">
        <v>1086</v>
      </c>
      <c r="I58" s="1" t="s">
        <v>1087</v>
      </c>
      <c r="J58" s="1">
        <v>1</v>
      </c>
      <c r="K58" s="1" t="s">
        <v>1042</v>
      </c>
    </row>
    <row r="59" spans="1:11" x14ac:dyDescent="0.25">
      <c r="A59" s="1" t="s">
        <v>1175</v>
      </c>
      <c r="B59" s="1" t="s">
        <v>1176</v>
      </c>
      <c r="C59" s="1" t="s">
        <v>1174</v>
      </c>
      <c r="D59" s="1" t="s">
        <v>1177</v>
      </c>
      <c r="E59" s="1">
        <v>8641</v>
      </c>
      <c r="F59" s="78">
        <v>45882</v>
      </c>
      <c r="G59" s="1" t="s">
        <v>1085</v>
      </c>
      <c r="H59" s="1" t="s">
        <v>1086</v>
      </c>
      <c r="I59" s="1" t="s">
        <v>1087</v>
      </c>
      <c r="J59" s="1">
        <v>1</v>
      </c>
      <c r="K59" s="1" t="s">
        <v>1042</v>
      </c>
    </row>
    <row r="60" spans="1:11" x14ac:dyDescent="0.25">
      <c r="A60" s="1" t="s">
        <v>1178</v>
      </c>
      <c r="B60" s="1" t="s">
        <v>1179</v>
      </c>
      <c r="C60" s="1" t="s">
        <v>1174</v>
      </c>
      <c r="D60" s="1" t="s">
        <v>1110</v>
      </c>
      <c r="E60" s="1">
        <v>11793</v>
      </c>
      <c r="F60" s="78">
        <v>45882</v>
      </c>
      <c r="G60" s="1" t="s">
        <v>1085</v>
      </c>
      <c r="H60" s="1" t="s">
        <v>1086</v>
      </c>
      <c r="I60" s="1" t="s">
        <v>1087</v>
      </c>
      <c r="J60" s="1">
        <v>1</v>
      </c>
      <c r="K60" s="1" t="s">
        <v>1042</v>
      </c>
    </row>
    <row r="61" spans="1:11" x14ac:dyDescent="0.25">
      <c r="A61" s="1" t="s">
        <v>1180</v>
      </c>
      <c r="B61" s="1" t="s">
        <v>1181</v>
      </c>
      <c r="C61" s="1" t="s">
        <v>1174</v>
      </c>
      <c r="D61" s="1" t="s">
        <v>1110</v>
      </c>
      <c r="E61" s="1">
        <v>34552</v>
      </c>
      <c r="F61" s="78">
        <v>45882</v>
      </c>
      <c r="G61" s="1" t="s">
        <v>1085</v>
      </c>
      <c r="H61" s="1" t="s">
        <v>1086</v>
      </c>
      <c r="I61" s="1" t="s">
        <v>1087</v>
      </c>
      <c r="J61" s="1">
        <v>1</v>
      </c>
      <c r="K61" s="1" t="s">
        <v>1042</v>
      </c>
    </row>
    <row r="62" spans="1:11" x14ac:dyDescent="0.25">
      <c r="A62" s="1" t="s">
        <v>1182</v>
      </c>
      <c r="B62" s="1" t="s">
        <v>1176</v>
      </c>
      <c r="C62" s="1" t="s">
        <v>1174</v>
      </c>
      <c r="D62" s="1" t="s">
        <v>1177</v>
      </c>
      <c r="E62" s="1">
        <v>8641</v>
      </c>
      <c r="F62" s="78">
        <v>45882</v>
      </c>
      <c r="G62" s="1" t="s">
        <v>1085</v>
      </c>
      <c r="H62" s="1" t="s">
        <v>1086</v>
      </c>
      <c r="I62" s="1" t="s">
        <v>1087</v>
      </c>
      <c r="J62" s="1">
        <v>1</v>
      </c>
      <c r="K62" s="1" t="s">
        <v>1042</v>
      </c>
    </row>
    <row r="63" spans="1:11" x14ac:dyDescent="0.25">
      <c r="A63" s="1" t="s">
        <v>1183</v>
      </c>
      <c r="B63" s="1" t="s">
        <v>1179</v>
      </c>
      <c r="C63" s="1" t="s">
        <v>1174</v>
      </c>
      <c r="D63" s="1" t="s">
        <v>1110</v>
      </c>
      <c r="E63" s="1">
        <v>11793</v>
      </c>
      <c r="F63" s="78">
        <v>45882</v>
      </c>
      <c r="G63" s="1" t="s">
        <v>1085</v>
      </c>
      <c r="H63" s="1" t="s">
        <v>1086</v>
      </c>
      <c r="I63" s="1" t="s">
        <v>1087</v>
      </c>
      <c r="J63" s="1">
        <v>1</v>
      </c>
      <c r="K63" s="1" t="s">
        <v>1042</v>
      </c>
    </row>
    <row r="64" spans="1:11" x14ac:dyDescent="0.25">
      <c r="A64" s="1" t="s">
        <v>1184</v>
      </c>
      <c r="B64" s="1" t="s">
        <v>1185</v>
      </c>
      <c r="C64" s="1" t="s">
        <v>1174</v>
      </c>
      <c r="D64" s="1" t="s">
        <v>1110</v>
      </c>
      <c r="E64" s="1">
        <v>17276</v>
      </c>
      <c r="F64" s="78">
        <v>45882</v>
      </c>
      <c r="G64" s="1" t="s">
        <v>1085</v>
      </c>
      <c r="H64" s="1" t="s">
        <v>1086</v>
      </c>
      <c r="I64" s="1" t="s">
        <v>1087</v>
      </c>
      <c r="J64" s="1">
        <v>1</v>
      </c>
      <c r="K64" s="1" t="s">
        <v>1042</v>
      </c>
    </row>
    <row r="65" spans="1:11" x14ac:dyDescent="0.25">
      <c r="A65" s="1" t="s">
        <v>1186</v>
      </c>
      <c r="B65" s="1" t="s">
        <v>1176</v>
      </c>
      <c r="C65" s="1" t="s">
        <v>1174</v>
      </c>
      <c r="D65" s="1" t="s">
        <v>1177</v>
      </c>
      <c r="E65" s="1">
        <v>8641</v>
      </c>
      <c r="F65" s="78">
        <v>45882</v>
      </c>
      <c r="G65" s="1" t="s">
        <v>1085</v>
      </c>
      <c r="H65" s="1" t="s">
        <v>1086</v>
      </c>
      <c r="I65" s="1" t="s">
        <v>1087</v>
      </c>
      <c r="J65" s="1">
        <v>1</v>
      </c>
      <c r="K65" s="1" t="s">
        <v>1042</v>
      </c>
    </row>
    <row r="66" spans="1:11" x14ac:dyDescent="0.25">
      <c r="A66" s="1" t="s">
        <v>1187</v>
      </c>
      <c r="B66" s="1" t="s">
        <v>1188</v>
      </c>
      <c r="C66" s="1" t="s">
        <v>1189</v>
      </c>
      <c r="D66" s="1" t="s">
        <v>1110</v>
      </c>
      <c r="E66" s="1">
        <v>28175</v>
      </c>
      <c r="F66" s="78">
        <v>45882</v>
      </c>
      <c r="G66" s="1" t="s">
        <v>1085</v>
      </c>
      <c r="H66" s="1" t="s">
        <v>1086</v>
      </c>
      <c r="I66" s="1" t="s">
        <v>1087</v>
      </c>
      <c r="J66" s="1">
        <v>1</v>
      </c>
      <c r="K66" s="1" t="s">
        <v>1035</v>
      </c>
    </row>
    <row r="67" spans="1:11" x14ac:dyDescent="0.25">
      <c r="A67" s="1" t="s">
        <v>1190</v>
      </c>
      <c r="B67" s="1" t="s">
        <v>1191</v>
      </c>
      <c r="C67" s="1" t="s">
        <v>1189</v>
      </c>
      <c r="D67" s="1" t="s">
        <v>1110</v>
      </c>
      <c r="E67" s="1">
        <v>33925</v>
      </c>
      <c r="F67" s="78">
        <v>45882</v>
      </c>
      <c r="G67" s="1" t="s">
        <v>1085</v>
      </c>
      <c r="H67" s="1" t="s">
        <v>1086</v>
      </c>
      <c r="I67" s="1" t="s">
        <v>1087</v>
      </c>
      <c r="J67" s="1">
        <v>1</v>
      </c>
      <c r="K67" s="1" t="s">
        <v>1035</v>
      </c>
    </row>
    <row r="68" spans="1:11" x14ac:dyDescent="0.25">
      <c r="A68" s="1" t="s">
        <v>1192</v>
      </c>
      <c r="B68" s="1" t="s">
        <v>1193</v>
      </c>
      <c r="C68" s="1" t="s">
        <v>1189</v>
      </c>
      <c r="D68" s="1" t="s">
        <v>1177</v>
      </c>
      <c r="E68" s="1">
        <v>5750</v>
      </c>
      <c r="F68" s="78">
        <v>45882</v>
      </c>
      <c r="G68" s="1" t="s">
        <v>1085</v>
      </c>
      <c r="H68" s="1" t="s">
        <v>1086</v>
      </c>
      <c r="I68" s="1" t="s">
        <v>1087</v>
      </c>
      <c r="J68" s="1">
        <v>1</v>
      </c>
      <c r="K68" s="1" t="s">
        <v>1035</v>
      </c>
    </row>
    <row r="69" spans="1:11" x14ac:dyDescent="0.25">
      <c r="A69" s="1" t="s">
        <v>1194</v>
      </c>
      <c r="B69" s="1" t="s">
        <v>1195</v>
      </c>
      <c r="C69" s="1" t="s">
        <v>1189</v>
      </c>
      <c r="D69" s="1" t="s">
        <v>1177</v>
      </c>
      <c r="E69" s="1">
        <v>517500</v>
      </c>
      <c r="F69" s="78">
        <v>45882</v>
      </c>
      <c r="G69" s="1" t="s">
        <v>1085</v>
      </c>
      <c r="H69" s="1" t="s">
        <v>1086</v>
      </c>
      <c r="I69" s="1" t="s">
        <v>1087</v>
      </c>
      <c r="J69" s="1">
        <v>1</v>
      </c>
      <c r="K69" s="1" t="s">
        <v>1035</v>
      </c>
    </row>
    <row r="70" spans="1:11" x14ac:dyDescent="0.25">
      <c r="A70" s="1" t="s">
        <v>1196</v>
      </c>
      <c r="B70" s="1" t="s">
        <v>1197</v>
      </c>
      <c r="C70" s="1" t="s">
        <v>1198</v>
      </c>
      <c r="D70" s="1" t="s">
        <v>1110</v>
      </c>
      <c r="E70" s="1">
        <v>138000</v>
      </c>
      <c r="F70" s="78">
        <v>45882</v>
      </c>
      <c r="G70" s="1" t="s">
        <v>1085</v>
      </c>
      <c r="H70" s="1" t="s">
        <v>1086</v>
      </c>
      <c r="I70" s="1" t="s">
        <v>1087</v>
      </c>
      <c r="J70" s="1">
        <v>1</v>
      </c>
      <c r="K70" s="1" t="s">
        <v>1032</v>
      </c>
    </row>
    <row r="71" spans="1:11" x14ac:dyDescent="0.25">
      <c r="A71" s="1" t="s">
        <v>1199</v>
      </c>
      <c r="B71" s="1" t="s">
        <v>1200</v>
      </c>
      <c r="C71" s="1" t="s">
        <v>1198</v>
      </c>
      <c r="D71" s="1" t="s">
        <v>1110</v>
      </c>
      <c r="E71" s="1">
        <v>138000</v>
      </c>
      <c r="F71" s="78">
        <v>45882</v>
      </c>
      <c r="G71" s="1" t="s">
        <v>1085</v>
      </c>
      <c r="H71" s="1" t="s">
        <v>1086</v>
      </c>
      <c r="I71" s="1" t="s">
        <v>1087</v>
      </c>
      <c r="J71" s="1">
        <v>1</v>
      </c>
      <c r="K71" s="1" t="s">
        <v>1032</v>
      </c>
    </row>
    <row r="72" spans="1:11" x14ac:dyDescent="0.25">
      <c r="A72" s="1" t="s">
        <v>1201</v>
      </c>
      <c r="B72" s="1" t="s">
        <v>1202</v>
      </c>
      <c r="C72" s="1" t="s">
        <v>1203</v>
      </c>
      <c r="D72" s="1" t="s">
        <v>1084</v>
      </c>
      <c r="E72" s="1">
        <v>345000</v>
      </c>
      <c r="F72" s="78">
        <v>45882</v>
      </c>
      <c r="G72" s="1" t="s">
        <v>1085</v>
      </c>
      <c r="H72" s="1" t="s">
        <v>1086</v>
      </c>
      <c r="I72" s="1" t="s">
        <v>1087</v>
      </c>
      <c r="J72" s="1">
        <v>1</v>
      </c>
      <c r="K72" s="1" t="s">
        <v>1032</v>
      </c>
    </row>
    <row r="73" spans="1:11" x14ac:dyDescent="0.25">
      <c r="A73" s="1" t="s">
        <v>1204</v>
      </c>
      <c r="B73" s="1" t="s">
        <v>1205</v>
      </c>
      <c r="C73" s="1" t="s">
        <v>1203</v>
      </c>
      <c r="D73" s="1" t="s">
        <v>1084</v>
      </c>
      <c r="E73" s="1">
        <v>230000</v>
      </c>
      <c r="F73" s="78">
        <v>45882</v>
      </c>
      <c r="G73" s="1" t="s">
        <v>1085</v>
      </c>
      <c r="H73" s="1" t="s">
        <v>1086</v>
      </c>
      <c r="I73" s="1" t="s">
        <v>1087</v>
      </c>
      <c r="J73" s="1">
        <v>1</v>
      </c>
      <c r="K73" s="1" t="s">
        <v>1032</v>
      </c>
    </row>
    <row r="74" spans="1:11" x14ac:dyDescent="0.25">
      <c r="A74" s="1" t="s">
        <v>1206</v>
      </c>
      <c r="B74" s="1" t="s">
        <v>1207</v>
      </c>
      <c r="C74" s="1" t="s">
        <v>1203</v>
      </c>
      <c r="D74" s="1" t="s">
        <v>1110</v>
      </c>
      <c r="E74" s="1">
        <v>189750</v>
      </c>
      <c r="F74" s="78">
        <v>45882</v>
      </c>
      <c r="G74" s="1" t="s">
        <v>1085</v>
      </c>
      <c r="H74" s="1" t="s">
        <v>1086</v>
      </c>
      <c r="I74" s="1" t="s">
        <v>1087</v>
      </c>
      <c r="J74" s="1">
        <v>1</v>
      </c>
      <c r="K74" s="1" t="s">
        <v>1032</v>
      </c>
    </row>
    <row r="75" spans="1:11" x14ac:dyDescent="0.25">
      <c r="A75" s="1" t="s">
        <v>1208</v>
      </c>
      <c r="B75" s="1" t="s">
        <v>1209</v>
      </c>
      <c r="C75" s="1" t="s">
        <v>1203</v>
      </c>
      <c r="D75" s="1" t="s">
        <v>1084</v>
      </c>
      <c r="E75" s="1">
        <v>1092500</v>
      </c>
      <c r="F75" s="78">
        <v>45882</v>
      </c>
      <c r="G75" s="1" t="s">
        <v>1085</v>
      </c>
      <c r="H75" s="1" t="s">
        <v>1086</v>
      </c>
      <c r="I75" s="1" t="s">
        <v>1087</v>
      </c>
      <c r="J75" s="1">
        <v>1</v>
      </c>
      <c r="K75" s="1" t="s">
        <v>1032</v>
      </c>
    </row>
    <row r="76" spans="1:11" x14ac:dyDescent="0.25">
      <c r="A76" s="1" t="s">
        <v>1210</v>
      </c>
      <c r="B76" s="1" t="s">
        <v>1211</v>
      </c>
      <c r="C76" s="1" t="s">
        <v>1203</v>
      </c>
      <c r="D76" s="1" t="s">
        <v>1110</v>
      </c>
      <c r="E76" s="1">
        <v>97750</v>
      </c>
      <c r="F76" s="78">
        <v>45882</v>
      </c>
      <c r="G76" s="1" t="s">
        <v>1085</v>
      </c>
      <c r="H76" s="1" t="s">
        <v>1086</v>
      </c>
      <c r="I76" s="1" t="s">
        <v>1087</v>
      </c>
      <c r="J76" s="1">
        <v>1</v>
      </c>
      <c r="K76" s="1" t="s">
        <v>1032</v>
      </c>
    </row>
    <row r="77" spans="1:11" x14ac:dyDescent="0.25">
      <c r="A77" s="1" t="s">
        <v>1212</v>
      </c>
      <c r="B77" s="1" t="s">
        <v>1213</v>
      </c>
      <c r="C77" s="1" t="s">
        <v>1203</v>
      </c>
      <c r="D77" s="1" t="s">
        <v>1110</v>
      </c>
      <c r="E77" s="1">
        <v>97750</v>
      </c>
      <c r="F77" s="78">
        <v>45882</v>
      </c>
      <c r="G77" s="1" t="s">
        <v>1085</v>
      </c>
      <c r="H77" s="1" t="s">
        <v>1086</v>
      </c>
      <c r="I77" s="1" t="s">
        <v>1087</v>
      </c>
      <c r="J77" s="1">
        <v>1</v>
      </c>
      <c r="K77" s="1" t="s">
        <v>1032</v>
      </c>
    </row>
    <row r="78" spans="1:11" x14ac:dyDescent="0.25">
      <c r="A78" s="1" t="s">
        <v>1214</v>
      </c>
      <c r="B78" s="1" t="s">
        <v>1215</v>
      </c>
      <c r="C78" s="1" t="s">
        <v>1216</v>
      </c>
      <c r="D78" s="1" t="s">
        <v>1084</v>
      </c>
      <c r="E78" s="1">
        <v>759000</v>
      </c>
      <c r="F78" s="78">
        <v>45882</v>
      </c>
      <c r="G78" s="1" t="s">
        <v>1085</v>
      </c>
      <c r="H78" s="1" t="s">
        <v>1086</v>
      </c>
      <c r="I78" s="1" t="s">
        <v>1087</v>
      </c>
      <c r="J78" s="1">
        <v>1</v>
      </c>
      <c r="K78" s="1" t="s">
        <v>1032</v>
      </c>
    </row>
    <row r="79" spans="1:11" x14ac:dyDescent="0.25">
      <c r="A79" s="1" t="s">
        <v>1217</v>
      </c>
      <c r="B79" s="1" t="s">
        <v>1218</v>
      </c>
      <c r="C79" s="1" t="s">
        <v>1216</v>
      </c>
      <c r="D79" s="1" t="s">
        <v>1084</v>
      </c>
      <c r="E79" s="1">
        <v>341550</v>
      </c>
      <c r="F79" s="78">
        <v>45882</v>
      </c>
      <c r="G79" s="1" t="s">
        <v>1085</v>
      </c>
      <c r="H79" s="1" t="s">
        <v>1086</v>
      </c>
      <c r="I79" s="1" t="s">
        <v>1087</v>
      </c>
      <c r="J79" s="1">
        <v>1</v>
      </c>
      <c r="K79" s="1" t="s">
        <v>1032</v>
      </c>
    </row>
    <row r="80" spans="1:11" x14ac:dyDescent="0.25">
      <c r="A80" s="1" t="s">
        <v>1219</v>
      </c>
      <c r="B80" s="1" t="s">
        <v>1220</v>
      </c>
      <c r="C80" s="1" t="s">
        <v>1216</v>
      </c>
      <c r="D80" s="1" t="s">
        <v>1177</v>
      </c>
      <c r="E80" s="1">
        <v>345000</v>
      </c>
      <c r="F80" s="78">
        <v>45882</v>
      </c>
      <c r="G80" s="1" t="s">
        <v>1085</v>
      </c>
      <c r="H80" s="1" t="s">
        <v>1086</v>
      </c>
      <c r="I80" s="1" t="s">
        <v>1087</v>
      </c>
      <c r="J80" s="1">
        <v>1</v>
      </c>
      <c r="K80" s="1" t="s">
        <v>1032</v>
      </c>
    </row>
    <row r="81" spans="1:11" x14ac:dyDescent="0.25">
      <c r="A81" s="1" t="s">
        <v>1221</v>
      </c>
      <c r="B81" s="1" t="s">
        <v>1222</v>
      </c>
      <c r="C81" s="1" t="s">
        <v>1216</v>
      </c>
      <c r="D81" s="1" t="s">
        <v>1177</v>
      </c>
      <c r="E81" s="1">
        <v>402500</v>
      </c>
      <c r="F81" s="78">
        <v>45882</v>
      </c>
      <c r="G81" s="1" t="s">
        <v>1085</v>
      </c>
      <c r="H81" s="1" t="s">
        <v>1086</v>
      </c>
      <c r="I81" s="1" t="s">
        <v>1087</v>
      </c>
      <c r="J81" s="1">
        <v>1</v>
      </c>
      <c r="K81" s="1" t="s">
        <v>1032</v>
      </c>
    </row>
    <row r="82" spans="1:11" x14ac:dyDescent="0.25">
      <c r="A82" s="1" t="s">
        <v>1223</v>
      </c>
      <c r="B82" s="1" t="s">
        <v>1224</v>
      </c>
      <c r="C82" s="1" t="s">
        <v>1216</v>
      </c>
      <c r="D82" s="1" t="s">
        <v>1177</v>
      </c>
      <c r="E82" s="1">
        <v>402500</v>
      </c>
      <c r="F82" s="78">
        <v>45882</v>
      </c>
      <c r="G82" s="1" t="s">
        <v>1085</v>
      </c>
      <c r="H82" s="1" t="s">
        <v>1086</v>
      </c>
      <c r="I82" s="1" t="s">
        <v>1087</v>
      </c>
      <c r="J82" s="1">
        <v>1</v>
      </c>
      <c r="K82" s="1" t="s">
        <v>1032</v>
      </c>
    </row>
    <row r="83" spans="1:11" x14ac:dyDescent="0.25">
      <c r="A83" s="1" t="s">
        <v>1225</v>
      </c>
      <c r="B83" s="1" t="s">
        <v>1226</v>
      </c>
      <c r="C83" s="1" t="s">
        <v>1216</v>
      </c>
      <c r="D83" s="1" t="s">
        <v>1177</v>
      </c>
      <c r="E83" s="1">
        <v>402500</v>
      </c>
      <c r="F83" s="78">
        <v>45882</v>
      </c>
      <c r="G83" s="1" t="s">
        <v>1085</v>
      </c>
      <c r="H83" s="1" t="s">
        <v>1086</v>
      </c>
      <c r="I83" s="1" t="s">
        <v>1087</v>
      </c>
      <c r="J83" s="1">
        <v>1</v>
      </c>
      <c r="K83" s="1" t="s">
        <v>1032</v>
      </c>
    </row>
    <row r="84" spans="1:11" x14ac:dyDescent="0.25">
      <c r="A84" s="1" t="s">
        <v>1227</v>
      </c>
      <c r="B84" s="1" t="s">
        <v>1228</v>
      </c>
      <c r="C84" s="1" t="s">
        <v>1229</v>
      </c>
      <c r="D84" s="1" t="s">
        <v>1084</v>
      </c>
      <c r="E84" s="1">
        <v>40250</v>
      </c>
      <c r="F84" s="78">
        <v>45882</v>
      </c>
      <c r="G84" s="1" t="s">
        <v>1085</v>
      </c>
      <c r="H84" s="1" t="s">
        <v>1086</v>
      </c>
      <c r="I84" s="1" t="s">
        <v>1087</v>
      </c>
      <c r="J84" s="1">
        <v>1</v>
      </c>
      <c r="K84" s="1" t="s">
        <v>1023</v>
      </c>
    </row>
    <row r="85" spans="1:11" x14ac:dyDescent="0.25">
      <c r="A85" s="1" t="s">
        <v>1230</v>
      </c>
      <c r="B85" s="1" t="s">
        <v>1231</v>
      </c>
      <c r="C85" s="1" t="s">
        <v>1229</v>
      </c>
      <c r="D85" s="1" t="s">
        <v>1084</v>
      </c>
      <c r="E85" s="1">
        <v>4750</v>
      </c>
      <c r="F85" s="78">
        <v>45882</v>
      </c>
      <c r="G85" s="1" t="s">
        <v>1085</v>
      </c>
      <c r="H85" s="1" t="s">
        <v>1086</v>
      </c>
      <c r="I85" s="1" t="s">
        <v>1087</v>
      </c>
      <c r="J85" s="1">
        <v>1</v>
      </c>
      <c r="K85" s="1" t="s">
        <v>1023</v>
      </c>
    </row>
    <row r="86" spans="1:11" x14ac:dyDescent="0.25">
      <c r="A86" s="1" t="s">
        <v>1232</v>
      </c>
      <c r="B86" s="1" t="s">
        <v>1233</v>
      </c>
      <c r="C86" s="1" t="s">
        <v>1229</v>
      </c>
      <c r="D86" s="1" t="s">
        <v>1084</v>
      </c>
      <c r="E86" s="1">
        <v>40250</v>
      </c>
      <c r="F86" s="78">
        <v>45882</v>
      </c>
      <c r="G86" s="1" t="s">
        <v>1085</v>
      </c>
      <c r="H86" s="1" t="s">
        <v>1086</v>
      </c>
      <c r="I86" s="1" t="s">
        <v>1087</v>
      </c>
      <c r="J86" s="1">
        <v>1</v>
      </c>
      <c r="K86" s="1" t="s">
        <v>1023</v>
      </c>
    </row>
    <row r="87" spans="1:11" x14ac:dyDescent="0.25">
      <c r="A87" s="1" t="s">
        <v>1234</v>
      </c>
      <c r="B87" s="1" t="s">
        <v>1235</v>
      </c>
      <c r="C87" s="1" t="s">
        <v>1229</v>
      </c>
      <c r="D87" s="1" t="s">
        <v>1084</v>
      </c>
      <c r="E87" s="1">
        <v>4750</v>
      </c>
      <c r="F87" s="78">
        <v>45882</v>
      </c>
      <c r="G87" s="1" t="s">
        <v>1085</v>
      </c>
      <c r="H87" s="1" t="s">
        <v>1086</v>
      </c>
      <c r="I87" s="1" t="s">
        <v>1087</v>
      </c>
      <c r="J87" s="1">
        <v>1</v>
      </c>
      <c r="K87" s="1" t="s">
        <v>1023</v>
      </c>
    </row>
    <row r="88" spans="1:11" x14ac:dyDescent="0.25">
      <c r="A88" s="1" t="s">
        <v>1236</v>
      </c>
      <c r="B88" s="1" t="s">
        <v>1237</v>
      </c>
      <c r="C88" s="1" t="s">
        <v>1229</v>
      </c>
      <c r="D88" s="1" t="s">
        <v>1084</v>
      </c>
      <c r="E88" s="1">
        <v>10350</v>
      </c>
      <c r="F88" s="78">
        <v>45882</v>
      </c>
      <c r="G88" s="1" t="s">
        <v>1085</v>
      </c>
      <c r="H88" s="1" t="s">
        <v>1086</v>
      </c>
      <c r="I88" s="1" t="s">
        <v>1087</v>
      </c>
      <c r="J88" s="1">
        <v>1</v>
      </c>
      <c r="K88" s="1" t="s">
        <v>1023</v>
      </c>
    </row>
    <row r="89" spans="1:11" x14ac:dyDescent="0.25">
      <c r="A89" s="1" t="s">
        <v>1238</v>
      </c>
      <c r="B89" s="1" t="s">
        <v>1239</v>
      </c>
      <c r="C89" s="1" t="s">
        <v>1229</v>
      </c>
      <c r="D89" s="1" t="s">
        <v>1084</v>
      </c>
      <c r="E89" s="1">
        <v>13800</v>
      </c>
      <c r="F89" s="78">
        <v>45882</v>
      </c>
      <c r="G89" s="1" t="s">
        <v>1085</v>
      </c>
      <c r="H89" s="1" t="s">
        <v>1086</v>
      </c>
      <c r="I89" s="1" t="s">
        <v>1087</v>
      </c>
      <c r="J89" s="1">
        <v>1</v>
      </c>
      <c r="K89" s="1" t="s">
        <v>1023</v>
      </c>
    </row>
    <row r="90" spans="1:11" x14ac:dyDescent="0.25">
      <c r="A90" s="1" t="s">
        <v>1240</v>
      </c>
      <c r="B90" s="1" t="s">
        <v>1241</v>
      </c>
      <c r="C90" s="1" t="s">
        <v>1229</v>
      </c>
      <c r="D90" s="1" t="s">
        <v>1084</v>
      </c>
      <c r="E90" s="1">
        <v>20700</v>
      </c>
      <c r="F90" s="78">
        <v>45882</v>
      </c>
      <c r="G90" s="1" t="s">
        <v>1085</v>
      </c>
      <c r="H90" s="1" t="s">
        <v>1086</v>
      </c>
      <c r="I90" s="1" t="s">
        <v>1087</v>
      </c>
      <c r="J90" s="1">
        <v>1</v>
      </c>
      <c r="K90" s="1" t="s">
        <v>1023</v>
      </c>
    </row>
    <row r="91" spans="1:11" x14ac:dyDescent="0.25">
      <c r="A91" s="1" t="s">
        <v>1242</v>
      </c>
      <c r="B91" s="1" t="s">
        <v>1243</v>
      </c>
      <c r="C91" s="1" t="s">
        <v>1229</v>
      </c>
      <c r="D91" s="1" t="s">
        <v>1084</v>
      </c>
      <c r="E91" s="1">
        <v>34500</v>
      </c>
      <c r="F91" s="78">
        <v>45882</v>
      </c>
      <c r="G91" s="1" t="s">
        <v>1085</v>
      </c>
      <c r="H91" s="1" t="s">
        <v>1086</v>
      </c>
      <c r="I91" s="1" t="s">
        <v>1087</v>
      </c>
      <c r="J91" s="1">
        <v>1</v>
      </c>
      <c r="K91" s="1" t="s">
        <v>1023</v>
      </c>
    </row>
    <row r="92" spans="1:11" x14ac:dyDescent="0.25">
      <c r="A92" s="1" t="s">
        <v>1244</v>
      </c>
      <c r="B92" s="1" t="s">
        <v>1245</v>
      </c>
      <c r="C92" s="1" t="s">
        <v>1229</v>
      </c>
      <c r="D92" s="1" t="s">
        <v>1084</v>
      </c>
      <c r="E92" s="1">
        <v>18400</v>
      </c>
      <c r="F92" s="78">
        <v>45882</v>
      </c>
      <c r="G92" s="1" t="s">
        <v>1085</v>
      </c>
      <c r="H92" s="1" t="s">
        <v>1086</v>
      </c>
      <c r="I92" s="1" t="s">
        <v>1087</v>
      </c>
      <c r="J92" s="1">
        <v>1</v>
      </c>
      <c r="K92" s="1" t="s">
        <v>1023</v>
      </c>
    </row>
    <row r="93" spans="1:11" x14ac:dyDescent="0.25">
      <c r="A93" s="1" t="s">
        <v>1246</v>
      </c>
      <c r="B93" s="1" t="s">
        <v>1247</v>
      </c>
      <c r="C93" s="1" t="s">
        <v>1229</v>
      </c>
      <c r="D93" s="1" t="s">
        <v>1084</v>
      </c>
      <c r="E93" s="1">
        <v>20700</v>
      </c>
      <c r="F93" s="78">
        <v>45882</v>
      </c>
      <c r="G93" s="1" t="s">
        <v>1085</v>
      </c>
      <c r="H93" s="1" t="s">
        <v>1086</v>
      </c>
      <c r="I93" s="1" t="s">
        <v>1087</v>
      </c>
      <c r="J93" s="1">
        <v>1</v>
      </c>
      <c r="K93" s="1" t="s">
        <v>1023</v>
      </c>
    </row>
    <row r="94" spans="1:11" x14ac:dyDescent="0.25">
      <c r="A94" s="1" t="s">
        <v>1248</v>
      </c>
      <c r="B94" s="1" t="s">
        <v>1249</v>
      </c>
      <c r="C94" s="1" t="s">
        <v>1229</v>
      </c>
      <c r="D94" s="1" t="s">
        <v>1084</v>
      </c>
      <c r="E94" s="1">
        <v>6900</v>
      </c>
      <c r="F94" s="78">
        <v>45882</v>
      </c>
      <c r="G94" s="1" t="s">
        <v>1085</v>
      </c>
      <c r="H94" s="1" t="s">
        <v>1086</v>
      </c>
      <c r="I94" s="1" t="s">
        <v>1087</v>
      </c>
      <c r="J94" s="1">
        <v>1</v>
      </c>
      <c r="K94" s="1" t="s">
        <v>1023</v>
      </c>
    </row>
    <row r="95" spans="1:11" x14ac:dyDescent="0.25">
      <c r="A95" s="1" t="s">
        <v>1250</v>
      </c>
      <c r="B95" s="1" t="s">
        <v>1251</v>
      </c>
      <c r="C95" s="1" t="s">
        <v>1229</v>
      </c>
      <c r="D95" s="1" t="s">
        <v>1084</v>
      </c>
      <c r="E95" s="1">
        <v>67275</v>
      </c>
      <c r="F95" s="78">
        <v>45882</v>
      </c>
      <c r="G95" s="1" t="s">
        <v>1085</v>
      </c>
      <c r="H95" s="1" t="s">
        <v>1086</v>
      </c>
      <c r="I95" s="1" t="s">
        <v>1087</v>
      </c>
      <c r="J95" s="1">
        <v>1</v>
      </c>
      <c r="K95" s="1" t="s">
        <v>1023</v>
      </c>
    </row>
    <row r="96" spans="1:11" x14ac:dyDescent="0.25">
      <c r="A96" s="1" t="s">
        <v>1252</v>
      </c>
      <c r="B96" s="1" t="s">
        <v>1253</v>
      </c>
      <c r="C96" s="1" t="s">
        <v>1229</v>
      </c>
      <c r="D96" s="1" t="s">
        <v>1084</v>
      </c>
      <c r="E96" s="1">
        <v>43125</v>
      </c>
      <c r="F96" s="78">
        <v>45882</v>
      </c>
      <c r="G96" s="1" t="s">
        <v>1085</v>
      </c>
      <c r="H96" s="1" t="s">
        <v>1086</v>
      </c>
      <c r="I96" s="1" t="s">
        <v>1087</v>
      </c>
      <c r="J96" s="1">
        <v>1</v>
      </c>
      <c r="K96" s="1" t="s">
        <v>1023</v>
      </c>
    </row>
    <row r="97" spans="1:11" x14ac:dyDescent="0.25">
      <c r="A97" s="1" t="s">
        <v>1254</v>
      </c>
      <c r="B97" s="1" t="s">
        <v>1255</v>
      </c>
      <c r="C97" s="1" t="s">
        <v>1229</v>
      </c>
      <c r="D97" s="1" t="s">
        <v>1084</v>
      </c>
      <c r="E97" s="1">
        <v>8050</v>
      </c>
      <c r="F97" s="78">
        <v>45882</v>
      </c>
      <c r="G97" s="1" t="s">
        <v>1085</v>
      </c>
      <c r="H97" s="1" t="s">
        <v>1086</v>
      </c>
      <c r="I97" s="1" t="s">
        <v>1087</v>
      </c>
      <c r="J97" s="1">
        <v>1</v>
      </c>
      <c r="K97" s="1" t="s">
        <v>1023</v>
      </c>
    </row>
    <row r="98" spans="1:11" x14ac:dyDescent="0.25">
      <c r="A98" s="1" t="s">
        <v>1256</v>
      </c>
      <c r="B98" s="1" t="s">
        <v>1257</v>
      </c>
      <c r="C98" s="1" t="s">
        <v>1229</v>
      </c>
      <c r="D98" s="1" t="s">
        <v>1084</v>
      </c>
      <c r="E98" s="1">
        <v>8050</v>
      </c>
      <c r="F98" s="78">
        <v>45882</v>
      </c>
      <c r="G98" s="1" t="s">
        <v>1085</v>
      </c>
      <c r="H98" s="1" t="s">
        <v>1086</v>
      </c>
      <c r="I98" s="1" t="s">
        <v>1087</v>
      </c>
      <c r="J98" s="1">
        <v>1</v>
      </c>
      <c r="K98" s="1" t="s">
        <v>1023</v>
      </c>
    </row>
    <row r="99" spans="1:11" x14ac:dyDescent="0.25">
      <c r="A99" s="1" t="s">
        <v>1258</v>
      </c>
      <c r="B99" s="1" t="s">
        <v>1259</v>
      </c>
      <c r="C99" s="1" t="s">
        <v>1229</v>
      </c>
      <c r="D99" s="1" t="s">
        <v>1084</v>
      </c>
      <c r="E99" s="1">
        <v>10350</v>
      </c>
      <c r="F99" s="78">
        <v>45882</v>
      </c>
      <c r="G99" s="1" t="s">
        <v>1085</v>
      </c>
      <c r="H99" s="1" t="s">
        <v>1086</v>
      </c>
      <c r="I99" s="1" t="s">
        <v>1087</v>
      </c>
      <c r="J99" s="1">
        <v>1</v>
      </c>
      <c r="K99" s="1" t="s">
        <v>1023</v>
      </c>
    </row>
    <row r="100" spans="1:11" x14ac:dyDescent="0.25">
      <c r="A100" s="1" t="s">
        <v>1260</v>
      </c>
      <c r="B100" s="1" t="s">
        <v>1261</v>
      </c>
      <c r="C100" s="1" t="s">
        <v>1229</v>
      </c>
      <c r="D100" s="1" t="s">
        <v>1084</v>
      </c>
      <c r="E100" s="1">
        <v>46000</v>
      </c>
      <c r="F100" s="78">
        <v>45882</v>
      </c>
      <c r="G100" s="1" t="s">
        <v>1085</v>
      </c>
      <c r="H100" s="1" t="s">
        <v>1086</v>
      </c>
      <c r="I100" s="1" t="s">
        <v>1087</v>
      </c>
      <c r="J100" s="1">
        <v>1</v>
      </c>
      <c r="K100" s="1" t="s">
        <v>1023</v>
      </c>
    </row>
    <row r="101" spans="1:11" x14ac:dyDescent="0.25">
      <c r="A101" s="1" t="s">
        <v>1262</v>
      </c>
      <c r="B101" s="1" t="s">
        <v>1263</v>
      </c>
      <c r="C101" s="1" t="s">
        <v>1229</v>
      </c>
      <c r="D101" s="1" t="s">
        <v>1084</v>
      </c>
      <c r="E101" s="1">
        <v>4197500</v>
      </c>
      <c r="F101" s="78">
        <v>45882</v>
      </c>
      <c r="G101" s="1" t="s">
        <v>1085</v>
      </c>
      <c r="H101" s="1" t="s">
        <v>1086</v>
      </c>
      <c r="I101" s="1" t="s">
        <v>1087</v>
      </c>
      <c r="J101" s="1">
        <v>1</v>
      </c>
      <c r="K101" s="1" t="s">
        <v>1023</v>
      </c>
    </row>
    <row r="102" spans="1:11" x14ac:dyDescent="0.25">
      <c r="A102" s="1" t="s">
        <v>1264</v>
      </c>
      <c r="B102" s="1" t="s">
        <v>1265</v>
      </c>
      <c r="C102" s="1" t="s">
        <v>1229</v>
      </c>
      <c r="D102" s="1" t="s">
        <v>1084</v>
      </c>
      <c r="E102" s="1">
        <v>5750</v>
      </c>
      <c r="F102" s="78">
        <v>45882</v>
      </c>
      <c r="G102" s="1" t="s">
        <v>1085</v>
      </c>
      <c r="H102" s="1" t="s">
        <v>1086</v>
      </c>
      <c r="I102" s="1" t="s">
        <v>1087</v>
      </c>
      <c r="J102" s="1">
        <v>1</v>
      </c>
      <c r="K102" s="1" t="s">
        <v>1023</v>
      </c>
    </row>
    <row r="103" spans="1:11" x14ac:dyDescent="0.25">
      <c r="A103" s="1" t="s">
        <v>1266</v>
      </c>
      <c r="B103" s="1" t="s">
        <v>1267</v>
      </c>
      <c r="C103" s="1" t="s">
        <v>1229</v>
      </c>
      <c r="D103" s="1" t="s">
        <v>1084</v>
      </c>
      <c r="E103" s="1">
        <v>8050</v>
      </c>
      <c r="F103" s="78">
        <v>45882</v>
      </c>
      <c r="G103" s="1" t="s">
        <v>1085</v>
      </c>
      <c r="H103" s="1" t="s">
        <v>1086</v>
      </c>
      <c r="I103" s="1" t="s">
        <v>1087</v>
      </c>
      <c r="J103" s="1">
        <v>1</v>
      </c>
      <c r="K103" s="1" t="s">
        <v>1023</v>
      </c>
    </row>
    <row r="104" spans="1:11" x14ac:dyDescent="0.25">
      <c r="A104" s="1" t="s">
        <v>1268</v>
      </c>
      <c r="B104" s="1" t="s">
        <v>1269</v>
      </c>
      <c r="C104" s="1" t="s">
        <v>1229</v>
      </c>
      <c r="D104" s="1" t="s">
        <v>1084</v>
      </c>
      <c r="E104" s="1">
        <v>5750</v>
      </c>
      <c r="F104" s="78">
        <v>45882</v>
      </c>
      <c r="G104" s="1" t="s">
        <v>1085</v>
      </c>
      <c r="H104" s="1" t="s">
        <v>1086</v>
      </c>
      <c r="I104" s="1" t="s">
        <v>1087</v>
      </c>
      <c r="J104" s="1">
        <v>1</v>
      </c>
      <c r="K104" s="1" t="s">
        <v>1023</v>
      </c>
    </row>
    <row r="105" spans="1:11" x14ac:dyDescent="0.25">
      <c r="A105" s="1" t="s">
        <v>1270</v>
      </c>
      <c r="B105" s="1" t="s">
        <v>1271</v>
      </c>
      <c r="C105" s="1" t="s">
        <v>1229</v>
      </c>
      <c r="D105" s="1" t="s">
        <v>1084</v>
      </c>
      <c r="E105" s="1">
        <v>5750</v>
      </c>
      <c r="F105" s="78">
        <v>45882</v>
      </c>
      <c r="G105" s="1" t="s">
        <v>1085</v>
      </c>
      <c r="H105" s="1" t="s">
        <v>1086</v>
      </c>
      <c r="I105" s="1" t="s">
        <v>1087</v>
      </c>
      <c r="J105" s="1">
        <v>1</v>
      </c>
      <c r="K105" s="1" t="s">
        <v>1023</v>
      </c>
    </row>
    <row r="106" spans="1:11" x14ac:dyDescent="0.25">
      <c r="A106" s="1" t="s">
        <v>1272</v>
      </c>
      <c r="B106" s="1" t="s">
        <v>1273</v>
      </c>
      <c r="C106" s="1" t="s">
        <v>1229</v>
      </c>
      <c r="D106" s="1" t="s">
        <v>1084</v>
      </c>
      <c r="E106" s="1">
        <v>5750</v>
      </c>
      <c r="F106" s="78">
        <v>45882</v>
      </c>
      <c r="G106" s="1" t="s">
        <v>1085</v>
      </c>
      <c r="H106" s="1" t="s">
        <v>1086</v>
      </c>
      <c r="I106" s="1" t="s">
        <v>1087</v>
      </c>
      <c r="J106" s="1">
        <v>1</v>
      </c>
      <c r="K106" s="1" t="s">
        <v>1023</v>
      </c>
    </row>
    <row r="107" spans="1:11" x14ac:dyDescent="0.25">
      <c r="A107" s="1" t="s">
        <v>1274</v>
      </c>
      <c r="B107" s="1" t="s">
        <v>1275</v>
      </c>
      <c r="C107" s="1" t="s">
        <v>1229</v>
      </c>
      <c r="D107" s="1" t="s">
        <v>1084</v>
      </c>
      <c r="E107" s="1">
        <v>8050</v>
      </c>
      <c r="F107" s="78">
        <v>45882</v>
      </c>
      <c r="G107" s="1" t="s">
        <v>1085</v>
      </c>
      <c r="H107" s="1" t="s">
        <v>1086</v>
      </c>
      <c r="I107" s="1" t="s">
        <v>1087</v>
      </c>
      <c r="J107" s="1">
        <v>1</v>
      </c>
      <c r="K107" s="1" t="s">
        <v>1023</v>
      </c>
    </row>
    <row r="108" spans="1:11" x14ac:dyDescent="0.25">
      <c r="A108" s="1" t="s">
        <v>1276</v>
      </c>
      <c r="B108" s="1" t="s">
        <v>1277</v>
      </c>
      <c r="C108" s="1" t="s">
        <v>1278</v>
      </c>
      <c r="D108" s="1" t="s">
        <v>1084</v>
      </c>
      <c r="E108" s="1">
        <v>2300000</v>
      </c>
      <c r="F108" s="78">
        <v>45882</v>
      </c>
      <c r="G108" s="1" t="s">
        <v>1085</v>
      </c>
      <c r="H108" s="1" t="s">
        <v>1086</v>
      </c>
      <c r="I108" s="1" t="s">
        <v>1087</v>
      </c>
      <c r="J108" s="1">
        <v>1</v>
      </c>
      <c r="K108" s="1" t="s">
        <v>1020</v>
      </c>
    </row>
    <row r="109" spans="1:11" x14ac:dyDescent="0.25">
      <c r="A109" s="1" t="s">
        <v>1279</v>
      </c>
      <c r="B109" s="1" t="s">
        <v>1280</v>
      </c>
      <c r="C109" s="1" t="s">
        <v>1278</v>
      </c>
      <c r="D109" s="1" t="s">
        <v>1084</v>
      </c>
      <c r="E109" s="1">
        <v>345000</v>
      </c>
      <c r="F109" s="78">
        <v>45882</v>
      </c>
      <c r="G109" s="1" t="s">
        <v>1085</v>
      </c>
      <c r="H109" s="1" t="s">
        <v>1086</v>
      </c>
      <c r="I109" s="1" t="s">
        <v>1087</v>
      </c>
      <c r="J109" s="1">
        <v>1</v>
      </c>
      <c r="K109" s="1" t="s">
        <v>1020</v>
      </c>
    </row>
    <row r="110" spans="1:11" x14ac:dyDescent="0.25">
      <c r="A110" s="1" t="s">
        <v>1281</v>
      </c>
      <c r="B110" s="1" t="s">
        <v>1282</v>
      </c>
      <c r="C110" s="1" t="s">
        <v>1278</v>
      </c>
      <c r="D110" s="1" t="s">
        <v>1084</v>
      </c>
      <c r="E110" s="1">
        <v>460000</v>
      </c>
      <c r="F110" s="78">
        <v>45882</v>
      </c>
      <c r="G110" s="1" t="s">
        <v>1085</v>
      </c>
      <c r="H110" s="1" t="s">
        <v>1086</v>
      </c>
      <c r="I110" s="1" t="s">
        <v>1087</v>
      </c>
      <c r="J110" s="1">
        <v>1</v>
      </c>
      <c r="K110" s="1" t="s">
        <v>1020</v>
      </c>
    </row>
    <row r="111" spans="1:11" x14ac:dyDescent="0.25">
      <c r="A111" s="1" t="s">
        <v>1283</v>
      </c>
      <c r="B111" s="1" t="s">
        <v>1284</v>
      </c>
      <c r="C111" s="1" t="s">
        <v>1278</v>
      </c>
      <c r="D111" s="1" t="s">
        <v>1084</v>
      </c>
      <c r="E111" s="1">
        <v>575000</v>
      </c>
      <c r="F111" s="78">
        <v>45882</v>
      </c>
      <c r="G111" s="1" t="s">
        <v>1085</v>
      </c>
      <c r="H111" s="1" t="s">
        <v>1086</v>
      </c>
      <c r="I111" s="1" t="s">
        <v>1087</v>
      </c>
      <c r="J111" s="1">
        <v>1</v>
      </c>
      <c r="K111" s="1" t="s">
        <v>1020</v>
      </c>
    </row>
    <row r="112" spans="1:11" x14ac:dyDescent="0.25">
      <c r="A112" s="1" t="s">
        <v>1285</v>
      </c>
      <c r="B112" s="1" t="s">
        <v>1286</v>
      </c>
      <c r="C112" s="1" t="s">
        <v>1278</v>
      </c>
      <c r="D112" s="1" t="s">
        <v>1084</v>
      </c>
      <c r="E112" s="1">
        <v>690000</v>
      </c>
      <c r="F112" s="78">
        <v>45882</v>
      </c>
      <c r="G112" s="1" t="s">
        <v>1085</v>
      </c>
      <c r="H112" s="1" t="s">
        <v>1086</v>
      </c>
      <c r="I112" s="1" t="s">
        <v>1087</v>
      </c>
      <c r="J112" s="1">
        <v>1</v>
      </c>
      <c r="K112" s="1" t="s">
        <v>1020</v>
      </c>
    </row>
    <row r="113" spans="1:11" x14ac:dyDescent="0.25">
      <c r="A113" s="1" t="s">
        <v>1287</v>
      </c>
      <c r="B113" s="1" t="s">
        <v>1288</v>
      </c>
      <c r="C113" s="1" t="s">
        <v>1278</v>
      </c>
      <c r="D113" s="1" t="s">
        <v>1084</v>
      </c>
      <c r="E113" s="1">
        <v>126500</v>
      </c>
      <c r="F113" s="78">
        <v>45882</v>
      </c>
      <c r="G113" s="1" t="s">
        <v>1085</v>
      </c>
      <c r="H113" s="1" t="s">
        <v>1086</v>
      </c>
      <c r="I113" s="1" t="s">
        <v>1087</v>
      </c>
      <c r="J113" s="1">
        <v>1</v>
      </c>
      <c r="K113" s="1" t="s">
        <v>1020</v>
      </c>
    </row>
    <row r="114" spans="1:11" x14ac:dyDescent="0.25">
      <c r="A114" s="1" t="s">
        <v>1289</v>
      </c>
      <c r="B114" s="1" t="s">
        <v>1290</v>
      </c>
      <c r="C114" s="1" t="s">
        <v>1278</v>
      </c>
      <c r="D114" s="1" t="s">
        <v>1084</v>
      </c>
      <c r="E114" s="1">
        <v>1035000</v>
      </c>
      <c r="F114" s="78">
        <v>45882</v>
      </c>
      <c r="G114" s="1" t="s">
        <v>1085</v>
      </c>
      <c r="H114" s="1" t="s">
        <v>1086</v>
      </c>
      <c r="I114" s="1" t="s">
        <v>1087</v>
      </c>
      <c r="J114" s="1">
        <v>1</v>
      </c>
      <c r="K114" s="1" t="s">
        <v>1020</v>
      </c>
    </row>
    <row r="115" spans="1:11" x14ac:dyDescent="0.25">
      <c r="A115" s="1" t="s">
        <v>1291</v>
      </c>
      <c r="B115" s="1" t="s">
        <v>1292</v>
      </c>
      <c r="C115" s="1" t="s">
        <v>1278</v>
      </c>
      <c r="D115" s="1" t="s">
        <v>1084</v>
      </c>
      <c r="E115" s="1">
        <v>1265000</v>
      </c>
      <c r="F115" s="78">
        <v>45882</v>
      </c>
      <c r="G115" s="1" t="s">
        <v>1085</v>
      </c>
      <c r="H115" s="1" t="s">
        <v>1086</v>
      </c>
      <c r="I115" s="1" t="s">
        <v>1087</v>
      </c>
      <c r="J115" s="1">
        <v>1</v>
      </c>
      <c r="K115" s="1" t="s">
        <v>1020</v>
      </c>
    </row>
    <row r="116" spans="1:11" x14ac:dyDescent="0.25">
      <c r="A116" s="1" t="s">
        <v>1293</v>
      </c>
      <c r="B116" s="1" t="s">
        <v>1294</v>
      </c>
      <c r="C116" s="1" t="s">
        <v>1278</v>
      </c>
      <c r="D116" s="1" t="s">
        <v>1084</v>
      </c>
      <c r="E116" s="1">
        <v>1437500</v>
      </c>
      <c r="F116" s="78">
        <v>45882</v>
      </c>
      <c r="G116" s="1" t="s">
        <v>1085</v>
      </c>
      <c r="H116" s="1" t="s">
        <v>1086</v>
      </c>
      <c r="I116" s="1" t="s">
        <v>1087</v>
      </c>
      <c r="J116" s="1">
        <v>1</v>
      </c>
      <c r="K116" s="1" t="s">
        <v>1020</v>
      </c>
    </row>
    <row r="117" spans="1:11" x14ac:dyDescent="0.25">
      <c r="A117" s="1" t="s">
        <v>1295</v>
      </c>
      <c r="B117" s="1" t="s">
        <v>1296</v>
      </c>
      <c r="C117" s="1" t="s">
        <v>1278</v>
      </c>
      <c r="D117" s="1" t="s">
        <v>1084</v>
      </c>
      <c r="E117" s="1">
        <v>13800000</v>
      </c>
      <c r="F117" s="78">
        <v>45882</v>
      </c>
      <c r="G117" s="1" t="s">
        <v>1085</v>
      </c>
      <c r="H117" s="1" t="s">
        <v>1086</v>
      </c>
      <c r="I117" s="1" t="s">
        <v>1087</v>
      </c>
      <c r="J117" s="1">
        <v>1</v>
      </c>
      <c r="K117" s="1" t="s">
        <v>1020</v>
      </c>
    </row>
    <row r="118" spans="1:11" x14ac:dyDescent="0.25">
      <c r="A118" s="1" t="s">
        <v>1297</v>
      </c>
      <c r="B118" s="1" t="s">
        <v>1298</v>
      </c>
      <c r="C118" s="1" t="s">
        <v>1278</v>
      </c>
      <c r="D118" s="1" t="s">
        <v>1084</v>
      </c>
      <c r="E118" s="1">
        <v>80500</v>
      </c>
      <c r="F118" s="78">
        <v>45882</v>
      </c>
      <c r="G118" s="1" t="s">
        <v>1085</v>
      </c>
      <c r="H118" s="1" t="s">
        <v>1086</v>
      </c>
      <c r="I118" s="1" t="s">
        <v>1087</v>
      </c>
      <c r="J118" s="1">
        <v>1</v>
      </c>
      <c r="K118" s="1" t="s">
        <v>1020</v>
      </c>
    </row>
    <row r="119" spans="1:11" x14ac:dyDescent="0.25">
      <c r="A119" s="1" t="s">
        <v>1299</v>
      </c>
      <c r="B119" s="1" t="s">
        <v>1300</v>
      </c>
      <c r="C119" s="1" t="s">
        <v>1278</v>
      </c>
      <c r="D119" s="1" t="s">
        <v>1084</v>
      </c>
      <c r="E119" s="1">
        <v>97750</v>
      </c>
      <c r="F119" s="78">
        <v>45882</v>
      </c>
      <c r="G119" s="1" t="s">
        <v>1085</v>
      </c>
      <c r="H119" s="1" t="s">
        <v>1086</v>
      </c>
      <c r="I119" s="1" t="s">
        <v>1087</v>
      </c>
      <c r="J119" s="1">
        <v>1</v>
      </c>
      <c r="K119" s="1" t="s">
        <v>1020</v>
      </c>
    </row>
    <row r="120" spans="1:11" x14ac:dyDescent="0.25">
      <c r="A120" s="1" t="s">
        <v>1301</v>
      </c>
      <c r="B120" s="1" t="s">
        <v>1302</v>
      </c>
      <c r="C120" s="1" t="s">
        <v>1278</v>
      </c>
      <c r="D120" s="1" t="s">
        <v>1084</v>
      </c>
      <c r="E120" s="1">
        <v>138000</v>
      </c>
      <c r="F120" s="78">
        <v>45882</v>
      </c>
      <c r="G120" s="1" t="s">
        <v>1085</v>
      </c>
      <c r="H120" s="1" t="s">
        <v>1086</v>
      </c>
      <c r="I120" s="1" t="s">
        <v>1087</v>
      </c>
      <c r="J120" s="1">
        <v>1</v>
      </c>
      <c r="K120" s="1" t="s">
        <v>1020</v>
      </c>
    </row>
    <row r="121" spans="1:11" x14ac:dyDescent="0.25">
      <c r="A121" s="1" t="s">
        <v>1303</v>
      </c>
      <c r="B121" s="1" t="s">
        <v>1304</v>
      </c>
      <c r="C121" s="1" t="s">
        <v>1305</v>
      </c>
      <c r="D121" s="1" t="s">
        <v>1084</v>
      </c>
      <c r="E121" s="1">
        <v>86250</v>
      </c>
      <c r="F121" s="78">
        <v>45882</v>
      </c>
      <c r="G121" s="1" t="s">
        <v>1085</v>
      </c>
      <c r="H121" s="1" t="s">
        <v>1086</v>
      </c>
      <c r="I121" s="1" t="s">
        <v>1087</v>
      </c>
      <c r="J121" s="1">
        <v>1</v>
      </c>
      <c r="K121" s="1" t="s">
        <v>1017</v>
      </c>
    </row>
    <row r="122" spans="1:11" x14ac:dyDescent="0.25">
      <c r="A122" s="1" t="s">
        <v>1306</v>
      </c>
      <c r="B122" s="1" t="s">
        <v>1307</v>
      </c>
      <c r="C122" s="1" t="s">
        <v>1305</v>
      </c>
      <c r="D122" s="1" t="s">
        <v>1084</v>
      </c>
      <c r="E122" s="1">
        <v>86250</v>
      </c>
      <c r="F122" s="78">
        <v>45882</v>
      </c>
      <c r="G122" s="1" t="s">
        <v>1085</v>
      </c>
      <c r="H122" s="1" t="s">
        <v>1086</v>
      </c>
      <c r="I122" s="1" t="s">
        <v>1087</v>
      </c>
      <c r="J122" s="1">
        <v>1</v>
      </c>
      <c r="K122" s="1" t="s">
        <v>1017</v>
      </c>
    </row>
    <row r="123" spans="1:11" x14ac:dyDescent="0.25">
      <c r="A123" s="1" t="s">
        <v>1308</v>
      </c>
      <c r="B123" s="1" t="s">
        <v>1309</v>
      </c>
      <c r="C123" s="1" t="s">
        <v>1305</v>
      </c>
      <c r="D123" s="1" t="s">
        <v>1084</v>
      </c>
      <c r="E123" s="1">
        <v>172500</v>
      </c>
      <c r="F123" s="78">
        <v>45882</v>
      </c>
      <c r="G123" s="1" t="s">
        <v>1085</v>
      </c>
      <c r="H123" s="1" t="s">
        <v>1086</v>
      </c>
      <c r="I123" s="1" t="s">
        <v>1087</v>
      </c>
      <c r="J123" s="1">
        <v>1</v>
      </c>
      <c r="K123" s="1" t="s">
        <v>1017</v>
      </c>
    </row>
    <row r="124" spans="1:11" x14ac:dyDescent="0.25">
      <c r="A124" s="1" t="s">
        <v>1310</v>
      </c>
      <c r="B124" s="1" t="s">
        <v>1311</v>
      </c>
      <c r="C124" s="1" t="s">
        <v>1305</v>
      </c>
      <c r="D124" s="1" t="s">
        <v>1084</v>
      </c>
      <c r="E124" s="1">
        <v>12650</v>
      </c>
      <c r="F124" s="78">
        <v>45882</v>
      </c>
      <c r="G124" s="1" t="s">
        <v>1085</v>
      </c>
      <c r="H124" s="1" t="s">
        <v>1086</v>
      </c>
      <c r="I124" s="1" t="s">
        <v>1087</v>
      </c>
      <c r="J124" s="1">
        <v>1</v>
      </c>
      <c r="K124" s="1" t="s">
        <v>1017</v>
      </c>
    </row>
    <row r="125" spans="1:11" x14ac:dyDescent="0.25">
      <c r="A125" s="1" t="s">
        <v>1312</v>
      </c>
      <c r="B125" s="1" t="s">
        <v>1313</v>
      </c>
      <c r="C125" s="1" t="s">
        <v>1305</v>
      </c>
      <c r="D125" s="1" t="s">
        <v>1084</v>
      </c>
      <c r="E125" s="1">
        <v>63250</v>
      </c>
      <c r="F125" s="78">
        <v>45882</v>
      </c>
      <c r="G125" s="1" t="s">
        <v>1085</v>
      </c>
      <c r="H125" s="1" t="s">
        <v>1086</v>
      </c>
      <c r="I125" s="1" t="s">
        <v>1087</v>
      </c>
      <c r="J125" s="1">
        <v>1</v>
      </c>
      <c r="K125" s="1" t="s">
        <v>1017</v>
      </c>
    </row>
    <row r="126" spans="1:11" x14ac:dyDescent="0.25">
      <c r="A126" s="1" t="s">
        <v>1314</v>
      </c>
      <c r="B126" s="1" t="s">
        <v>1315</v>
      </c>
      <c r="C126" s="1" t="s">
        <v>1305</v>
      </c>
      <c r="D126" s="1" t="s">
        <v>1084</v>
      </c>
      <c r="E126" s="1">
        <v>74750</v>
      </c>
      <c r="F126" s="78">
        <v>45882</v>
      </c>
      <c r="G126" s="1" t="s">
        <v>1085</v>
      </c>
      <c r="H126" s="1" t="s">
        <v>1086</v>
      </c>
      <c r="I126" s="1" t="s">
        <v>1087</v>
      </c>
      <c r="J126" s="1">
        <v>1</v>
      </c>
      <c r="K126" s="1" t="s">
        <v>1017</v>
      </c>
    </row>
    <row r="127" spans="1:11" x14ac:dyDescent="0.25">
      <c r="A127" s="1" t="s">
        <v>1316</v>
      </c>
      <c r="B127" s="1" t="s">
        <v>1317</v>
      </c>
      <c r="C127" s="1" t="s">
        <v>1305</v>
      </c>
      <c r="D127" s="1" t="s">
        <v>1084</v>
      </c>
      <c r="E127" s="1">
        <v>1035000</v>
      </c>
      <c r="F127" s="78">
        <v>45882</v>
      </c>
      <c r="G127" s="1" t="s">
        <v>1085</v>
      </c>
      <c r="H127" s="1" t="s">
        <v>1086</v>
      </c>
      <c r="I127" s="1" t="s">
        <v>1087</v>
      </c>
      <c r="J127" s="1">
        <v>1</v>
      </c>
      <c r="K127" s="1" t="s">
        <v>1017</v>
      </c>
    </row>
    <row r="128" spans="1:11" x14ac:dyDescent="0.25">
      <c r="A128" s="1" t="s">
        <v>1318</v>
      </c>
      <c r="B128" s="1" t="s">
        <v>1319</v>
      </c>
      <c r="C128" s="1" t="s">
        <v>1305</v>
      </c>
      <c r="D128" s="1" t="s">
        <v>1084</v>
      </c>
      <c r="E128" s="1">
        <v>575000</v>
      </c>
      <c r="F128" s="78">
        <v>45882</v>
      </c>
      <c r="G128" s="1" t="s">
        <v>1085</v>
      </c>
      <c r="H128" s="1" t="s">
        <v>1086</v>
      </c>
      <c r="I128" s="1" t="s">
        <v>1087</v>
      </c>
      <c r="J128" s="1">
        <v>1</v>
      </c>
      <c r="K128" s="1" t="s">
        <v>1017</v>
      </c>
    </row>
    <row r="129" spans="1:11" x14ac:dyDescent="0.25">
      <c r="A129" s="1" t="s">
        <v>1320</v>
      </c>
      <c r="B129" s="1" t="s">
        <v>1321</v>
      </c>
      <c r="C129" s="1" t="s">
        <v>1305</v>
      </c>
      <c r="D129" s="1" t="s">
        <v>1084</v>
      </c>
      <c r="E129" s="1">
        <v>74750</v>
      </c>
      <c r="F129" s="78">
        <v>45882</v>
      </c>
      <c r="G129" s="1" t="s">
        <v>1085</v>
      </c>
      <c r="H129" s="1" t="s">
        <v>1086</v>
      </c>
      <c r="I129" s="1" t="s">
        <v>1087</v>
      </c>
      <c r="J129" s="1">
        <v>1</v>
      </c>
      <c r="K129" s="1" t="s">
        <v>1017</v>
      </c>
    </row>
    <row r="130" spans="1:11" x14ac:dyDescent="0.25">
      <c r="A130" s="1" t="s">
        <v>1322</v>
      </c>
      <c r="B130" s="1" t="s">
        <v>1323</v>
      </c>
      <c r="C130" s="1" t="s">
        <v>1305</v>
      </c>
      <c r="D130" s="1" t="s">
        <v>1084</v>
      </c>
      <c r="E130" s="1">
        <v>71300</v>
      </c>
      <c r="F130" s="78">
        <v>45882</v>
      </c>
      <c r="G130" s="1" t="s">
        <v>1085</v>
      </c>
      <c r="H130" s="1" t="s">
        <v>1086</v>
      </c>
      <c r="I130" s="1" t="s">
        <v>1087</v>
      </c>
      <c r="J130" s="1">
        <v>1</v>
      </c>
      <c r="K130" s="1" t="s">
        <v>1017</v>
      </c>
    </row>
    <row r="131" spans="1:11" x14ac:dyDescent="0.25">
      <c r="A131" s="1" t="s">
        <v>1324</v>
      </c>
      <c r="B131" s="1" t="s">
        <v>1325</v>
      </c>
      <c r="C131" s="1" t="s">
        <v>1305</v>
      </c>
      <c r="D131" s="1" t="s">
        <v>1084</v>
      </c>
      <c r="E131" s="1">
        <v>120750</v>
      </c>
      <c r="F131" s="78">
        <v>45882</v>
      </c>
      <c r="G131" s="1" t="s">
        <v>1085</v>
      </c>
      <c r="H131" s="1" t="s">
        <v>1086</v>
      </c>
      <c r="I131" s="1" t="s">
        <v>1087</v>
      </c>
      <c r="J131" s="1">
        <v>1</v>
      </c>
      <c r="K131" s="1" t="s">
        <v>1017</v>
      </c>
    </row>
    <row r="132" spans="1:11" x14ac:dyDescent="0.25">
      <c r="A132" s="1" t="s">
        <v>1326</v>
      </c>
      <c r="B132" s="1" t="s">
        <v>1327</v>
      </c>
      <c r="C132" s="1" t="s">
        <v>1305</v>
      </c>
      <c r="D132" s="1" t="s">
        <v>1084</v>
      </c>
      <c r="E132" s="1">
        <v>141450</v>
      </c>
      <c r="F132" s="78">
        <v>45882</v>
      </c>
      <c r="G132" s="1" t="s">
        <v>1085</v>
      </c>
      <c r="H132" s="1" t="s">
        <v>1086</v>
      </c>
      <c r="I132" s="1" t="s">
        <v>1087</v>
      </c>
      <c r="J132" s="1">
        <v>1</v>
      </c>
      <c r="K132" s="1" t="s">
        <v>1017</v>
      </c>
    </row>
    <row r="133" spans="1:11" x14ac:dyDescent="0.25">
      <c r="A133" s="1" t="s">
        <v>1328</v>
      </c>
      <c r="B133" s="1" t="s">
        <v>1329</v>
      </c>
      <c r="C133" s="1" t="s">
        <v>1305</v>
      </c>
      <c r="D133" s="1" t="s">
        <v>1084</v>
      </c>
      <c r="E133" s="1">
        <v>11500</v>
      </c>
      <c r="F133" s="78">
        <v>45882</v>
      </c>
      <c r="G133" s="1" t="s">
        <v>1085</v>
      </c>
      <c r="H133" s="1" t="s">
        <v>1086</v>
      </c>
      <c r="I133" s="1" t="s">
        <v>1087</v>
      </c>
      <c r="J133" s="1">
        <v>1</v>
      </c>
      <c r="K133" s="1" t="s">
        <v>1017</v>
      </c>
    </row>
    <row r="134" spans="1:11" x14ac:dyDescent="0.25">
      <c r="A134" s="1" t="s">
        <v>1330</v>
      </c>
      <c r="B134" s="1" t="s">
        <v>1331</v>
      </c>
      <c r="C134" s="1" t="s">
        <v>1305</v>
      </c>
      <c r="D134" s="1" t="s">
        <v>1084</v>
      </c>
      <c r="E134" s="1">
        <v>747500</v>
      </c>
      <c r="F134" s="78">
        <v>45882</v>
      </c>
      <c r="G134" s="1" t="s">
        <v>1085</v>
      </c>
      <c r="H134" s="1" t="s">
        <v>1086</v>
      </c>
      <c r="I134" s="1" t="s">
        <v>1087</v>
      </c>
      <c r="J134" s="1">
        <v>1</v>
      </c>
      <c r="K134" s="1" t="s">
        <v>1017</v>
      </c>
    </row>
    <row r="135" spans="1:11" x14ac:dyDescent="0.25">
      <c r="A135" s="1" t="s">
        <v>1332</v>
      </c>
      <c r="B135" s="1" t="s">
        <v>1333</v>
      </c>
      <c r="C135" s="1" t="s">
        <v>1305</v>
      </c>
      <c r="D135" s="1" t="s">
        <v>1084</v>
      </c>
      <c r="E135" s="1">
        <v>805000</v>
      </c>
      <c r="F135" s="78">
        <v>45882</v>
      </c>
      <c r="G135" s="1" t="s">
        <v>1085</v>
      </c>
      <c r="H135" s="1" t="s">
        <v>1086</v>
      </c>
      <c r="I135" s="1" t="s">
        <v>1087</v>
      </c>
      <c r="J135" s="1">
        <v>1</v>
      </c>
      <c r="K135" s="1" t="s">
        <v>1017</v>
      </c>
    </row>
    <row r="136" spans="1:11" x14ac:dyDescent="0.25">
      <c r="A136" s="1" t="s">
        <v>1334</v>
      </c>
      <c r="B136" s="1" t="s">
        <v>1335</v>
      </c>
      <c r="C136" s="1" t="s">
        <v>1305</v>
      </c>
      <c r="D136" s="1" t="s">
        <v>1084</v>
      </c>
      <c r="E136" s="1">
        <v>575000</v>
      </c>
      <c r="F136" s="78">
        <v>45882</v>
      </c>
      <c r="G136" s="1" t="s">
        <v>1085</v>
      </c>
      <c r="H136" s="1" t="s">
        <v>1086</v>
      </c>
      <c r="I136" s="1" t="s">
        <v>1087</v>
      </c>
      <c r="J136" s="1">
        <v>1</v>
      </c>
      <c r="K136" s="1" t="s">
        <v>1017</v>
      </c>
    </row>
    <row r="137" spans="1:11" x14ac:dyDescent="0.25">
      <c r="A137" s="1" t="s">
        <v>1336</v>
      </c>
      <c r="B137" s="1" t="s">
        <v>1337</v>
      </c>
      <c r="C137" s="1" t="s">
        <v>1305</v>
      </c>
      <c r="D137" s="1" t="s">
        <v>1084</v>
      </c>
      <c r="E137" s="1">
        <v>272320</v>
      </c>
      <c r="F137" s="78">
        <v>45882</v>
      </c>
      <c r="G137" s="1" t="s">
        <v>1085</v>
      </c>
      <c r="H137" s="1" t="s">
        <v>1086</v>
      </c>
      <c r="I137" s="1" t="s">
        <v>1087</v>
      </c>
      <c r="J137" s="1">
        <v>1</v>
      </c>
      <c r="K137" s="1" t="s">
        <v>1001</v>
      </c>
    </row>
    <row r="138" spans="1:11" x14ac:dyDescent="0.25">
      <c r="A138" s="1" t="s">
        <v>1338</v>
      </c>
      <c r="B138" s="1" t="s">
        <v>1339</v>
      </c>
      <c r="C138" s="1" t="s">
        <v>1305</v>
      </c>
      <c r="D138" s="1" t="s">
        <v>1084</v>
      </c>
      <c r="E138" s="1">
        <v>224250</v>
      </c>
      <c r="F138" s="78">
        <v>45882</v>
      </c>
      <c r="G138" s="1" t="s">
        <v>1085</v>
      </c>
      <c r="H138" s="1" t="s">
        <v>1086</v>
      </c>
      <c r="I138" s="1" t="s">
        <v>1087</v>
      </c>
      <c r="J138" s="1">
        <v>1</v>
      </c>
      <c r="K138" s="1" t="s">
        <v>1001</v>
      </c>
    </row>
    <row r="139" spans="1:11" x14ac:dyDescent="0.25">
      <c r="A139" s="1" t="s">
        <v>1340</v>
      </c>
      <c r="B139" s="1" t="s">
        <v>1341</v>
      </c>
      <c r="C139" s="1" t="s">
        <v>1305</v>
      </c>
      <c r="D139" s="1" t="s">
        <v>1084</v>
      </c>
      <c r="E139" s="1">
        <v>1092500</v>
      </c>
      <c r="F139" s="78">
        <v>45882</v>
      </c>
      <c r="G139" s="1" t="s">
        <v>1085</v>
      </c>
      <c r="H139" s="1" t="s">
        <v>1086</v>
      </c>
      <c r="I139" s="1" t="s">
        <v>1087</v>
      </c>
      <c r="J139" s="1">
        <v>1</v>
      </c>
      <c r="K139" s="1" t="s">
        <v>1001</v>
      </c>
    </row>
    <row r="140" spans="1:11" x14ac:dyDescent="0.25">
      <c r="A140" s="1" t="s">
        <v>1342</v>
      </c>
      <c r="B140" s="1" t="s">
        <v>1343</v>
      </c>
      <c r="C140" s="1" t="s">
        <v>1305</v>
      </c>
      <c r="D140" s="1" t="s">
        <v>1084</v>
      </c>
      <c r="E140" s="1">
        <v>184000</v>
      </c>
      <c r="F140" s="78">
        <v>45882</v>
      </c>
      <c r="G140" s="1" t="s">
        <v>1085</v>
      </c>
      <c r="H140" s="1" t="s">
        <v>1086</v>
      </c>
      <c r="I140" s="1" t="s">
        <v>1087</v>
      </c>
      <c r="J140" s="1">
        <v>1</v>
      </c>
      <c r="K140" s="1" t="s">
        <v>1001</v>
      </c>
    </row>
    <row r="141" spans="1:11" x14ac:dyDescent="0.25">
      <c r="A141" s="1" t="s">
        <v>1344</v>
      </c>
      <c r="B141" s="1" t="s">
        <v>1345</v>
      </c>
      <c r="C141" s="1" t="s">
        <v>1305</v>
      </c>
      <c r="D141" s="1" t="s">
        <v>1084</v>
      </c>
      <c r="E141" s="1">
        <v>575000</v>
      </c>
      <c r="F141" s="78">
        <v>45882</v>
      </c>
      <c r="G141" s="1" t="s">
        <v>1085</v>
      </c>
      <c r="H141" s="1" t="s">
        <v>1086</v>
      </c>
      <c r="I141" s="1" t="s">
        <v>1087</v>
      </c>
      <c r="J141" s="1">
        <v>1</v>
      </c>
      <c r="K141" s="1" t="s">
        <v>1001</v>
      </c>
    </row>
    <row r="142" spans="1:11" x14ac:dyDescent="0.25">
      <c r="A142" s="1" t="s">
        <v>1346</v>
      </c>
      <c r="B142" s="1" t="s">
        <v>1347</v>
      </c>
      <c r="C142" s="1" t="s">
        <v>1305</v>
      </c>
      <c r="D142" s="1" t="s">
        <v>1084</v>
      </c>
      <c r="E142" s="1">
        <v>230000</v>
      </c>
      <c r="F142" s="78">
        <v>45882</v>
      </c>
      <c r="G142" s="1" t="s">
        <v>1085</v>
      </c>
      <c r="H142" s="1" t="s">
        <v>1086</v>
      </c>
      <c r="I142" s="1" t="s">
        <v>1087</v>
      </c>
      <c r="J142" s="1">
        <v>1</v>
      </c>
      <c r="K142" s="1" t="s">
        <v>1017</v>
      </c>
    </row>
    <row r="143" spans="1:11" x14ac:dyDescent="0.25">
      <c r="A143" s="1" t="s">
        <v>1348</v>
      </c>
      <c r="B143" s="1" t="s">
        <v>1349</v>
      </c>
      <c r="C143" s="1" t="s">
        <v>1350</v>
      </c>
      <c r="D143" s="1" t="s">
        <v>1084</v>
      </c>
      <c r="E143" s="1">
        <v>264500</v>
      </c>
      <c r="F143" s="78">
        <v>45882</v>
      </c>
      <c r="G143" s="1" t="s">
        <v>1085</v>
      </c>
      <c r="H143" s="1" t="s">
        <v>1086</v>
      </c>
      <c r="I143" s="1" t="s">
        <v>1087</v>
      </c>
      <c r="J143" s="1">
        <v>1</v>
      </c>
      <c r="K143" s="1" t="s">
        <v>1014</v>
      </c>
    </row>
    <row r="144" spans="1:11" x14ac:dyDescent="0.25">
      <c r="A144" s="1" t="s">
        <v>1351</v>
      </c>
      <c r="B144" s="1" t="s">
        <v>1352</v>
      </c>
      <c r="C144" s="1" t="s">
        <v>1350</v>
      </c>
      <c r="D144" s="1" t="s">
        <v>1084</v>
      </c>
      <c r="E144" s="1">
        <v>517500</v>
      </c>
      <c r="F144" s="78">
        <v>45882</v>
      </c>
      <c r="G144" s="1" t="s">
        <v>1085</v>
      </c>
      <c r="H144" s="1" t="s">
        <v>1086</v>
      </c>
      <c r="I144" s="1" t="s">
        <v>1087</v>
      </c>
      <c r="J144" s="1">
        <v>1</v>
      </c>
      <c r="K144" s="1" t="s">
        <v>1014</v>
      </c>
    </row>
    <row r="145" spans="1:11" x14ac:dyDescent="0.25">
      <c r="A145" s="1" t="s">
        <v>1353</v>
      </c>
      <c r="B145" s="1" t="s">
        <v>1354</v>
      </c>
      <c r="C145" s="1" t="s">
        <v>1350</v>
      </c>
      <c r="D145" s="1" t="s">
        <v>1084</v>
      </c>
      <c r="E145" s="1">
        <v>126500</v>
      </c>
      <c r="F145" s="78">
        <v>45882</v>
      </c>
      <c r="G145" s="1" t="s">
        <v>1085</v>
      </c>
      <c r="H145" s="1" t="s">
        <v>1086</v>
      </c>
      <c r="I145" s="1" t="s">
        <v>1087</v>
      </c>
      <c r="J145" s="1">
        <v>1</v>
      </c>
      <c r="K145" s="1" t="s">
        <v>1014</v>
      </c>
    </row>
    <row r="146" spans="1:11" x14ac:dyDescent="0.25">
      <c r="A146" s="1" t="s">
        <v>1355</v>
      </c>
      <c r="B146" s="1" t="s">
        <v>1356</v>
      </c>
      <c r="C146" s="1" t="s">
        <v>1350</v>
      </c>
      <c r="D146" s="1" t="s">
        <v>1084</v>
      </c>
      <c r="E146" s="1">
        <v>109250</v>
      </c>
      <c r="F146" s="78">
        <v>45882</v>
      </c>
      <c r="G146" s="1" t="s">
        <v>1085</v>
      </c>
      <c r="H146" s="1" t="s">
        <v>1086</v>
      </c>
      <c r="I146" s="1" t="s">
        <v>1087</v>
      </c>
      <c r="J146" s="1">
        <v>1</v>
      </c>
      <c r="K146" s="1" t="s">
        <v>1014</v>
      </c>
    </row>
    <row r="147" spans="1:11" x14ac:dyDescent="0.25">
      <c r="A147" s="1" t="s">
        <v>1357</v>
      </c>
      <c r="B147" s="1" t="s">
        <v>1358</v>
      </c>
      <c r="C147" s="1" t="s">
        <v>1350</v>
      </c>
      <c r="D147" s="1" t="s">
        <v>1084</v>
      </c>
      <c r="E147" s="1">
        <v>201250</v>
      </c>
      <c r="F147" s="78">
        <v>45882</v>
      </c>
      <c r="G147" s="1" t="s">
        <v>1085</v>
      </c>
      <c r="H147" s="1" t="s">
        <v>1086</v>
      </c>
      <c r="I147" s="1" t="s">
        <v>1087</v>
      </c>
      <c r="J147" s="1">
        <v>1</v>
      </c>
      <c r="K147" s="1" t="s">
        <v>1014</v>
      </c>
    </row>
    <row r="148" spans="1:11" x14ac:dyDescent="0.25">
      <c r="A148" s="1" t="s">
        <v>1359</v>
      </c>
      <c r="B148" s="1" t="s">
        <v>1360</v>
      </c>
      <c r="C148" s="1" t="s">
        <v>1350</v>
      </c>
      <c r="D148" s="1" t="s">
        <v>1084</v>
      </c>
      <c r="E148" s="1">
        <v>247250</v>
      </c>
      <c r="F148" s="78">
        <v>45882</v>
      </c>
      <c r="G148" s="1" t="s">
        <v>1085</v>
      </c>
      <c r="H148" s="1" t="s">
        <v>1086</v>
      </c>
      <c r="I148" s="1" t="s">
        <v>1087</v>
      </c>
      <c r="J148" s="1">
        <v>1</v>
      </c>
      <c r="K148" s="1" t="s">
        <v>1014</v>
      </c>
    </row>
    <row r="149" spans="1:11" x14ac:dyDescent="0.25">
      <c r="A149" s="1" t="s">
        <v>1361</v>
      </c>
      <c r="B149" s="1" t="s">
        <v>1362</v>
      </c>
      <c r="C149" s="1" t="s">
        <v>1350</v>
      </c>
      <c r="D149" s="1" t="s">
        <v>1084</v>
      </c>
      <c r="E149" s="1">
        <v>316250</v>
      </c>
      <c r="F149" s="78">
        <v>45882</v>
      </c>
      <c r="G149" s="1" t="s">
        <v>1085</v>
      </c>
      <c r="H149" s="1" t="s">
        <v>1086</v>
      </c>
      <c r="I149" s="1" t="s">
        <v>1087</v>
      </c>
      <c r="J149" s="1">
        <v>1</v>
      </c>
      <c r="K149" s="1" t="s">
        <v>1014</v>
      </c>
    </row>
    <row r="150" spans="1:11" x14ac:dyDescent="0.25">
      <c r="A150" s="1" t="s">
        <v>1363</v>
      </c>
      <c r="B150" s="1" t="s">
        <v>1364</v>
      </c>
      <c r="C150" s="1" t="s">
        <v>1350</v>
      </c>
      <c r="D150" s="1" t="s">
        <v>1177</v>
      </c>
      <c r="E150" s="1">
        <v>4255</v>
      </c>
      <c r="F150" s="78">
        <v>45882</v>
      </c>
      <c r="G150" s="1" t="s">
        <v>1085</v>
      </c>
      <c r="H150" s="1" t="s">
        <v>1086</v>
      </c>
      <c r="I150" s="1" t="s">
        <v>1087</v>
      </c>
      <c r="J150" s="1">
        <v>1</v>
      </c>
      <c r="K150" s="1" t="s">
        <v>1014</v>
      </c>
    </row>
    <row r="151" spans="1:11" x14ac:dyDescent="0.25">
      <c r="A151" s="1" t="s">
        <v>1365</v>
      </c>
      <c r="B151" s="1" t="s">
        <v>1366</v>
      </c>
      <c r="C151" s="1" t="s">
        <v>1350</v>
      </c>
      <c r="D151" s="1" t="s">
        <v>1177</v>
      </c>
      <c r="E151" s="1">
        <v>5635</v>
      </c>
      <c r="F151" s="78">
        <v>45882</v>
      </c>
      <c r="G151" s="1" t="s">
        <v>1085</v>
      </c>
      <c r="H151" s="1" t="s">
        <v>1086</v>
      </c>
      <c r="I151" s="1" t="s">
        <v>1087</v>
      </c>
      <c r="J151" s="1">
        <v>1</v>
      </c>
      <c r="K151" s="1" t="s">
        <v>1014</v>
      </c>
    </row>
    <row r="152" spans="1:11" x14ac:dyDescent="0.25">
      <c r="A152" s="1" t="s">
        <v>1367</v>
      </c>
      <c r="B152" s="1" t="s">
        <v>1368</v>
      </c>
      <c r="C152" s="1" t="s">
        <v>1350</v>
      </c>
      <c r="D152" s="1" t="s">
        <v>1177</v>
      </c>
      <c r="E152" s="1">
        <v>5980</v>
      </c>
      <c r="F152" s="78">
        <v>45882</v>
      </c>
      <c r="G152" s="1" t="s">
        <v>1085</v>
      </c>
      <c r="H152" s="1" t="s">
        <v>1086</v>
      </c>
      <c r="I152" s="1" t="s">
        <v>1087</v>
      </c>
      <c r="J152" s="1">
        <v>1</v>
      </c>
      <c r="K152" s="1" t="s">
        <v>1014</v>
      </c>
    </row>
    <row r="153" spans="1:11" x14ac:dyDescent="0.25">
      <c r="A153" s="1" t="s">
        <v>1369</v>
      </c>
      <c r="B153" s="1" t="s">
        <v>1370</v>
      </c>
      <c r="C153" s="1" t="s">
        <v>1350</v>
      </c>
      <c r="D153" s="1" t="s">
        <v>1177</v>
      </c>
      <c r="E153" s="1">
        <v>8050</v>
      </c>
      <c r="F153" s="78">
        <v>45882</v>
      </c>
      <c r="G153" s="1" t="s">
        <v>1085</v>
      </c>
      <c r="H153" s="1" t="s">
        <v>1086</v>
      </c>
      <c r="I153" s="1" t="s">
        <v>1087</v>
      </c>
      <c r="J153" s="1">
        <v>1</v>
      </c>
      <c r="K153" s="1" t="s">
        <v>1014</v>
      </c>
    </row>
    <row r="154" spans="1:11" x14ac:dyDescent="0.25">
      <c r="A154" s="1" t="s">
        <v>1371</v>
      </c>
      <c r="B154" s="1" t="s">
        <v>1372</v>
      </c>
      <c r="C154" s="1" t="s">
        <v>1350</v>
      </c>
      <c r="D154" s="1" t="s">
        <v>1177</v>
      </c>
      <c r="E154" s="1">
        <v>9545</v>
      </c>
      <c r="F154" s="78">
        <v>45882</v>
      </c>
      <c r="G154" s="1" t="s">
        <v>1085</v>
      </c>
      <c r="H154" s="1" t="s">
        <v>1086</v>
      </c>
      <c r="I154" s="1" t="s">
        <v>1087</v>
      </c>
      <c r="J154" s="1">
        <v>1</v>
      </c>
      <c r="K154" s="1" t="s">
        <v>1014</v>
      </c>
    </row>
    <row r="155" spans="1:11" x14ac:dyDescent="0.25">
      <c r="A155" s="1" t="s">
        <v>1373</v>
      </c>
      <c r="B155" s="1" t="s">
        <v>1374</v>
      </c>
      <c r="C155" s="1" t="s">
        <v>1350</v>
      </c>
      <c r="D155" s="1" t="s">
        <v>1177</v>
      </c>
      <c r="E155" s="1">
        <v>11224</v>
      </c>
      <c r="F155" s="78">
        <v>45882</v>
      </c>
      <c r="G155" s="1" t="s">
        <v>1085</v>
      </c>
      <c r="H155" s="1" t="s">
        <v>1086</v>
      </c>
      <c r="I155" s="1" t="s">
        <v>1087</v>
      </c>
      <c r="J155" s="1">
        <v>1</v>
      </c>
      <c r="K155" s="1" t="s">
        <v>1014</v>
      </c>
    </row>
    <row r="156" spans="1:11" x14ac:dyDescent="0.25">
      <c r="A156" s="1" t="s">
        <v>1375</v>
      </c>
      <c r="B156" s="1" t="s">
        <v>1376</v>
      </c>
      <c r="C156" s="1" t="s">
        <v>1350</v>
      </c>
      <c r="D156" s="1" t="s">
        <v>1177</v>
      </c>
      <c r="E156" s="1">
        <v>13915</v>
      </c>
      <c r="F156" s="78">
        <v>45882</v>
      </c>
      <c r="G156" s="1" t="s">
        <v>1085</v>
      </c>
      <c r="H156" s="1" t="s">
        <v>1086</v>
      </c>
      <c r="I156" s="1" t="s">
        <v>1087</v>
      </c>
      <c r="J156" s="1">
        <v>1</v>
      </c>
      <c r="K156" s="1" t="s">
        <v>1014</v>
      </c>
    </row>
    <row r="157" spans="1:11" x14ac:dyDescent="0.25">
      <c r="A157" s="1" t="s">
        <v>1377</v>
      </c>
      <c r="B157" s="1" t="s">
        <v>1378</v>
      </c>
      <c r="C157" s="1" t="s">
        <v>1350</v>
      </c>
      <c r="D157" s="1" t="s">
        <v>1177</v>
      </c>
      <c r="E157" s="1">
        <v>21327</v>
      </c>
      <c r="F157" s="78">
        <v>45882</v>
      </c>
      <c r="G157" s="1" t="s">
        <v>1085</v>
      </c>
      <c r="H157" s="1" t="s">
        <v>1086</v>
      </c>
      <c r="I157" s="1" t="s">
        <v>1087</v>
      </c>
      <c r="J157" s="1">
        <v>1</v>
      </c>
      <c r="K157" s="1" t="s">
        <v>1014</v>
      </c>
    </row>
    <row r="158" spans="1:11" x14ac:dyDescent="0.25">
      <c r="A158" s="1" t="s">
        <v>1379</v>
      </c>
      <c r="B158" s="1" t="s">
        <v>1380</v>
      </c>
      <c r="C158" s="1" t="s">
        <v>1350</v>
      </c>
      <c r="D158" s="1" t="s">
        <v>1177</v>
      </c>
      <c r="E158" s="1">
        <v>23575</v>
      </c>
      <c r="F158" s="78">
        <v>45882</v>
      </c>
      <c r="G158" s="1" t="s">
        <v>1085</v>
      </c>
      <c r="H158" s="1" t="s">
        <v>1086</v>
      </c>
      <c r="I158" s="1" t="s">
        <v>1087</v>
      </c>
      <c r="J158" s="1">
        <v>1</v>
      </c>
      <c r="K158" s="1" t="s">
        <v>1014</v>
      </c>
    </row>
    <row r="159" spans="1:11" x14ac:dyDescent="0.25">
      <c r="A159" s="1" t="s">
        <v>1381</v>
      </c>
      <c r="B159" s="1" t="s">
        <v>1382</v>
      </c>
      <c r="C159" s="1" t="s">
        <v>1350</v>
      </c>
      <c r="D159" s="1" t="s">
        <v>1177</v>
      </c>
      <c r="E159" s="1">
        <v>5980</v>
      </c>
      <c r="F159" s="78">
        <v>45882</v>
      </c>
      <c r="G159" s="1" t="s">
        <v>1085</v>
      </c>
      <c r="H159" s="1" t="s">
        <v>1086</v>
      </c>
      <c r="I159" s="1" t="s">
        <v>1087</v>
      </c>
      <c r="J159" s="1">
        <v>1</v>
      </c>
      <c r="K159" s="1" t="s">
        <v>1014</v>
      </c>
    </row>
    <row r="160" spans="1:11" x14ac:dyDescent="0.25">
      <c r="A160" s="1" t="s">
        <v>1383</v>
      </c>
      <c r="B160" s="1" t="s">
        <v>1384</v>
      </c>
      <c r="C160" s="1" t="s">
        <v>1350</v>
      </c>
      <c r="D160" s="1" t="s">
        <v>1177</v>
      </c>
      <c r="E160" s="1">
        <v>5405</v>
      </c>
      <c r="F160" s="78">
        <v>45882</v>
      </c>
      <c r="G160" s="1" t="s">
        <v>1085</v>
      </c>
      <c r="H160" s="1" t="s">
        <v>1086</v>
      </c>
      <c r="I160" s="1" t="s">
        <v>1087</v>
      </c>
      <c r="J160" s="1">
        <v>1</v>
      </c>
      <c r="K160" s="1" t="s">
        <v>1014</v>
      </c>
    </row>
    <row r="161" spans="1:11" x14ac:dyDescent="0.25">
      <c r="A161" s="1" t="s">
        <v>1385</v>
      </c>
      <c r="B161" s="1" t="s">
        <v>1386</v>
      </c>
      <c r="C161" s="1" t="s">
        <v>1350</v>
      </c>
      <c r="D161" s="1" t="s">
        <v>1177</v>
      </c>
      <c r="E161" s="1">
        <v>4830</v>
      </c>
      <c r="F161" s="78">
        <v>45882</v>
      </c>
      <c r="G161" s="1" t="s">
        <v>1085</v>
      </c>
      <c r="H161" s="1" t="s">
        <v>1086</v>
      </c>
      <c r="I161" s="1" t="s">
        <v>1087</v>
      </c>
      <c r="J161" s="1">
        <v>1</v>
      </c>
      <c r="K161" s="1" t="s">
        <v>1014</v>
      </c>
    </row>
    <row r="162" spans="1:11" x14ac:dyDescent="0.25">
      <c r="A162" s="1" t="s">
        <v>1387</v>
      </c>
      <c r="B162" s="1" t="s">
        <v>1388</v>
      </c>
      <c r="C162" s="1" t="s">
        <v>1350</v>
      </c>
      <c r="D162" s="1" t="s">
        <v>1177</v>
      </c>
      <c r="E162" s="1">
        <v>4255</v>
      </c>
      <c r="F162" s="78">
        <v>45882</v>
      </c>
      <c r="G162" s="1" t="s">
        <v>1085</v>
      </c>
      <c r="H162" s="1" t="s">
        <v>1086</v>
      </c>
      <c r="I162" s="1" t="s">
        <v>1087</v>
      </c>
      <c r="J162" s="1">
        <v>1</v>
      </c>
      <c r="K162" s="1" t="s">
        <v>1014</v>
      </c>
    </row>
    <row r="163" spans="1:11" x14ac:dyDescent="0.25">
      <c r="A163" s="1" t="s">
        <v>1389</v>
      </c>
      <c r="B163" s="1" t="s">
        <v>1390</v>
      </c>
      <c r="C163" s="1" t="s">
        <v>1350</v>
      </c>
      <c r="D163" s="1" t="s">
        <v>1177</v>
      </c>
      <c r="E163" s="1">
        <v>3450</v>
      </c>
      <c r="F163" s="78">
        <v>45882</v>
      </c>
      <c r="G163" s="1" t="s">
        <v>1085</v>
      </c>
      <c r="H163" s="1" t="s">
        <v>1086</v>
      </c>
      <c r="I163" s="1" t="s">
        <v>1087</v>
      </c>
      <c r="J163" s="1">
        <v>1</v>
      </c>
      <c r="K163" s="1" t="s">
        <v>1014</v>
      </c>
    </row>
    <row r="164" spans="1:11" x14ac:dyDescent="0.25">
      <c r="A164" s="1" t="s">
        <v>1391</v>
      </c>
      <c r="B164" s="1" t="s">
        <v>1392</v>
      </c>
      <c r="C164" s="1" t="s">
        <v>1350</v>
      </c>
      <c r="D164" s="1" t="s">
        <v>1177</v>
      </c>
      <c r="E164" s="1">
        <v>4255</v>
      </c>
      <c r="F164" s="78">
        <v>45882</v>
      </c>
      <c r="G164" s="1" t="s">
        <v>1085</v>
      </c>
      <c r="H164" s="1" t="s">
        <v>1086</v>
      </c>
      <c r="I164" s="1" t="s">
        <v>1087</v>
      </c>
      <c r="J164" s="1">
        <v>1</v>
      </c>
      <c r="K164" s="1" t="s">
        <v>1014</v>
      </c>
    </row>
    <row r="165" spans="1:11" x14ac:dyDescent="0.25">
      <c r="A165" s="1" t="s">
        <v>1393</v>
      </c>
      <c r="B165" s="1" t="s">
        <v>1394</v>
      </c>
      <c r="C165" s="1" t="s">
        <v>1350</v>
      </c>
      <c r="D165" s="1" t="s">
        <v>1177</v>
      </c>
      <c r="E165" s="1">
        <v>4830</v>
      </c>
      <c r="F165" s="78">
        <v>45882</v>
      </c>
      <c r="G165" s="1" t="s">
        <v>1085</v>
      </c>
      <c r="H165" s="1" t="s">
        <v>1086</v>
      </c>
      <c r="I165" s="1" t="s">
        <v>1087</v>
      </c>
      <c r="J165" s="1">
        <v>1</v>
      </c>
      <c r="K165" s="1" t="s">
        <v>1014</v>
      </c>
    </row>
    <row r="166" spans="1:11" x14ac:dyDescent="0.25">
      <c r="A166" s="1" t="s">
        <v>1395</v>
      </c>
      <c r="B166" s="1" t="s">
        <v>1396</v>
      </c>
      <c r="C166" s="1" t="s">
        <v>1350</v>
      </c>
      <c r="D166" s="1" t="s">
        <v>1177</v>
      </c>
      <c r="E166" s="1">
        <v>7475</v>
      </c>
      <c r="F166" s="78">
        <v>45882</v>
      </c>
      <c r="G166" s="1" t="s">
        <v>1085</v>
      </c>
      <c r="H166" s="1" t="s">
        <v>1086</v>
      </c>
      <c r="I166" s="1" t="s">
        <v>1087</v>
      </c>
      <c r="J166" s="1">
        <v>1</v>
      </c>
      <c r="K166" s="1" t="s">
        <v>1014</v>
      </c>
    </row>
    <row r="167" spans="1:11" x14ac:dyDescent="0.25">
      <c r="A167" s="1" t="s">
        <v>1397</v>
      </c>
      <c r="B167" s="1" t="s">
        <v>1398</v>
      </c>
      <c r="C167" s="1" t="s">
        <v>1350</v>
      </c>
      <c r="D167" s="1" t="s">
        <v>1084</v>
      </c>
      <c r="E167" s="1">
        <v>550600</v>
      </c>
      <c r="F167" s="78">
        <v>45882</v>
      </c>
      <c r="G167" s="1" t="s">
        <v>1085</v>
      </c>
      <c r="H167" s="1" t="s">
        <v>1086</v>
      </c>
      <c r="I167" s="1" t="s">
        <v>1087</v>
      </c>
      <c r="J167" s="1">
        <v>1</v>
      </c>
      <c r="K167" s="1" t="s">
        <v>1014</v>
      </c>
    </row>
    <row r="168" spans="1:11" x14ac:dyDescent="0.25">
      <c r="A168" s="1" t="s">
        <v>1399</v>
      </c>
      <c r="B168" s="1" t="s">
        <v>1400</v>
      </c>
      <c r="C168" s="1" t="s">
        <v>1350</v>
      </c>
      <c r="D168" s="1" t="s">
        <v>1084</v>
      </c>
      <c r="E168" s="1">
        <v>1725000</v>
      </c>
      <c r="F168" s="78">
        <v>45882</v>
      </c>
      <c r="G168" s="1" t="s">
        <v>1085</v>
      </c>
      <c r="H168" s="1" t="s">
        <v>1086</v>
      </c>
      <c r="I168" s="1" t="s">
        <v>1087</v>
      </c>
      <c r="J168" s="1">
        <v>1</v>
      </c>
      <c r="K168" s="1" t="s">
        <v>1014</v>
      </c>
    </row>
    <row r="169" spans="1:11" x14ac:dyDescent="0.25">
      <c r="A169" s="1" t="s">
        <v>1401</v>
      </c>
      <c r="B169" s="1" t="s">
        <v>1402</v>
      </c>
      <c r="C169" s="1" t="s">
        <v>1423</v>
      </c>
      <c r="D169" s="1" t="s">
        <v>1084</v>
      </c>
      <c r="E169" s="1">
        <v>402500</v>
      </c>
      <c r="F169" s="78">
        <v>45883</v>
      </c>
      <c r="G169" s="1" t="s">
        <v>1850</v>
      </c>
      <c r="H169" s="1" t="s">
        <v>1086</v>
      </c>
      <c r="I169" s="1" t="s">
        <v>1087</v>
      </c>
      <c r="J169" s="1">
        <v>1</v>
      </c>
      <c r="K169" s="1" t="s">
        <v>1014</v>
      </c>
    </row>
    <row r="170" spans="1:11" x14ac:dyDescent="0.25">
      <c r="A170" s="1" t="s">
        <v>1403</v>
      </c>
      <c r="B170" s="1" t="s">
        <v>1404</v>
      </c>
      <c r="C170" s="1" t="s">
        <v>1350</v>
      </c>
      <c r="D170" s="1" t="s">
        <v>1084</v>
      </c>
      <c r="E170" s="1">
        <v>402500</v>
      </c>
      <c r="F170" s="78">
        <v>45882</v>
      </c>
      <c r="G170" s="1" t="s">
        <v>1085</v>
      </c>
      <c r="H170" s="1" t="s">
        <v>1086</v>
      </c>
      <c r="I170" s="1" t="s">
        <v>1087</v>
      </c>
      <c r="J170" s="1">
        <v>1</v>
      </c>
      <c r="K170" s="1" t="s">
        <v>1014</v>
      </c>
    </row>
    <row r="171" spans="1:11" x14ac:dyDescent="0.25">
      <c r="A171" s="1" t="s">
        <v>1405</v>
      </c>
      <c r="B171" s="1" t="s">
        <v>1406</v>
      </c>
      <c r="C171" s="1" t="s">
        <v>1350</v>
      </c>
      <c r="D171" s="1" t="s">
        <v>1084</v>
      </c>
      <c r="E171" s="1">
        <v>11500</v>
      </c>
      <c r="F171" s="78">
        <v>45882</v>
      </c>
      <c r="G171" s="1" t="s">
        <v>1085</v>
      </c>
      <c r="H171" s="1" t="s">
        <v>1086</v>
      </c>
      <c r="I171" s="1" t="s">
        <v>1087</v>
      </c>
      <c r="J171" s="1">
        <v>1</v>
      </c>
      <c r="K171" s="1" t="s">
        <v>1014</v>
      </c>
    </row>
    <row r="172" spans="1:11" x14ac:dyDescent="0.25">
      <c r="A172" s="1" t="s">
        <v>1407</v>
      </c>
      <c r="B172" s="1" t="s">
        <v>1408</v>
      </c>
      <c r="C172" s="1" t="s">
        <v>1350</v>
      </c>
      <c r="D172" s="1" t="s">
        <v>1084</v>
      </c>
      <c r="E172" s="1">
        <v>862500</v>
      </c>
      <c r="F172" s="78">
        <v>45882</v>
      </c>
      <c r="G172" s="1" t="s">
        <v>1085</v>
      </c>
      <c r="H172" s="1" t="s">
        <v>1086</v>
      </c>
      <c r="I172" s="1" t="s">
        <v>1087</v>
      </c>
      <c r="J172" s="1">
        <v>1</v>
      </c>
      <c r="K172" s="1" t="s">
        <v>1014</v>
      </c>
    </row>
    <row r="173" spans="1:11" x14ac:dyDescent="0.25">
      <c r="A173" s="1" t="s">
        <v>1409</v>
      </c>
      <c r="B173" s="1" t="s">
        <v>1410</v>
      </c>
      <c r="C173" s="1" t="s">
        <v>1350</v>
      </c>
      <c r="D173" s="1" t="s">
        <v>1084</v>
      </c>
      <c r="E173" s="1">
        <v>575000</v>
      </c>
      <c r="F173" s="78">
        <v>45882</v>
      </c>
      <c r="G173" s="1" t="s">
        <v>1085</v>
      </c>
      <c r="H173" s="1" t="s">
        <v>1086</v>
      </c>
      <c r="I173" s="1" t="s">
        <v>1087</v>
      </c>
      <c r="J173" s="1">
        <v>1</v>
      </c>
      <c r="K173" s="1" t="s">
        <v>1014</v>
      </c>
    </row>
    <row r="174" spans="1:11" x14ac:dyDescent="0.25">
      <c r="A174" s="1" t="s">
        <v>1411</v>
      </c>
      <c r="B174" s="1" t="s">
        <v>1410</v>
      </c>
      <c r="C174" s="1" t="s">
        <v>1350</v>
      </c>
      <c r="D174" s="1" t="s">
        <v>1084</v>
      </c>
      <c r="E174" s="1">
        <v>402500</v>
      </c>
      <c r="F174" s="78">
        <v>45882</v>
      </c>
      <c r="G174" s="1" t="s">
        <v>1085</v>
      </c>
      <c r="H174" s="1" t="s">
        <v>1086</v>
      </c>
      <c r="I174" s="1" t="s">
        <v>1087</v>
      </c>
      <c r="J174" s="1">
        <v>1</v>
      </c>
      <c r="K174" s="1" t="s">
        <v>1014</v>
      </c>
    </row>
    <row r="175" spans="1:11" x14ac:dyDescent="0.25">
      <c r="A175" s="1" t="s">
        <v>1412</v>
      </c>
      <c r="B175" s="1" t="s">
        <v>1413</v>
      </c>
      <c r="C175" s="1" t="s">
        <v>1350</v>
      </c>
      <c r="D175" s="1" t="s">
        <v>1084</v>
      </c>
      <c r="E175" s="1">
        <v>26450</v>
      </c>
      <c r="F175" s="78">
        <v>45882</v>
      </c>
      <c r="G175" s="1" t="s">
        <v>1085</v>
      </c>
      <c r="H175" s="1" t="s">
        <v>1086</v>
      </c>
      <c r="I175" s="1" t="s">
        <v>1087</v>
      </c>
      <c r="J175" s="1">
        <v>1</v>
      </c>
      <c r="K175" s="1" t="s">
        <v>1014</v>
      </c>
    </row>
    <row r="176" spans="1:11" x14ac:dyDescent="0.25">
      <c r="A176" s="1" t="s">
        <v>1414</v>
      </c>
      <c r="B176" s="1" t="s">
        <v>1413</v>
      </c>
      <c r="C176" s="1" t="s">
        <v>1350</v>
      </c>
      <c r="D176" s="1" t="s">
        <v>1084</v>
      </c>
      <c r="E176" s="1">
        <v>28750</v>
      </c>
      <c r="F176" s="78">
        <v>45882</v>
      </c>
      <c r="G176" s="1" t="s">
        <v>1085</v>
      </c>
      <c r="H176" s="1" t="s">
        <v>1086</v>
      </c>
      <c r="I176" s="1" t="s">
        <v>1087</v>
      </c>
      <c r="J176" s="1">
        <v>1</v>
      </c>
      <c r="K176" s="1" t="s">
        <v>1014</v>
      </c>
    </row>
    <row r="177" spans="1:11" x14ac:dyDescent="0.25">
      <c r="A177" s="1" t="s">
        <v>1415</v>
      </c>
      <c r="B177" s="1" t="s">
        <v>1416</v>
      </c>
      <c r="C177" s="1" t="s">
        <v>1350</v>
      </c>
      <c r="D177" s="1" t="s">
        <v>1177</v>
      </c>
      <c r="E177" s="1">
        <v>14375</v>
      </c>
      <c r="F177" s="78">
        <v>45882</v>
      </c>
      <c r="G177" s="1" t="s">
        <v>1085</v>
      </c>
      <c r="H177" s="1" t="s">
        <v>1086</v>
      </c>
      <c r="I177" s="1" t="s">
        <v>1087</v>
      </c>
      <c r="J177" s="1">
        <v>1</v>
      </c>
      <c r="K177" s="1" t="s">
        <v>1014</v>
      </c>
    </row>
    <row r="178" spans="1:11" x14ac:dyDescent="0.25">
      <c r="A178" s="1" t="s">
        <v>1417</v>
      </c>
      <c r="B178" s="1" t="s">
        <v>1418</v>
      </c>
      <c r="C178" s="1" t="s">
        <v>1350</v>
      </c>
      <c r="D178" s="1" t="s">
        <v>1177</v>
      </c>
      <c r="E178" s="1">
        <v>19550</v>
      </c>
      <c r="F178" s="78">
        <v>45882</v>
      </c>
      <c r="G178" s="1" t="s">
        <v>1085</v>
      </c>
      <c r="H178" s="1" t="s">
        <v>1086</v>
      </c>
      <c r="I178" s="1" t="s">
        <v>1087</v>
      </c>
      <c r="J178" s="1">
        <v>1</v>
      </c>
      <c r="K178" s="1" t="s">
        <v>1014</v>
      </c>
    </row>
    <row r="179" spans="1:11" x14ac:dyDescent="0.25">
      <c r="A179" s="1" t="s">
        <v>1419</v>
      </c>
      <c r="B179" s="1" t="s">
        <v>1420</v>
      </c>
      <c r="C179" s="1" t="s">
        <v>1350</v>
      </c>
      <c r="D179" s="1" t="s">
        <v>1177</v>
      </c>
      <c r="E179" s="1">
        <v>29210</v>
      </c>
      <c r="F179" s="78">
        <v>45882</v>
      </c>
      <c r="G179" s="1" t="s">
        <v>1085</v>
      </c>
      <c r="H179" s="1" t="s">
        <v>1086</v>
      </c>
      <c r="I179" s="1" t="s">
        <v>1087</v>
      </c>
      <c r="J179" s="1">
        <v>1</v>
      </c>
      <c r="K179" s="1" t="s">
        <v>1014</v>
      </c>
    </row>
    <row r="180" spans="1:11" x14ac:dyDescent="0.25">
      <c r="A180" s="1" t="s">
        <v>1421</v>
      </c>
      <c r="B180" s="1" t="s">
        <v>1422</v>
      </c>
      <c r="C180" s="1" t="s">
        <v>1423</v>
      </c>
      <c r="D180" s="1" t="s">
        <v>1110</v>
      </c>
      <c r="E180" s="1">
        <v>26450</v>
      </c>
      <c r="F180" s="78">
        <v>45882</v>
      </c>
      <c r="G180" s="1" t="s">
        <v>1085</v>
      </c>
      <c r="H180" s="1" t="s">
        <v>1086</v>
      </c>
      <c r="I180" s="1" t="s">
        <v>1087</v>
      </c>
      <c r="J180" s="1">
        <v>1</v>
      </c>
      <c r="K180" s="1" t="s">
        <v>1011</v>
      </c>
    </row>
    <row r="181" spans="1:11" x14ac:dyDescent="0.25">
      <c r="A181" s="1" t="s">
        <v>1424</v>
      </c>
      <c r="B181" s="1" t="s">
        <v>1425</v>
      </c>
      <c r="C181" s="1" t="s">
        <v>1423</v>
      </c>
      <c r="D181" s="1" t="s">
        <v>1110</v>
      </c>
      <c r="E181" s="1">
        <v>39100</v>
      </c>
      <c r="F181" s="78">
        <v>45882</v>
      </c>
      <c r="G181" s="1" t="s">
        <v>1085</v>
      </c>
      <c r="H181" s="1" t="s">
        <v>1086</v>
      </c>
      <c r="I181" s="1" t="s">
        <v>1087</v>
      </c>
      <c r="J181" s="1">
        <v>1</v>
      </c>
      <c r="K181" s="1" t="s">
        <v>1011</v>
      </c>
    </row>
    <row r="182" spans="1:11" x14ac:dyDescent="0.25">
      <c r="A182" s="1" t="s">
        <v>1426</v>
      </c>
      <c r="B182" s="1" t="s">
        <v>1427</v>
      </c>
      <c r="C182" s="1" t="s">
        <v>1423</v>
      </c>
      <c r="D182" s="1" t="s">
        <v>1110</v>
      </c>
      <c r="E182" s="1">
        <v>23000</v>
      </c>
      <c r="F182" s="78">
        <v>45882</v>
      </c>
      <c r="G182" s="1" t="s">
        <v>1085</v>
      </c>
      <c r="H182" s="1" t="s">
        <v>1086</v>
      </c>
      <c r="I182" s="1" t="s">
        <v>1087</v>
      </c>
      <c r="J182" s="1">
        <v>1</v>
      </c>
      <c r="K182" s="1" t="s">
        <v>1011</v>
      </c>
    </row>
    <row r="183" spans="1:11" x14ac:dyDescent="0.25">
      <c r="A183" s="1" t="s">
        <v>1428</v>
      </c>
      <c r="B183" s="1" t="s">
        <v>1429</v>
      </c>
      <c r="C183" s="1" t="s">
        <v>1423</v>
      </c>
      <c r="D183" s="1" t="s">
        <v>1177</v>
      </c>
      <c r="E183" s="1">
        <v>5750</v>
      </c>
      <c r="F183" s="78">
        <v>45882</v>
      </c>
      <c r="G183" s="1" t="s">
        <v>1085</v>
      </c>
      <c r="H183" s="1" t="s">
        <v>1086</v>
      </c>
      <c r="I183" s="1" t="s">
        <v>1087</v>
      </c>
      <c r="J183" s="1">
        <v>1</v>
      </c>
      <c r="K183" s="1" t="s">
        <v>1011</v>
      </c>
    </row>
    <row r="184" spans="1:11" x14ac:dyDescent="0.25">
      <c r="A184" s="1" t="s">
        <v>1430</v>
      </c>
      <c r="B184" s="1" t="s">
        <v>1431</v>
      </c>
      <c r="C184" s="1" t="s">
        <v>1432</v>
      </c>
      <c r="D184" s="1" t="s">
        <v>1084</v>
      </c>
      <c r="E184" s="1">
        <v>25300000</v>
      </c>
      <c r="F184" s="78">
        <v>45882</v>
      </c>
      <c r="G184" s="1" t="s">
        <v>1085</v>
      </c>
      <c r="H184" s="1" t="s">
        <v>1086</v>
      </c>
      <c r="I184" s="1" t="s">
        <v>1087</v>
      </c>
      <c r="J184" s="1">
        <v>1</v>
      </c>
      <c r="K184" s="1" t="s">
        <v>1008</v>
      </c>
    </row>
    <row r="185" spans="1:11" x14ac:dyDescent="0.25">
      <c r="A185" s="1" t="s">
        <v>1433</v>
      </c>
      <c r="B185" s="1" t="s">
        <v>1434</v>
      </c>
      <c r="C185" s="1" t="s">
        <v>1435</v>
      </c>
      <c r="D185" s="1" t="s">
        <v>1110</v>
      </c>
      <c r="E185" s="1">
        <v>174750</v>
      </c>
      <c r="F185" s="78">
        <v>45882</v>
      </c>
      <c r="G185" s="1" t="s">
        <v>1085</v>
      </c>
      <c r="H185" s="1" t="s">
        <v>1086</v>
      </c>
      <c r="I185" s="1" t="s">
        <v>1087</v>
      </c>
      <c r="J185" s="1">
        <v>1</v>
      </c>
      <c r="K185" s="1" t="s">
        <v>1039</v>
      </c>
    </row>
    <row r="186" spans="1:11" x14ac:dyDescent="0.25">
      <c r="A186" s="1" t="s">
        <v>1436</v>
      </c>
      <c r="B186" s="1" t="s">
        <v>1437</v>
      </c>
      <c r="C186" s="1" t="s">
        <v>1438</v>
      </c>
      <c r="D186" s="1" t="s">
        <v>1110</v>
      </c>
      <c r="E186" s="1">
        <v>575</v>
      </c>
      <c r="F186" s="78">
        <v>45882</v>
      </c>
      <c r="G186" s="1" t="s">
        <v>1085</v>
      </c>
      <c r="H186" s="1" t="s">
        <v>1086</v>
      </c>
      <c r="I186" s="1" t="s">
        <v>1087</v>
      </c>
      <c r="J186" s="1">
        <v>1</v>
      </c>
      <c r="K186" s="1" t="s">
        <v>1005</v>
      </c>
    </row>
    <row r="187" spans="1:11" x14ac:dyDescent="0.25">
      <c r="A187" s="1" t="s">
        <v>1439</v>
      </c>
      <c r="B187" s="1" t="s">
        <v>1440</v>
      </c>
      <c r="C187" s="1" t="s">
        <v>1438</v>
      </c>
      <c r="D187" s="1" t="s">
        <v>1110</v>
      </c>
      <c r="E187" s="1">
        <v>6325</v>
      </c>
      <c r="F187" s="78">
        <v>45882</v>
      </c>
      <c r="G187" s="1" t="s">
        <v>1085</v>
      </c>
      <c r="H187" s="1" t="s">
        <v>1086</v>
      </c>
      <c r="I187" s="1" t="s">
        <v>1087</v>
      </c>
      <c r="J187" s="1">
        <v>1</v>
      </c>
      <c r="K187" s="1" t="s">
        <v>1005</v>
      </c>
    </row>
    <row r="188" spans="1:11" x14ac:dyDescent="0.25">
      <c r="A188" s="1" t="s">
        <v>1441</v>
      </c>
      <c r="B188" s="1" t="s">
        <v>1437</v>
      </c>
      <c r="C188" s="1" t="s">
        <v>1438</v>
      </c>
      <c r="D188" s="1" t="s">
        <v>1110</v>
      </c>
      <c r="E188" s="1">
        <v>575</v>
      </c>
      <c r="F188" s="78">
        <v>45882</v>
      </c>
      <c r="G188" s="1" t="s">
        <v>1085</v>
      </c>
      <c r="H188" s="1" t="s">
        <v>1086</v>
      </c>
      <c r="I188" s="1" t="s">
        <v>1087</v>
      </c>
      <c r="J188" s="1">
        <v>1</v>
      </c>
      <c r="K188" s="1" t="s">
        <v>1005</v>
      </c>
    </row>
    <row r="189" spans="1:11" x14ac:dyDescent="0.25">
      <c r="A189" s="1" t="s">
        <v>1442</v>
      </c>
      <c r="B189" s="1" t="s">
        <v>1440</v>
      </c>
      <c r="C189" s="1" t="s">
        <v>1438</v>
      </c>
      <c r="D189" s="1" t="s">
        <v>1110</v>
      </c>
      <c r="E189" s="1">
        <v>6325</v>
      </c>
      <c r="F189" s="78">
        <v>45882</v>
      </c>
      <c r="G189" s="1" t="s">
        <v>1085</v>
      </c>
      <c r="H189" s="1" t="s">
        <v>1086</v>
      </c>
      <c r="I189" s="1" t="s">
        <v>1087</v>
      </c>
      <c r="J189" s="1">
        <v>1</v>
      </c>
      <c r="K189" s="1" t="s">
        <v>1005</v>
      </c>
    </row>
  </sheetData>
  <phoneticPr fontId="38" type="noConversion"/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30EF-76A0-47C6-B470-E3F976B4CA78}">
  <sheetPr>
    <tabColor theme="9" tint="-0.249977111117893"/>
  </sheetPr>
  <dimension ref="A1:L101"/>
  <sheetViews>
    <sheetView topLeftCell="A41" workbookViewId="0">
      <selection activeCell="J2" sqref="J2"/>
    </sheetView>
  </sheetViews>
  <sheetFormatPr baseColWidth="10" defaultRowHeight="15" x14ac:dyDescent="0.25"/>
  <cols>
    <col min="1" max="1" width="40" style="1" bestFit="1" customWidth="1"/>
    <col min="2" max="2" width="57.28515625" style="1" bestFit="1" customWidth="1"/>
    <col min="3" max="3" width="6.7109375" style="1" bestFit="1" customWidth="1"/>
    <col min="4" max="4" width="8.7109375" style="1" bestFit="1" customWidth="1"/>
    <col min="5" max="5" width="16.85546875" style="1" bestFit="1" customWidth="1"/>
    <col min="6" max="6" width="13.5703125" style="1" bestFit="1" customWidth="1"/>
    <col min="7" max="7" width="27.42578125" style="1" bestFit="1" customWidth="1"/>
    <col min="8" max="8" width="12.5703125" style="1" bestFit="1" customWidth="1"/>
    <col min="9" max="9" width="18.42578125" style="1" bestFit="1" customWidth="1"/>
    <col min="10" max="10" width="18.5703125" style="1" bestFit="1" customWidth="1"/>
    <col min="11" max="11" width="20" style="1" bestFit="1" customWidth="1"/>
    <col min="12" max="12" width="10" style="1" bestFit="1" customWidth="1"/>
    <col min="13" max="16384" width="11.42578125" style="1"/>
  </cols>
  <sheetData>
    <row r="1" spans="1:12" x14ac:dyDescent="0.25">
      <c r="A1" s="1" t="s">
        <v>1072</v>
      </c>
      <c r="B1" s="1" t="s">
        <v>1073</v>
      </c>
      <c r="C1" s="1" t="s">
        <v>1074</v>
      </c>
      <c r="D1" s="1" t="s">
        <v>1075</v>
      </c>
      <c r="E1" s="1" t="s">
        <v>1443</v>
      </c>
      <c r="F1" s="1" t="s">
        <v>1079</v>
      </c>
      <c r="G1" s="1" t="s">
        <v>1078</v>
      </c>
      <c r="H1" s="1" t="s">
        <v>979</v>
      </c>
      <c r="I1" s="1" t="s">
        <v>1053</v>
      </c>
      <c r="J1" s="1" t="s">
        <v>1444</v>
      </c>
      <c r="K1" s="1" t="s">
        <v>1445</v>
      </c>
      <c r="L1" s="1" t="s">
        <v>982</v>
      </c>
    </row>
    <row r="2" spans="1:12" x14ac:dyDescent="0.25">
      <c r="A2" s="1" t="s">
        <v>1081</v>
      </c>
      <c r="B2" s="1" t="s">
        <v>1082</v>
      </c>
      <c r="C2" s="1" t="s">
        <v>1083</v>
      </c>
      <c r="D2" s="1" t="s">
        <v>1084</v>
      </c>
      <c r="E2" s="1">
        <v>4755250</v>
      </c>
      <c r="F2" s="1" t="s">
        <v>1084</v>
      </c>
      <c r="G2" s="1" t="s">
        <v>1447</v>
      </c>
      <c r="H2" s="1" t="s">
        <v>1086</v>
      </c>
      <c r="J2" s="1">
        <v>4755250</v>
      </c>
      <c r="K2" s="78">
        <v>46084</v>
      </c>
      <c r="L2" s="1" t="s">
        <v>1448</v>
      </c>
    </row>
    <row r="3" spans="1:12" x14ac:dyDescent="0.25">
      <c r="A3" s="1" t="s">
        <v>1088</v>
      </c>
      <c r="B3" s="1" t="s">
        <v>1089</v>
      </c>
      <c r="C3" s="1" t="s">
        <v>1083</v>
      </c>
      <c r="D3" s="1" t="s">
        <v>1084</v>
      </c>
      <c r="E3" s="1">
        <v>3758730</v>
      </c>
      <c r="F3" s="1" t="s">
        <v>1084</v>
      </c>
      <c r="G3" s="1" t="s">
        <v>1447</v>
      </c>
      <c r="H3" s="1" t="s">
        <v>1086</v>
      </c>
      <c r="J3" s="1">
        <v>3758730</v>
      </c>
      <c r="K3" s="78">
        <v>46084</v>
      </c>
      <c r="L3" s="1" t="s">
        <v>1448</v>
      </c>
    </row>
    <row r="4" spans="1:12" x14ac:dyDescent="0.25">
      <c r="A4" s="1" t="s">
        <v>1090</v>
      </c>
      <c r="B4" s="1" t="s">
        <v>1449</v>
      </c>
      <c r="C4" s="1" t="s">
        <v>1083</v>
      </c>
      <c r="D4" s="1" t="s">
        <v>1084</v>
      </c>
      <c r="E4" s="1">
        <v>2507000</v>
      </c>
      <c r="F4" s="1" t="s">
        <v>1084</v>
      </c>
      <c r="G4" s="1" t="s">
        <v>1447</v>
      </c>
      <c r="H4" s="1" t="s">
        <v>1086</v>
      </c>
      <c r="J4" s="1">
        <v>2507000</v>
      </c>
      <c r="K4" s="78">
        <v>46084</v>
      </c>
      <c r="L4" s="1" t="s">
        <v>1448</v>
      </c>
    </row>
    <row r="5" spans="1:12" x14ac:dyDescent="0.25">
      <c r="A5" s="1" t="s">
        <v>1092</v>
      </c>
      <c r="B5" s="1" t="s">
        <v>1450</v>
      </c>
      <c r="C5" s="1" t="s">
        <v>1083</v>
      </c>
      <c r="D5" s="1" t="s">
        <v>1084</v>
      </c>
      <c r="E5" s="1">
        <v>4213438</v>
      </c>
      <c r="F5" s="1" t="s">
        <v>1087</v>
      </c>
      <c r="G5" s="1" t="s">
        <v>1447</v>
      </c>
      <c r="H5" s="1" t="s">
        <v>1086</v>
      </c>
      <c r="J5" s="1">
        <v>4213438</v>
      </c>
      <c r="K5" s="78">
        <v>46084</v>
      </c>
      <c r="L5" s="1" t="s">
        <v>1448</v>
      </c>
    </row>
    <row r="6" spans="1:12" x14ac:dyDescent="0.25">
      <c r="A6" s="1" t="s">
        <v>1094</v>
      </c>
      <c r="B6" s="1" t="s">
        <v>1451</v>
      </c>
      <c r="C6" s="1" t="s">
        <v>1083</v>
      </c>
      <c r="D6" s="1" t="s">
        <v>1084</v>
      </c>
      <c r="E6" s="1">
        <v>4945000</v>
      </c>
      <c r="F6" s="1" t="s">
        <v>1087</v>
      </c>
      <c r="G6" s="1" t="s">
        <v>1447</v>
      </c>
      <c r="H6" s="1" t="s">
        <v>1086</v>
      </c>
      <c r="J6" s="1">
        <v>4945000</v>
      </c>
      <c r="K6" s="78">
        <v>46084</v>
      </c>
      <c r="L6" s="1" t="s">
        <v>1448</v>
      </c>
    </row>
    <row r="7" spans="1:12" x14ac:dyDescent="0.25">
      <c r="A7" s="1" t="s">
        <v>1096</v>
      </c>
      <c r="B7" s="1" t="s">
        <v>1097</v>
      </c>
      <c r="C7" s="1" t="s">
        <v>1083</v>
      </c>
      <c r="D7" s="1" t="s">
        <v>1084</v>
      </c>
      <c r="E7" s="1">
        <v>4795500</v>
      </c>
      <c r="F7" s="1" t="s">
        <v>1087</v>
      </c>
      <c r="G7" s="1" t="s">
        <v>1447</v>
      </c>
      <c r="H7" s="1" t="s">
        <v>1086</v>
      </c>
      <c r="J7" s="1">
        <v>4795500</v>
      </c>
      <c r="K7" s="78">
        <v>46084</v>
      </c>
      <c r="L7" s="1" t="s">
        <v>1448</v>
      </c>
    </row>
    <row r="8" spans="1:12" x14ac:dyDescent="0.25">
      <c r="A8" s="1" t="s">
        <v>1098</v>
      </c>
      <c r="B8" s="1" t="s">
        <v>1452</v>
      </c>
      <c r="C8" s="1" t="s">
        <v>1083</v>
      </c>
      <c r="D8" s="1" t="s">
        <v>1084</v>
      </c>
      <c r="E8" s="1">
        <v>1265000</v>
      </c>
      <c r="F8" s="1" t="s">
        <v>1084</v>
      </c>
      <c r="G8" s="1" t="s">
        <v>1447</v>
      </c>
      <c r="H8" s="1" t="s">
        <v>1086</v>
      </c>
      <c r="J8" s="1">
        <v>1265000</v>
      </c>
      <c r="K8" s="78">
        <v>46084</v>
      </c>
      <c r="L8" s="1" t="s">
        <v>1448</v>
      </c>
    </row>
    <row r="9" spans="1:12" x14ac:dyDescent="0.25">
      <c r="A9" s="1" t="s">
        <v>1100</v>
      </c>
      <c r="B9" s="1" t="s">
        <v>1453</v>
      </c>
      <c r="C9" s="1" t="s">
        <v>1083</v>
      </c>
      <c r="D9" s="1" t="s">
        <v>1084</v>
      </c>
      <c r="E9" s="1">
        <v>1725000</v>
      </c>
      <c r="F9" s="1" t="s">
        <v>1087</v>
      </c>
      <c r="G9" s="1" t="s">
        <v>1447</v>
      </c>
      <c r="H9" s="1" t="s">
        <v>1086</v>
      </c>
      <c r="J9" s="1">
        <v>1725000</v>
      </c>
      <c r="K9" s="78">
        <v>46084</v>
      </c>
      <c r="L9" s="1" t="s">
        <v>1448</v>
      </c>
    </row>
    <row r="10" spans="1:12" x14ac:dyDescent="0.25">
      <c r="A10" s="1" t="s">
        <v>1102</v>
      </c>
      <c r="B10" s="1" t="s">
        <v>1454</v>
      </c>
      <c r="C10" s="1" t="s">
        <v>1083</v>
      </c>
      <c r="D10" s="1" t="s">
        <v>1084</v>
      </c>
      <c r="E10" s="1">
        <v>2587500</v>
      </c>
      <c r="F10" s="1" t="s">
        <v>1087</v>
      </c>
      <c r="G10" s="1" t="s">
        <v>1447</v>
      </c>
      <c r="H10" s="1" t="s">
        <v>1086</v>
      </c>
      <c r="J10" s="1">
        <v>2587500</v>
      </c>
      <c r="K10" s="78">
        <v>46084</v>
      </c>
      <c r="L10" s="1" t="s">
        <v>1448</v>
      </c>
    </row>
    <row r="11" spans="1:12" x14ac:dyDescent="0.25">
      <c r="A11" s="1" t="s">
        <v>1104</v>
      </c>
      <c r="B11" s="1" t="s">
        <v>1455</v>
      </c>
      <c r="C11" s="1" t="s">
        <v>1083</v>
      </c>
      <c r="D11" s="1" t="s">
        <v>1084</v>
      </c>
      <c r="E11" s="1">
        <v>1725000</v>
      </c>
      <c r="F11" s="1" t="s">
        <v>1087</v>
      </c>
      <c r="G11" s="1" t="s">
        <v>1447</v>
      </c>
      <c r="H11" s="1" t="s">
        <v>1086</v>
      </c>
      <c r="J11" s="1">
        <v>1725000</v>
      </c>
      <c r="K11" s="78">
        <v>46084</v>
      </c>
      <c r="L11" s="1" t="s">
        <v>1448</v>
      </c>
    </row>
    <row r="12" spans="1:12" x14ac:dyDescent="0.25">
      <c r="A12" s="1" t="s">
        <v>1106</v>
      </c>
      <c r="B12" s="1" t="s">
        <v>1107</v>
      </c>
      <c r="C12" s="1" t="s">
        <v>1083</v>
      </c>
      <c r="D12" s="1" t="s">
        <v>1084</v>
      </c>
      <c r="E12" s="1">
        <v>552000</v>
      </c>
      <c r="F12" s="1" t="s">
        <v>1087</v>
      </c>
      <c r="G12" s="1" t="s">
        <v>1447</v>
      </c>
      <c r="H12" s="1" t="s">
        <v>1086</v>
      </c>
      <c r="J12" s="1">
        <v>552000</v>
      </c>
      <c r="K12" s="78">
        <v>46084</v>
      </c>
      <c r="L12" s="1" t="s">
        <v>1448</v>
      </c>
    </row>
    <row r="13" spans="1:12" x14ac:dyDescent="0.25">
      <c r="A13" s="1" t="s">
        <v>1111</v>
      </c>
      <c r="B13" s="1" t="s">
        <v>1112</v>
      </c>
      <c r="C13" s="1" t="s">
        <v>1083</v>
      </c>
      <c r="D13" s="1" t="s">
        <v>1113</v>
      </c>
      <c r="E13" s="1">
        <v>338720</v>
      </c>
      <c r="F13" s="1" t="s">
        <v>1087</v>
      </c>
      <c r="G13" s="1" t="s">
        <v>1447</v>
      </c>
      <c r="H13" s="1" t="s">
        <v>1086</v>
      </c>
      <c r="J13" s="1">
        <v>338720</v>
      </c>
      <c r="K13" s="78">
        <v>46084</v>
      </c>
      <c r="L13" s="1" t="s">
        <v>1448</v>
      </c>
    </row>
    <row r="14" spans="1:12" x14ac:dyDescent="0.25">
      <c r="A14" s="1" t="s">
        <v>1114</v>
      </c>
      <c r="B14" s="1" t="s">
        <v>1458</v>
      </c>
      <c r="C14" s="1" t="s">
        <v>1083</v>
      </c>
      <c r="D14" s="1" t="s">
        <v>1113</v>
      </c>
      <c r="E14" s="1">
        <v>189175</v>
      </c>
      <c r="F14" s="1" t="s">
        <v>1087</v>
      </c>
      <c r="G14" s="1" t="s">
        <v>1447</v>
      </c>
      <c r="H14" s="1" t="s">
        <v>1086</v>
      </c>
      <c r="J14" s="1">
        <v>189175</v>
      </c>
      <c r="K14" s="78">
        <v>46084</v>
      </c>
      <c r="L14" s="1" t="s">
        <v>1448</v>
      </c>
    </row>
    <row r="15" spans="1:12" x14ac:dyDescent="0.25">
      <c r="A15" s="1" t="s">
        <v>1116</v>
      </c>
      <c r="B15" s="1" t="s">
        <v>1117</v>
      </c>
      <c r="C15" s="1" t="s">
        <v>1083</v>
      </c>
      <c r="D15" s="1" t="s">
        <v>1110</v>
      </c>
      <c r="E15" s="1">
        <v>3350</v>
      </c>
      <c r="F15" s="1" t="s">
        <v>1087</v>
      </c>
      <c r="G15" s="1" t="s">
        <v>1447</v>
      </c>
      <c r="H15" s="1" t="s">
        <v>1086</v>
      </c>
      <c r="J15" s="1">
        <v>3350</v>
      </c>
      <c r="K15" s="78">
        <v>46084</v>
      </c>
      <c r="L15" s="1" t="s">
        <v>1448</v>
      </c>
    </row>
    <row r="16" spans="1:12" x14ac:dyDescent="0.25">
      <c r="A16" s="1" t="s">
        <v>1118</v>
      </c>
      <c r="B16" s="1" t="s">
        <v>1459</v>
      </c>
      <c r="C16" s="1" t="s">
        <v>1083</v>
      </c>
      <c r="D16" s="1" t="s">
        <v>1120</v>
      </c>
      <c r="E16" s="1">
        <v>370</v>
      </c>
      <c r="F16" s="1" t="s">
        <v>1087</v>
      </c>
      <c r="G16" s="1" t="s">
        <v>1447</v>
      </c>
      <c r="H16" s="1" t="s">
        <v>1086</v>
      </c>
      <c r="J16" s="1">
        <v>370</v>
      </c>
      <c r="K16" s="78">
        <v>46084</v>
      </c>
      <c r="L16" s="1" t="s">
        <v>1448</v>
      </c>
    </row>
    <row r="17" spans="1:12" x14ac:dyDescent="0.25">
      <c r="A17" s="1" t="s">
        <v>1131</v>
      </c>
      <c r="B17" s="1" t="s">
        <v>1461</v>
      </c>
      <c r="C17" s="1" t="s">
        <v>1083</v>
      </c>
      <c r="D17" s="1" t="s">
        <v>1110</v>
      </c>
      <c r="E17" s="1">
        <v>12180</v>
      </c>
      <c r="F17" s="1" t="s">
        <v>1087</v>
      </c>
      <c r="G17" s="1" t="s">
        <v>1447</v>
      </c>
      <c r="H17" s="1" t="s">
        <v>1086</v>
      </c>
      <c r="J17" s="1">
        <v>12180</v>
      </c>
      <c r="K17" s="78">
        <v>46084</v>
      </c>
      <c r="L17" s="1" t="s">
        <v>1448</v>
      </c>
    </row>
    <row r="18" spans="1:12" x14ac:dyDescent="0.25">
      <c r="A18" s="1" t="s">
        <v>1155</v>
      </c>
      <c r="B18" s="1" t="s">
        <v>1462</v>
      </c>
      <c r="C18" s="1" t="s">
        <v>1083</v>
      </c>
      <c r="D18" s="1" t="s">
        <v>1110</v>
      </c>
      <c r="E18" s="1">
        <v>11185</v>
      </c>
      <c r="F18" s="1" t="s">
        <v>1087</v>
      </c>
      <c r="G18" s="1" t="s">
        <v>1447</v>
      </c>
      <c r="H18" s="1" t="s">
        <v>1086</v>
      </c>
      <c r="J18" s="1">
        <v>11185</v>
      </c>
      <c r="K18" s="78">
        <v>46084</v>
      </c>
      <c r="L18" s="1" t="s">
        <v>1448</v>
      </c>
    </row>
    <row r="19" spans="1:12" x14ac:dyDescent="0.25">
      <c r="A19" s="1" t="s">
        <v>1157</v>
      </c>
      <c r="B19" s="1" t="s">
        <v>1158</v>
      </c>
      <c r="C19" s="1" t="s">
        <v>1083</v>
      </c>
      <c r="D19" s="1" t="s">
        <v>1110</v>
      </c>
      <c r="E19" s="1">
        <v>3827</v>
      </c>
      <c r="F19" s="1" t="s">
        <v>1087</v>
      </c>
      <c r="G19" s="1" t="s">
        <v>1447</v>
      </c>
      <c r="H19" s="1" t="s">
        <v>1086</v>
      </c>
      <c r="J19" s="1">
        <v>3827</v>
      </c>
      <c r="K19" s="78">
        <v>46084</v>
      </c>
      <c r="L19" s="1" t="s">
        <v>1448</v>
      </c>
    </row>
    <row r="20" spans="1:12" x14ac:dyDescent="0.25">
      <c r="A20" s="1" t="s">
        <v>1159</v>
      </c>
      <c r="B20" s="1" t="s">
        <v>1160</v>
      </c>
      <c r="C20" s="1" t="s">
        <v>1083</v>
      </c>
      <c r="D20" s="1" t="s">
        <v>1110</v>
      </c>
      <c r="E20" s="1">
        <v>3827</v>
      </c>
      <c r="F20" s="1" t="s">
        <v>1087</v>
      </c>
      <c r="G20" s="1" t="s">
        <v>1447</v>
      </c>
      <c r="H20" s="1" t="s">
        <v>1086</v>
      </c>
      <c r="J20" s="1">
        <v>3827</v>
      </c>
      <c r="K20" s="78">
        <v>46084</v>
      </c>
      <c r="L20" s="1" t="s">
        <v>1448</v>
      </c>
    </row>
    <row r="21" spans="1:12" x14ac:dyDescent="0.25">
      <c r="A21" s="1" t="s">
        <v>1178</v>
      </c>
      <c r="B21" s="1" t="s">
        <v>1463</v>
      </c>
      <c r="C21" s="1" t="s">
        <v>1174</v>
      </c>
      <c r="D21" s="1" t="s">
        <v>1110</v>
      </c>
      <c r="E21" s="1">
        <v>11793</v>
      </c>
      <c r="F21" s="1" t="s">
        <v>1087</v>
      </c>
      <c r="G21" s="1" t="s">
        <v>1447</v>
      </c>
      <c r="H21" s="1" t="s">
        <v>1086</v>
      </c>
      <c r="J21" s="1">
        <v>11793</v>
      </c>
      <c r="K21" s="78">
        <v>46084</v>
      </c>
      <c r="L21" s="1" t="s">
        <v>1448</v>
      </c>
    </row>
    <row r="22" spans="1:12" x14ac:dyDescent="0.25">
      <c r="A22" s="1" t="s">
        <v>1180</v>
      </c>
      <c r="B22" s="1" t="s">
        <v>1181</v>
      </c>
      <c r="C22" s="1" t="s">
        <v>1174</v>
      </c>
      <c r="D22" s="1" t="s">
        <v>1110</v>
      </c>
      <c r="E22" s="1">
        <v>6100</v>
      </c>
      <c r="F22" s="1" t="s">
        <v>1087</v>
      </c>
      <c r="G22" s="1" t="s">
        <v>1447</v>
      </c>
      <c r="H22" s="1" t="s">
        <v>1086</v>
      </c>
      <c r="J22" s="1">
        <v>6100</v>
      </c>
      <c r="K22" s="78">
        <v>46084</v>
      </c>
      <c r="L22" s="1" t="s">
        <v>1448</v>
      </c>
    </row>
    <row r="23" spans="1:12" x14ac:dyDescent="0.25">
      <c r="A23" s="1" t="s">
        <v>1182</v>
      </c>
      <c r="B23" s="1" t="s">
        <v>1176</v>
      </c>
      <c r="C23" s="1" t="s">
        <v>1174</v>
      </c>
      <c r="D23" s="1" t="s">
        <v>1177</v>
      </c>
      <c r="E23" s="1">
        <v>3050</v>
      </c>
      <c r="F23" s="1" t="s">
        <v>1087</v>
      </c>
      <c r="G23" s="1" t="s">
        <v>1447</v>
      </c>
      <c r="H23" s="1" t="s">
        <v>1086</v>
      </c>
      <c r="J23" s="1">
        <v>3050</v>
      </c>
      <c r="K23" s="78">
        <v>46084</v>
      </c>
      <c r="L23" s="1" t="s">
        <v>1448</v>
      </c>
    </row>
    <row r="24" spans="1:12" x14ac:dyDescent="0.25">
      <c r="A24" s="1" t="s">
        <v>1183</v>
      </c>
      <c r="B24" s="1" t="s">
        <v>1465</v>
      </c>
      <c r="C24" s="1" t="s">
        <v>1174</v>
      </c>
      <c r="D24" s="1" t="s">
        <v>1110</v>
      </c>
      <c r="E24" s="1">
        <v>11793</v>
      </c>
      <c r="F24" s="1" t="s">
        <v>1087</v>
      </c>
      <c r="G24" s="1" t="s">
        <v>1447</v>
      </c>
      <c r="H24" s="1" t="s">
        <v>1086</v>
      </c>
      <c r="J24" s="1">
        <v>11793</v>
      </c>
      <c r="K24" s="78">
        <v>46084</v>
      </c>
      <c r="L24" s="1" t="s">
        <v>1448</v>
      </c>
    </row>
    <row r="25" spans="1:12" x14ac:dyDescent="0.25">
      <c r="A25" s="1" t="s">
        <v>1184</v>
      </c>
      <c r="B25" s="1" t="s">
        <v>1466</v>
      </c>
      <c r="C25" s="1" t="s">
        <v>1174</v>
      </c>
      <c r="D25" s="1" t="s">
        <v>1110</v>
      </c>
      <c r="E25" s="1">
        <v>4575</v>
      </c>
      <c r="F25" s="1" t="s">
        <v>1087</v>
      </c>
      <c r="G25" s="1" t="s">
        <v>1447</v>
      </c>
      <c r="H25" s="1" t="s">
        <v>1086</v>
      </c>
      <c r="J25" s="1">
        <v>4575</v>
      </c>
      <c r="K25" s="78">
        <v>46084</v>
      </c>
      <c r="L25" s="1" t="s">
        <v>1448</v>
      </c>
    </row>
    <row r="26" spans="1:12" x14ac:dyDescent="0.25">
      <c r="A26" s="1" t="s">
        <v>1186</v>
      </c>
      <c r="B26" s="1" t="s">
        <v>1176</v>
      </c>
      <c r="C26" s="1" t="s">
        <v>1174</v>
      </c>
      <c r="D26" s="1" t="s">
        <v>1177</v>
      </c>
      <c r="E26" s="1">
        <v>3050</v>
      </c>
      <c r="F26" s="1" t="s">
        <v>1087</v>
      </c>
      <c r="G26" s="1" t="s">
        <v>1447</v>
      </c>
      <c r="H26" s="1" t="s">
        <v>1086</v>
      </c>
      <c r="J26" s="1">
        <v>3050</v>
      </c>
      <c r="K26" s="78">
        <v>46084</v>
      </c>
      <c r="L26" s="1" t="s">
        <v>1448</v>
      </c>
    </row>
    <row r="27" spans="1:12" x14ac:dyDescent="0.25">
      <c r="A27" s="1" t="s">
        <v>1187</v>
      </c>
      <c r="B27" s="1" t="s">
        <v>1188</v>
      </c>
      <c r="C27" s="1" t="s">
        <v>1189</v>
      </c>
      <c r="D27" s="1" t="s">
        <v>1110</v>
      </c>
      <c r="E27" s="1">
        <v>5490</v>
      </c>
      <c r="F27" s="1" t="s">
        <v>1087</v>
      </c>
      <c r="G27" s="1" t="s">
        <v>1447</v>
      </c>
      <c r="H27" s="1" t="s">
        <v>1086</v>
      </c>
      <c r="J27" s="1">
        <v>5490</v>
      </c>
      <c r="K27" s="78">
        <v>46084</v>
      </c>
      <c r="L27" s="1" t="s">
        <v>1448</v>
      </c>
    </row>
    <row r="28" spans="1:12" x14ac:dyDescent="0.25">
      <c r="A28" s="1" t="s">
        <v>1190</v>
      </c>
      <c r="B28" s="1" t="s">
        <v>1468</v>
      </c>
      <c r="C28" s="1" t="s">
        <v>1189</v>
      </c>
      <c r="D28" s="1" t="s">
        <v>1110</v>
      </c>
      <c r="E28" s="1">
        <v>10065</v>
      </c>
      <c r="F28" s="1" t="s">
        <v>1087</v>
      </c>
      <c r="G28" s="1" t="s">
        <v>1447</v>
      </c>
      <c r="H28" s="1" t="s">
        <v>1086</v>
      </c>
      <c r="J28" s="1">
        <v>10065</v>
      </c>
      <c r="K28" s="78">
        <v>46084</v>
      </c>
      <c r="L28" s="1" t="s">
        <v>1448</v>
      </c>
    </row>
    <row r="29" spans="1:12" x14ac:dyDescent="0.25">
      <c r="A29" s="1" t="s">
        <v>1192</v>
      </c>
      <c r="B29" s="1" t="s">
        <v>1469</v>
      </c>
      <c r="C29" s="1" t="s">
        <v>1189</v>
      </c>
      <c r="D29" s="1" t="s">
        <v>1177</v>
      </c>
      <c r="E29" s="1">
        <v>2745</v>
      </c>
      <c r="F29" s="1" t="s">
        <v>1087</v>
      </c>
      <c r="G29" s="1" t="s">
        <v>1447</v>
      </c>
      <c r="H29" s="1" t="s">
        <v>1086</v>
      </c>
      <c r="J29" s="1">
        <v>2745</v>
      </c>
      <c r="K29" s="78">
        <v>46084</v>
      </c>
      <c r="L29" s="1" t="s">
        <v>1448</v>
      </c>
    </row>
    <row r="30" spans="1:12" x14ac:dyDescent="0.25">
      <c r="A30" s="1" t="s">
        <v>1194</v>
      </c>
      <c r="B30" s="1" t="s">
        <v>1470</v>
      </c>
      <c r="C30" s="1" t="s">
        <v>1189</v>
      </c>
      <c r="D30" s="1" t="s">
        <v>1177</v>
      </c>
      <c r="E30" s="1">
        <v>42700</v>
      </c>
      <c r="F30" s="1" t="s">
        <v>1087</v>
      </c>
      <c r="G30" s="1" t="s">
        <v>1447</v>
      </c>
      <c r="H30" s="1" t="s">
        <v>1086</v>
      </c>
      <c r="J30" s="1">
        <v>42700</v>
      </c>
      <c r="K30" s="78">
        <v>46084</v>
      </c>
      <c r="L30" s="1" t="s">
        <v>1448</v>
      </c>
    </row>
    <row r="31" spans="1:12" x14ac:dyDescent="0.25">
      <c r="A31" s="1" t="s">
        <v>1196</v>
      </c>
      <c r="B31" s="1" t="s">
        <v>1197</v>
      </c>
      <c r="C31" s="1" t="s">
        <v>1198</v>
      </c>
      <c r="D31" s="1" t="s">
        <v>1110</v>
      </c>
      <c r="E31" s="1">
        <v>35075</v>
      </c>
      <c r="F31" s="1" t="s">
        <v>1087</v>
      </c>
      <c r="G31" s="1" t="s">
        <v>1447</v>
      </c>
      <c r="H31" s="1" t="s">
        <v>1086</v>
      </c>
      <c r="J31" s="1">
        <v>35075</v>
      </c>
      <c r="K31" s="78">
        <v>46084</v>
      </c>
      <c r="L31" s="1" t="s">
        <v>1448</v>
      </c>
    </row>
    <row r="32" spans="1:12" x14ac:dyDescent="0.25">
      <c r="A32" s="1" t="s">
        <v>1199</v>
      </c>
      <c r="B32" s="1" t="s">
        <v>1200</v>
      </c>
      <c r="C32" s="1" t="s">
        <v>1198</v>
      </c>
      <c r="D32" s="1" t="s">
        <v>1110</v>
      </c>
      <c r="E32" s="1">
        <v>25925</v>
      </c>
      <c r="F32" s="1" t="s">
        <v>1087</v>
      </c>
      <c r="G32" s="1" t="s">
        <v>1447</v>
      </c>
      <c r="H32" s="1" t="s">
        <v>1086</v>
      </c>
      <c r="J32" s="1">
        <v>25925</v>
      </c>
      <c r="K32" s="78">
        <v>46084</v>
      </c>
      <c r="L32" s="1" t="s">
        <v>1448</v>
      </c>
    </row>
    <row r="33" spans="1:12" x14ac:dyDescent="0.25">
      <c r="A33" s="1" t="s">
        <v>1201</v>
      </c>
      <c r="B33" s="1" t="s">
        <v>1202</v>
      </c>
      <c r="C33" s="1" t="s">
        <v>1203</v>
      </c>
      <c r="D33" s="1" t="s">
        <v>1084</v>
      </c>
      <c r="E33" s="1">
        <v>131150</v>
      </c>
      <c r="F33" s="1" t="s">
        <v>1087</v>
      </c>
      <c r="G33" s="1" t="s">
        <v>1447</v>
      </c>
      <c r="H33" s="1" t="s">
        <v>1086</v>
      </c>
      <c r="J33" s="1">
        <v>131150</v>
      </c>
      <c r="K33" s="78">
        <v>46084</v>
      </c>
      <c r="L33" s="1" t="s">
        <v>1448</v>
      </c>
    </row>
    <row r="34" spans="1:12" x14ac:dyDescent="0.25">
      <c r="A34" s="1" t="s">
        <v>1204</v>
      </c>
      <c r="B34" s="1" t="s">
        <v>1205</v>
      </c>
      <c r="C34" s="1" t="s">
        <v>1203</v>
      </c>
      <c r="D34" s="1" t="s">
        <v>1084</v>
      </c>
      <c r="E34" s="1">
        <v>76250</v>
      </c>
      <c r="F34" s="1" t="s">
        <v>1087</v>
      </c>
      <c r="G34" s="1" t="s">
        <v>1447</v>
      </c>
      <c r="H34" s="1" t="s">
        <v>1086</v>
      </c>
      <c r="J34" s="1">
        <v>76250</v>
      </c>
      <c r="K34" s="78">
        <v>46084</v>
      </c>
      <c r="L34" s="1" t="s">
        <v>1448</v>
      </c>
    </row>
    <row r="35" spans="1:12" x14ac:dyDescent="0.25">
      <c r="A35" s="1" t="s">
        <v>1206</v>
      </c>
      <c r="B35" s="1" t="s">
        <v>1471</v>
      </c>
      <c r="C35" s="1" t="s">
        <v>1203</v>
      </c>
      <c r="D35" s="1" t="s">
        <v>1110</v>
      </c>
      <c r="E35" s="1">
        <v>39650</v>
      </c>
      <c r="F35" s="1" t="s">
        <v>1087</v>
      </c>
      <c r="G35" s="1" t="s">
        <v>1447</v>
      </c>
      <c r="H35" s="1" t="s">
        <v>1086</v>
      </c>
      <c r="J35" s="1">
        <v>39650</v>
      </c>
      <c r="K35" s="78">
        <v>46084</v>
      </c>
      <c r="L35" s="1" t="s">
        <v>1448</v>
      </c>
    </row>
    <row r="36" spans="1:12" x14ac:dyDescent="0.25">
      <c r="A36" s="1" t="s">
        <v>1208</v>
      </c>
      <c r="B36" s="1" t="s">
        <v>1472</v>
      </c>
      <c r="C36" s="1" t="s">
        <v>1203</v>
      </c>
      <c r="D36" s="1" t="s">
        <v>1084</v>
      </c>
      <c r="E36" s="1">
        <v>366000</v>
      </c>
      <c r="F36" s="1" t="s">
        <v>1087</v>
      </c>
      <c r="G36" s="1" t="s">
        <v>1447</v>
      </c>
      <c r="H36" s="1" t="s">
        <v>1086</v>
      </c>
      <c r="J36" s="1">
        <v>366000</v>
      </c>
      <c r="K36" s="78">
        <v>46084</v>
      </c>
      <c r="L36" s="1" t="s">
        <v>1448</v>
      </c>
    </row>
    <row r="37" spans="1:12" x14ac:dyDescent="0.25">
      <c r="A37" s="1" t="s">
        <v>1210</v>
      </c>
      <c r="B37" s="1" t="s">
        <v>1473</v>
      </c>
      <c r="C37" s="1" t="s">
        <v>1203</v>
      </c>
      <c r="D37" s="1" t="s">
        <v>1110</v>
      </c>
      <c r="E37" s="1">
        <v>22875</v>
      </c>
      <c r="F37" s="1" t="s">
        <v>1087</v>
      </c>
      <c r="G37" s="1" t="s">
        <v>1447</v>
      </c>
      <c r="H37" s="1" t="s">
        <v>1086</v>
      </c>
      <c r="J37" s="1">
        <v>22875</v>
      </c>
      <c r="K37" s="78">
        <v>46084</v>
      </c>
      <c r="L37" s="1" t="s">
        <v>1448</v>
      </c>
    </row>
    <row r="38" spans="1:12" x14ac:dyDescent="0.25">
      <c r="A38" s="1" t="s">
        <v>1212</v>
      </c>
      <c r="B38" s="1" t="s">
        <v>1474</v>
      </c>
      <c r="C38" s="1" t="s">
        <v>1203</v>
      </c>
      <c r="D38" s="1" t="s">
        <v>1110</v>
      </c>
      <c r="E38" s="1">
        <v>12200</v>
      </c>
      <c r="F38" s="1" t="s">
        <v>1087</v>
      </c>
      <c r="G38" s="1" t="s">
        <v>1447</v>
      </c>
      <c r="H38" s="1" t="s">
        <v>1086</v>
      </c>
      <c r="J38" s="1">
        <v>12200</v>
      </c>
      <c r="K38" s="78">
        <v>46084</v>
      </c>
      <c r="L38" s="1" t="s">
        <v>1448</v>
      </c>
    </row>
    <row r="39" spans="1:12" x14ac:dyDescent="0.25">
      <c r="A39" s="1" t="s">
        <v>1214</v>
      </c>
      <c r="B39" s="1" t="s">
        <v>1215</v>
      </c>
      <c r="C39" s="1" t="s">
        <v>1216</v>
      </c>
      <c r="D39" s="1" t="s">
        <v>1084</v>
      </c>
      <c r="E39" s="1">
        <v>152500</v>
      </c>
      <c r="F39" s="1" t="s">
        <v>1087</v>
      </c>
      <c r="G39" s="1" t="s">
        <v>1447</v>
      </c>
      <c r="H39" s="1" t="s">
        <v>1086</v>
      </c>
      <c r="J39" s="1">
        <v>152500</v>
      </c>
      <c r="K39" s="78">
        <v>46084</v>
      </c>
      <c r="L39" s="1" t="s">
        <v>1448</v>
      </c>
    </row>
    <row r="40" spans="1:12" x14ac:dyDescent="0.25">
      <c r="A40" s="1" t="s">
        <v>1217</v>
      </c>
      <c r="B40" s="1" t="s">
        <v>1218</v>
      </c>
      <c r="C40" s="1" t="s">
        <v>1216</v>
      </c>
      <c r="D40" s="1" t="s">
        <v>1084</v>
      </c>
      <c r="E40" s="1">
        <v>35075</v>
      </c>
      <c r="F40" s="1" t="s">
        <v>1087</v>
      </c>
      <c r="G40" s="1" t="s">
        <v>1447</v>
      </c>
      <c r="H40" s="1" t="s">
        <v>1086</v>
      </c>
      <c r="J40" s="1">
        <v>35075</v>
      </c>
      <c r="K40" s="78">
        <v>46084</v>
      </c>
      <c r="L40" s="1" t="s">
        <v>1448</v>
      </c>
    </row>
    <row r="41" spans="1:12" x14ac:dyDescent="0.25">
      <c r="A41" s="1" t="s">
        <v>1219</v>
      </c>
      <c r="B41" s="1" t="s">
        <v>1475</v>
      </c>
      <c r="C41" s="1" t="s">
        <v>1216</v>
      </c>
      <c r="D41" s="1" t="s">
        <v>1177</v>
      </c>
      <c r="E41" s="1">
        <v>41175</v>
      </c>
      <c r="F41" s="1" t="s">
        <v>1087</v>
      </c>
      <c r="G41" s="1" t="s">
        <v>1447</v>
      </c>
      <c r="H41" s="1" t="s">
        <v>1086</v>
      </c>
      <c r="J41" s="1">
        <v>41175</v>
      </c>
      <c r="K41" s="78">
        <v>46084</v>
      </c>
      <c r="L41" s="1" t="s">
        <v>1448</v>
      </c>
    </row>
    <row r="42" spans="1:12" x14ac:dyDescent="0.25">
      <c r="A42" s="1" t="s">
        <v>1221</v>
      </c>
      <c r="B42" s="1" t="s">
        <v>1476</v>
      </c>
      <c r="C42" s="1" t="s">
        <v>1216</v>
      </c>
      <c r="D42" s="1" t="s">
        <v>1177</v>
      </c>
      <c r="E42" s="1">
        <v>47275</v>
      </c>
      <c r="F42" s="1" t="s">
        <v>1087</v>
      </c>
      <c r="G42" s="1" t="s">
        <v>1447</v>
      </c>
      <c r="H42" s="1" t="s">
        <v>1086</v>
      </c>
      <c r="J42" s="1">
        <v>47275</v>
      </c>
      <c r="K42" s="78">
        <v>46084</v>
      </c>
      <c r="L42" s="1" t="s">
        <v>1448</v>
      </c>
    </row>
    <row r="43" spans="1:12" x14ac:dyDescent="0.25">
      <c r="A43" s="1" t="s">
        <v>1223</v>
      </c>
      <c r="B43" s="1" t="s">
        <v>1477</v>
      </c>
      <c r="C43" s="1" t="s">
        <v>1216</v>
      </c>
      <c r="D43" s="1" t="s">
        <v>1177</v>
      </c>
      <c r="E43" s="1">
        <v>47275</v>
      </c>
      <c r="F43" s="1" t="s">
        <v>1087</v>
      </c>
      <c r="G43" s="1" t="s">
        <v>1447</v>
      </c>
      <c r="H43" s="1" t="s">
        <v>1086</v>
      </c>
      <c r="J43" s="1">
        <v>47275</v>
      </c>
      <c r="K43" s="78">
        <v>46084</v>
      </c>
      <c r="L43" s="1" t="s">
        <v>1448</v>
      </c>
    </row>
    <row r="44" spans="1:12" x14ac:dyDescent="0.25">
      <c r="A44" s="1" t="s">
        <v>1225</v>
      </c>
      <c r="B44" s="1" t="s">
        <v>1478</v>
      </c>
      <c r="C44" s="1" t="s">
        <v>1216</v>
      </c>
      <c r="D44" s="1" t="s">
        <v>1177</v>
      </c>
      <c r="E44" s="1">
        <v>47275</v>
      </c>
      <c r="F44" s="1" t="s">
        <v>1087</v>
      </c>
      <c r="G44" s="1" t="s">
        <v>1447</v>
      </c>
      <c r="H44" s="1" t="s">
        <v>1086</v>
      </c>
      <c r="J44" s="1">
        <v>47275</v>
      </c>
      <c r="K44" s="78">
        <v>46084</v>
      </c>
      <c r="L44" s="1" t="s">
        <v>1448</v>
      </c>
    </row>
    <row r="45" spans="1:12" x14ac:dyDescent="0.25">
      <c r="A45" s="1" t="s">
        <v>1227</v>
      </c>
      <c r="B45" s="1" t="s">
        <v>1479</v>
      </c>
      <c r="C45" s="1" t="s">
        <v>1229</v>
      </c>
      <c r="D45" s="1" t="s">
        <v>1480</v>
      </c>
      <c r="E45" s="1">
        <v>7320</v>
      </c>
      <c r="F45" s="1" t="s">
        <v>1087</v>
      </c>
      <c r="G45" s="1" t="s">
        <v>1447</v>
      </c>
      <c r="H45" s="1" t="s">
        <v>1086</v>
      </c>
      <c r="J45" s="1">
        <v>7320</v>
      </c>
      <c r="K45" s="78">
        <v>46084</v>
      </c>
      <c r="L45" s="1" t="s">
        <v>1448</v>
      </c>
    </row>
    <row r="46" spans="1:12" x14ac:dyDescent="0.25">
      <c r="A46" s="1" t="s">
        <v>1230</v>
      </c>
      <c r="B46" s="1" t="s">
        <v>1482</v>
      </c>
      <c r="C46" s="1" t="s">
        <v>1229</v>
      </c>
      <c r="D46" s="1" t="s">
        <v>1480</v>
      </c>
      <c r="E46" s="1">
        <v>5185</v>
      </c>
      <c r="F46" s="1" t="s">
        <v>1087</v>
      </c>
      <c r="G46" s="1" t="s">
        <v>1447</v>
      </c>
      <c r="H46" s="1" t="s">
        <v>1086</v>
      </c>
      <c r="J46" s="1">
        <v>5185</v>
      </c>
      <c r="K46" s="78">
        <v>46084</v>
      </c>
      <c r="L46" s="1" t="s">
        <v>1448</v>
      </c>
    </row>
    <row r="47" spans="1:12" x14ac:dyDescent="0.25">
      <c r="A47" s="1" t="s">
        <v>1232</v>
      </c>
      <c r="B47" s="1" t="s">
        <v>1484</v>
      </c>
      <c r="C47" s="1" t="s">
        <v>1229</v>
      </c>
      <c r="D47" s="1" t="s">
        <v>1480</v>
      </c>
      <c r="E47" s="1">
        <v>6100</v>
      </c>
      <c r="F47" s="1" t="s">
        <v>1087</v>
      </c>
      <c r="G47" s="1" t="s">
        <v>1447</v>
      </c>
      <c r="H47" s="1" t="s">
        <v>1086</v>
      </c>
      <c r="J47" s="1">
        <v>6100</v>
      </c>
      <c r="K47" s="78">
        <v>46084</v>
      </c>
      <c r="L47" s="1" t="s">
        <v>1448</v>
      </c>
    </row>
    <row r="48" spans="1:12" x14ac:dyDescent="0.25">
      <c r="A48" s="1" t="s">
        <v>1234</v>
      </c>
      <c r="B48" s="1" t="s">
        <v>1486</v>
      </c>
      <c r="C48" s="1" t="s">
        <v>1229</v>
      </c>
      <c r="D48" s="1" t="s">
        <v>1480</v>
      </c>
      <c r="E48" s="1">
        <v>7625</v>
      </c>
      <c r="F48" s="1" t="s">
        <v>1087</v>
      </c>
      <c r="G48" s="1" t="s">
        <v>1447</v>
      </c>
      <c r="H48" s="1" t="s">
        <v>1086</v>
      </c>
      <c r="J48" s="1">
        <v>7625</v>
      </c>
      <c r="K48" s="78">
        <v>46084</v>
      </c>
      <c r="L48" s="1" t="s">
        <v>1448</v>
      </c>
    </row>
    <row r="49" spans="1:12" x14ac:dyDescent="0.25">
      <c r="A49" s="1" t="s">
        <v>1236</v>
      </c>
      <c r="B49" s="1" t="s">
        <v>1237</v>
      </c>
      <c r="C49" s="1" t="s">
        <v>1229</v>
      </c>
      <c r="D49" s="1" t="s">
        <v>1480</v>
      </c>
      <c r="E49" s="1">
        <v>2440</v>
      </c>
      <c r="F49" s="1" t="s">
        <v>1087</v>
      </c>
      <c r="G49" s="1" t="s">
        <v>1447</v>
      </c>
      <c r="H49" s="1" t="s">
        <v>1086</v>
      </c>
      <c r="J49" s="1">
        <v>2440</v>
      </c>
      <c r="K49" s="78">
        <v>46084</v>
      </c>
      <c r="L49" s="1" t="s">
        <v>1448</v>
      </c>
    </row>
    <row r="50" spans="1:12" x14ac:dyDescent="0.25">
      <c r="A50" s="1" t="s">
        <v>1238</v>
      </c>
      <c r="B50" s="1" t="s">
        <v>1487</v>
      </c>
      <c r="C50" s="1" t="s">
        <v>1229</v>
      </c>
      <c r="D50" s="1" t="s">
        <v>1480</v>
      </c>
      <c r="E50" s="1">
        <v>3355</v>
      </c>
      <c r="F50" s="1" t="s">
        <v>1087</v>
      </c>
      <c r="G50" s="1" t="s">
        <v>1447</v>
      </c>
      <c r="H50" s="1" t="s">
        <v>1086</v>
      </c>
      <c r="J50" s="1">
        <v>3355</v>
      </c>
      <c r="K50" s="78">
        <v>46084</v>
      </c>
      <c r="L50" s="1" t="s">
        <v>1448</v>
      </c>
    </row>
    <row r="51" spans="1:12" x14ac:dyDescent="0.25">
      <c r="A51" s="1" t="s">
        <v>1240</v>
      </c>
      <c r="B51" s="1" t="s">
        <v>1488</v>
      </c>
      <c r="C51" s="1" t="s">
        <v>1229</v>
      </c>
      <c r="D51" s="1" t="s">
        <v>1480</v>
      </c>
      <c r="E51" s="1">
        <v>4880</v>
      </c>
      <c r="F51" s="1" t="s">
        <v>1087</v>
      </c>
      <c r="G51" s="1" t="s">
        <v>1447</v>
      </c>
      <c r="H51" s="1" t="s">
        <v>1086</v>
      </c>
      <c r="J51" s="1">
        <v>4880</v>
      </c>
      <c r="K51" s="78">
        <v>46084</v>
      </c>
      <c r="L51" s="1" t="s">
        <v>1448</v>
      </c>
    </row>
    <row r="52" spans="1:12" x14ac:dyDescent="0.25">
      <c r="A52" s="1" t="s">
        <v>1242</v>
      </c>
      <c r="B52" s="1" t="s">
        <v>1489</v>
      </c>
      <c r="C52" s="1" t="s">
        <v>1229</v>
      </c>
      <c r="D52" s="1" t="s">
        <v>1480</v>
      </c>
      <c r="E52" s="1">
        <v>2745</v>
      </c>
      <c r="F52" s="1" t="s">
        <v>1087</v>
      </c>
      <c r="G52" s="1" t="s">
        <v>1447</v>
      </c>
      <c r="H52" s="1" t="s">
        <v>1086</v>
      </c>
      <c r="J52" s="1">
        <v>2745</v>
      </c>
      <c r="K52" s="78">
        <v>46084</v>
      </c>
      <c r="L52" s="1" t="s">
        <v>1448</v>
      </c>
    </row>
    <row r="53" spans="1:12" x14ac:dyDescent="0.25">
      <c r="A53" s="1" t="s">
        <v>1244</v>
      </c>
      <c r="B53" s="1" t="s">
        <v>1491</v>
      </c>
      <c r="C53" s="1" t="s">
        <v>1229</v>
      </c>
      <c r="D53" s="1" t="s">
        <v>1480</v>
      </c>
      <c r="E53" s="1">
        <v>2440</v>
      </c>
      <c r="F53" s="1" t="s">
        <v>1087</v>
      </c>
      <c r="G53" s="1" t="s">
        <v>1447</v>
      </c>
      <c r="H53" s="1" t="s">
        <v>1086</v>
      </c>
      <c r="J53" s="1">
        <v>2440</v>
      </c>
      <c r="K53" s="78">
        <v>46084</v>
      </c>
      <c r="L53" s="1" t="s">
        <v>1448</v>
      </c>
    </row>
    <row r="54" spans="1:12" x14ac:dyDescent="0.25">
      <c r="A54" s="1" t="s">
        <v>1246</v>
      </c>
      <c r="B54" s="1" t="s">
        <v>1493</v>
      </c>
      <c r="C54" s="1" t="s">
        <v>1229</v>
      </c>
      <c r="D54" s="1" t="s">
        <v>1480</v>
      </c>
      <c r="E54" s="1">
        <v>3050</v>
      </c>
      <c r="F54" s="1" t="s">
        <v>1087</v>
      </c>
      <c r="G54" s="1" t="s">
        <v>1447</v>
      </c>
      <c r="H54" s="1" t="s">
        <v>1086</v>
      </c>
      <c r="J54" s="1">
        <v>3050</v>
      </c>
      <c r="K54" s="78">
        <v>46084</v>
      </c>
      <c r="L54" s="1" t="s">
        <v>1448</v>
      </c>
    </row>
    <row r="55" spans="1:12" x14ac:dyDescent="0.25">
      <c r="A55" s="1" t="s">
        <v>1248</v>
      </c>
      <c r="B55" s="1" t="s">
        <v>1495</v>
      </c>
      <c r="C55" s="1" t="s">
        <v>1229</v>
      </c>
      <c r="D55" s="1" t="s">
        <v>1480</v>
      </c>
      <c r="E55" s="1">
        <v>1680</v>
      </c>
      <c r="F55" s="1" t="s">
        <v>1087</v>
      </c>
      <c r="G55" s="1" t="s">
        <v>1447</v>
      </c>
      <c r="H55" s="1" t="s">
        <v>1086</v>
      </c>
      <c r="J55" s="1">
        <v>1680</v>
      </c>
      <c r="K55" s="78">
        <v>46084</v>
      </c>
      <c r="L55" s="1" t="s">
        <v>1448</v>
      </c>
    </row>
    <row r="56" spans="1:12" x14ac:dyDescent="0.25">
      <c r="A56" s="1" t="s">
        <v>1250</v>
      </c>
      <c r="B56" s="1" t="s">
        <v>1496</v>
      </c>
      <c r="C56" s="1" t="s">
        <v>1229</v>
      </c>
      <c r="D56" s="1" t="s">
        <v>1480</v>
      </c>
      <c r="E56" s="1">
        <v>14030</v>
      </c>
      <c r="F56" s="1" t="s">
        <v>1497</v>
      </c>
      <c r="G56" s="1" t="s">
        <v>1447</v>
      </c>
      <c r="H56" s="1" t="s">
        <v>1086</v>
      </c>
      <c r="J56" s="1">
        <v>14030</v>
      </c>
      <c r="K56" s="78">
        <v>46084</v>
      </c>
      <c r="L56" s="1" t="s">
        <v>1448</v>
      </c>
    </row>
    <row r="57" spans="1:12" x14ac:dyDescent="0.25">
      <c r="A57" s="1" t="s">
        <v>1252</v>
      </c>
      <c r="B57" s="1" t="s">
        <v>1498</v>
      </c>
      <c r="C57" s="1" t="s">
        <v>1229</v>
      </c>
      <c r="D57" s="1" t="s">
        <v>1480</v>
      </c>
      <c r="E57" s="1">
        <v>9760</v>
      </c>
      <c r="F57" s="1" t="s">
        <v>1497</v>
      </c>
      <c r="G57" s="1" t="s">
        <v>1447</v>
      </c>
      <c r="H57" s="1" t="s">
        <v>1086</v>
      </c>
      <c r="J57" s="1">
        <v>9760</v>
      </c>
      <c r="K57" s="78">
        <v>46084</v>
      </c>
      <c r="L57" s="1" t="s">
        <v>1448</v>
      </c>
    </row>
    <row r="58" spans="1:12" x14ac:dyDescent="0.25">
      <c r="A58" s="1" t="s">
        <v>1254</v>
      </c>
      <c r="B58" s="1" t="s">
        <v>1255</v>
      </c>
      <c r="C58" s="1" t="s">
        <v>1229</v>
      </c>
      <c r="D58" s="1" t="s">
        <v>1480</v>
      </c>
      <c r="E58" s="1">
        <v>580</v>
      </c>
      <c r="F58" s="1" t="s">
        <v>1087</v>
      </c>
      <c r="G58" s="1" t="s">
        <v>1447</v>
      </c>
      <c r="H58" s="1" t="s">
        <v>1086</v>
      </c>
      <c r="J58" s="1">
        <v>580</v>
      </c>
      <c r="K58" s="78">
        <v>46084</v>
      </c>
      <c r="L58" s="1" t="s">
        <v>1448</v>
      </c>
    </row>
    <row r="59" spans="1:12" x14ac:dyDescent="0.25">
      <c r="A59" s="1" t="s">
        <v>1256</v>
      </c>
      <c r="B59" s="1" t="s">
        <v>1257</v>
      </c>
      <c r="C59" s="1" t="s">
        <v>1229</v>
      </c>
      <c r="D59" s="1" t="s">
        <v>1480</v>
      </c>
      <c r="E59" s="1">
        <v>640</v>
      </c>
      <c r="F59" s="1" t="s">
        <v>1087</v>
      </c>
      <c r="G59" s="1" t="s">
        <v>1447</v>
      </c>
      <c r="H59" s="1" t="s">
        <v>1086</v>
      </c>
      <c r="J59" s="1">
        <v>640</v>
      </c>
      <c r="K59" s="78">
        <v>46084</v>
      </c>
      <c r="L59" s="1" t="s">
        <v>1448</v>
      </c>
    </row>
    <row r="60" spans="1:12" x14ac:dyDescent="0.25">
      <c r="A60" s="1" t="s">
        <v>1258</v>
      </c>
      <c r="B60" s="1" t="s">
        <v>1499</v>
      </c>
      <c r="C60" s="1" t="s">
        <v>1229</v>
      </c>
      <c r="D60" s="1" t="s">
        <v>1480</v>
      </c>
      <c r="E60" s="1">
        <v>855</v>
      </c>
      <c r="F60" s="1" t="s">
        <v>1087</v>
      </c>
      <c r="G60" s="1" t="s">
        <v>1447</v>
      </c>
      <c r="H60" s="1" t="s">
        <v>1086</v>
      </c>
      <c r="J60" s="1">
        <v>855</v>
      </c>
      <c r="K60" s="78">
        <v>46084</v>
      </c>
      <c r="L60" s="1" t="s">
        <v>1448</v>
      </c>
    </row>
    <row r="61" spans="1:12" x14ac:dyDescent="0.25">
      <c r="A61" s="1" t="s">
        <v>1260</v>
      </c>
      <c r="B61" s="1" t="s">
        <v>1500</v>
      </c>
      <c r="C61" s="1" t="s">
        <v>1229</v>
      </c>
      <c r="D61" s="1" t="s">
        <v>1480</v>
      </c>
      <c r="E61" s="1">
        <v>4270</v>
      </c>
      <c r="F61" s="1" t="s">
        <v>1087</v>
      </c>
      <c r="G61" s="1" t="s">
        <v>1447</v>
      </c>
      <c r="H61" s="1" t="s">
        <v>1086</v>
      </c>
      <c r="J61" s="1">
        <v>4270</v>
      </c>
      <c r="K61" s="78">
        <v>46084</v>
      </c>
      <c r="L61" s="1" t="s">
        <v>1448</v>
      </c>
    </row>
    <row r="62" spans="1:12" x14ac:dyDescent="0.25">
      <c r="A62" s="1" t="s">
        <v>1262</v>
      </c>
      <c r="B62" s="1" t="s">
        <v>1263</v>
      </c>
      <c r="C62" s="1" t="s">
        <v>1229</v>
      </c>
      <c r="D62" s="1" t="s">
        <v>1480</v>
      </c>
      <c r="E62" s="1">
        <v>610000</v>
      </c>
      <c r="F62" s="1" t="s">
        <v>1087</v>
      </c>
      <c r="G62" s="1" t="s">
        <v>1447</v>
      </c>
      <c r="H62" s="1" t="s">
        <v>1086</v>
      </c>
      <c r="J62" s="1">
        <v>610000</v>
      </c>
      <c r="K62" s="78">
        <v>46084</v>
      </c>
      <c r="L62" s="1" t="s">
        <v>1448</v>
      </c>
    </row>
    <row r="63" spans="1:12" x14ac:dyDescent="0.25">
      <c r="A63" s="1" t="s">
        <v>1264</v>
      </c>
      <c r="B63" s="1" t="s">
        <v>1501</v>
      </c>
      <c r="C63" s="1" t="s">
        <v>1229</v>
      </c>
      <c r="D63" s="1" t="s">
        <v>1480</v>
      </c>
      <c r="E63" s="1">
        <v>490</v>
      </c>
      <c r="F63" s="1" t="s">
        <v>1087</v>
      </c>
      <c r="G63" s="1" t="s">
        <v>1447</v>
      </c>
      <c r="H63" s="1" t="s">
        <v>1086</v>
      </c>
      <c r="J63" s="1">
        <v>490</v>
      </c>
      <c r="K63" s="78">
        <v>46084</v>
      </c>
      <c r="L63" s="1" t="s">
        <v>1448</v>
      </c>
    </row>
    <row r="64" spans="1:12" x14ac:dyDescent="0.25">
      <c r="A64" s="1" t="s">
        <v>1266</v>
      </c>
      <c r="B64" s="1" t="s">
        <v>1502</v>
      </c>
      <c r="C64" s="1" t="s">
        <v>1229</v>
      </c>
      <c r="D64" s="1" t="s">
        <v>1480</v>
      </c>
      <c r="E64" s="1">
        <v>640</v>
      </c>
      <c r="F64" s="1" t="s">
        <v>1087</v>
      </c>
      <c r="G64" s="1" t="s">
        <v>1447</v>
      </c>
      <c r="H64" s="1" t="s">
        <v>1086</v>
      </c>
      <c r="J64" s="1">
        <v>640</v>
      </c>
      <c r="K64" s="78">
        <v>46084</v>
      </c>
      <c r="L64" s="1" t="s">
        <v>1448</v>
      </c>
    </row>
    <row r="65" spans="1:12" x14ac:dyDescent="0.25">
      <c r="A65" s="1" t="s">
        <v>1268</v>
      </c>
      <c r="B65" s="1" t="s">
        <v>1503</v>
      </c>
      <c r="C65" s="1" t="s">
        <v>1229</v>
      </c>
      <c r="D65" s="1" t="s">
        <v>1480</v>
      </c>
      <c r="E65" s="1">
        <v>915</v>
      </c>
      <c r="F65" s="1" t="s">
        <v>1087</v>
      </c>
      <c r="G65" s="1" t="s">
        <v>1447</v>
      </c>
      <c r="H65" s="1" t="s">
        <v>1086</v>
      </c>
      <c r="J65" s="1">
        <v>915</v>
      </c>
      <c r="K65" s="78">
        <v>46084</v>
      </c>
      <c r="L65" s="1" t="s">
        <v>1448</v>
      </c>
    </row>
    <row r="66" spans="1:12" x14ac:dyDescent="0.25">
      <c r="A66" s="1" t="s">
        <v>1270</v>
      </c>
      <c r="B66" s="1" t="s">
        <v>1271</v>
      </c>
      <c r="C66" s="1" t="s">
        <v>1229</v>
      </c>
      <c r="D66" s="1" t="s">
        <v>1480</v>
      </c>
      <c r="E66" s="1">
        <v>700</v>
      </c>
      <c r="F66" s="1" t="s">
        <v>1087</v>
      </c>
      <c r="G66" s="1" t="s">
        <v>1447</v>
      </c>
      <c r="H66" s="1" t="s">
        <v>1086</v>
      </c>
      <c r="J66" s="1">
        <v>700</v>
      </c>
      <c r="K66" s="78">
        <v>46084</v>
      </c>
      <c r="L66" s="1" t="s">
        <v>1448</v>
      </c>
    </row>
    <row r="67" spans="1:12" x14ac:dyDescent="0.25">
      <c r="A67" s="1" t="s">
        <v>1272</v>
      </c>
      <c r="B67" s="1" t="s">
        <v>1273</v>
      </c>
      <c r="C67" s="1" t="s">
        <v>1229</v>
      </c>
      <c r="D67" s="1" t="s">
        <v>1480</v>
      </c>
      <c r="E67" s="1">
        <v>700</v>
      </c>
      <c r="F67" s="1" t="s">
        <v>1087</v>
      </c>
      <c r="G67" s="1" t="s">
        <v>1447</v>
      </c>
      <c r="H67" s="1" t="s">
        <v>1086</v>
      </c>
      <c r="J67" s="1">
        <v>700</v>
      </c>
      <c r="K67" s="78">
        <v>46084</v>
      </c>
      <c r="L67" s="1" t="s">
        <v>1448</v>
      </c>
    </row>
    <row r="68" spans="1:12" x14ac:dyDescent="0.25">
      <c r="A68" s="1" t="s">
        <v>1274</v>
      </c>
      <c r="B68" s="1" t="s">
        <v>1504</v>
      </c>
      <c r="C68" s="1" t="s">
        <v>1229</v>
      </c>
      <c r="D68" s="1" t="s">
        <v>1480</v>
      </c>
      <c r="E68" s="1">
        <v>975</v>
      </c>
      <c r="F68" s="1" t="s">
        <v>1087</v>
      </c>
      <c r="G68" s="1" t="s">
        <v>1447</v>
      </c>
      <c r="H68" s="1" t="s">
        <v>1086</v>
      </c>
      <c r="J68" s="1">
        <v>975</v>
      </c>
      <c r="K68" s="78">
        <v>46084</v>
      </c>
      <c r="L68" s="1" t="s">
        <v>1448</v>
      </c>
    </row>
    <row r="69" spans="1:12" x14ac:dyDescent="0.25">
      <c r="A69" s="1" t="s">
        <v>1276</v>
      </c>
      <c r="B69" s="1" t="s">
        <v>1505</v>
      </c>
      <c r="C69" s="1" t="s">
        <v>1278</v>
      </c>
      <c r="D69" s="1" t="s">
        <v>1480</v>
      </c>
      <c r="E69" s="1">
        <v>457500</v>
      </c>
      <c r="F69" s="1" t="s">
        <v>1087</v>
      </c>
      <c r="G69" s="1" t="s">
        <v>1447</v>
      </c>
      <c r="H69" s="1" t="s">
        <v>1086</v>
      </c>
      <c r="J69" s="1">
        <v>457500</v>
      </c>
      <c r="K69" s="78">
        <v>46084</v>
      </c>
      <c r="L69" s="1" t="s">
        <v>1448</v>
      </c>
    </row>
    <row r="70" spans="1:12" x14ac:dyDescent="0.25">
      <c r="A70" s="1" t="s">
        <v>1279</v>
      </c>
      <c r="B70" s="1" t="s">
        <v>1506</v>
      </c>
      <c r="C70" s="1" t="s">
        <v>1278</v>
      </c>
      <c r="D70" s="1" t="s">
        <v>1480</v>
      </c>
      <c r="E70" s="1">
        <v>91500</v>
      </c>
      <c r="F70" s="1" t="s">
        <v>1087</v>
      </c>
      <c r="G70" s="1" t="s">
        <v>1447</v>
      </c>
      <c r="H70" s="1" t="s">
        <v>1086</v>
      </c>
      <c r="J70" s="1">
        <v>91500</v>
      </c>
      <c r="K70" s="78">
        <v>46084</v>
      </c>
      <c r="L70" s="1" t="s">
        <v>1448</v>
      </c>
    </row>
    <row r="71" spans="1:12" x14ac:dyDescent="0.25">
      <c r="A71" s="1" t="s">
        <v>1281</v>
      </c>
      <c r="B71" s="1" t="s">
        <v>1507</v>
      </c>
      <c r="C71" s="1" t="s">
        <v>1278</v>
      </c>
      <c r="D71" s="1" t="s">
        <v>1480</v>
      </c>
      <c r="E71" s="1">
        <v>118950</v>
      </c>
      <c r="F71" s="1" t="s">
        <v>1087</v>
      </c>
      <c r="G71" s="1" t="s">
        <v>1447</v>
      </c>
      <c r="H71" s="1" t="s">
        <v>1086</v>
      </c>
      <c r="J71" s="1">
        <v>118950</v>
      </c>
      <c r="K71" s="78">
        <v>46084</v>
      </c>
      <c r="L71" s="1" t="s">
        <v>1448</v>
      </c>
    </row>
    <row r="72" spans="1:12" x14ac:dyDescent="0.25">
      <c r="A72" s="1" t="s">
        <v>1283</v>
      </c>
      <c r="B72" s="1" t="s">
        <v>1508</v>
      </c>
      <c r="C72" s="1" t="s">
        <v>1278</v>
      </c>
      <c r="D72" s="1" t="s">
        <v>1480</v>
      </c>
      <c r="E72" s="1">
        <v>152500</v>
      </c>
      <c r="F72" s="1" t="s">
        <v>1087</v>
      </c>
      <c r="G72" s="1" t="s">
        <v>1447</v>
      </c>
      <c r="H72" s="1" t="s">
        <v>1086</v>
      </c>
      <c r="J72" s="1">
        <v>152500</v>
      </c>
      <c r="K72" s="78">
        <v>46084</v>
      </c>
      <c r="L72" s="1" t="s">
        <v>1448</v>
      </c>
    </row>
    <row r="73" spans="1:12" x14ac:dyDescent="0.25">
      <c r="A73" s="1" t="s">
        <v>1287</v>
      </c>
      <c r="B73" s="1" t="s">
        <v>1509</v>
      </c>
      <c r="C73" s="1" t="s">
        <v>1278</v>
      </c>
      <c r="D73" s="1" t="s">
        <v>1480</v>
      </c>
      <c r="E73" s="1">
        <v>2745</v>
      </c>
      <c r="F73" s="1" t="s">
        <v>1087</v>
      </c>
      <c r="G73" s="1" t="s">
        <v>1447</v>
      </c>
      <c r="H73" s="1" t="s">
        <v>1086</v>
      </c>
      <c r="J73" s="1">
        <v>2745</v>
      </c>
      <c r="K73" s="78">
        <v>46084</v>
      </c>
      <c r="L73" s="1" t="s">
        <v>1448</v>
      </c>
    </row>
    <row r="74" spans="1:12" x14ac:dyDescent="0.25">
      <c r="A74" s="1" t="s">
        <v>1297</v>
      </c>
      <c r="B74" s="1" t="s">
        <v>1511</v>
      </c>
      <c r="C74" s="1" t="s">
        <v>1278</v>
      </c>
      <c r="D74" s="1" t="s">
        <v>1480</v>
      </c>
      <c r="E74" s="1">
        <v>4880</v>
      </c>
      <c r="F74" s="1" t="s">
        <v>1087</v>
      </c>
      <c r="G74" s="1" t="s">
        <v>1447</v>
      </c>
      <c r="H74" s="1" t="s">
        <v>1086</v>
      </c>
      <c r="J74" s="1">
        <v>4880</v>
      </c>
      <c r="K74" s="78">
        <v>46084</v>
      </c>
      <c r="L74" s="1" t="s">
        <v>1448</v>
      </c>
    </row>
    <row r="75" spans="1:12" x14ac:dyDescent="0.25">
      <c r="A75" s="1" t="s">
        <v>1299</v>
      </c>
      <c r="B75" s="1" t="s">
        <v>1513</v>
      </c>
      <c r="C75" s="1" t="s">
        <v>1278</v>
      </c>
      <c r="D75" s="1" t="s">
        <v>1480</v>
      </c>
      <c r="E75" s="1">
        <v>6405</v>
      </c>
      <c r="F75" s="1" t="s">
        <v>1087</v>
      </c>
      <c r="G75" s="1" t="s">
        <v>1447</v>
      </c>
      <c r="H75" s="1" t="s">
        <v>1086</v>
      </c>
      <c r="J75" s="1">
        <v>6405</v>
      </c>
      <c r="K75" s="78">
        <v>46084</v>
      </c>
      <c r="L75" s="1" t="s">
        <v>1448</v>
      </c>
    </row>
    <row r="76" spans="1:12" x14ac:dyDescent="0.25">
      <c r="A76" s="1" t="s">
        <v>1301</v>
      </c>
      <c r="B76" s="1" t="s">
        <v>1515</v>
      </c>
      <c r="C76" s="1" t="s">
        <v>1278</v>
      </c>
      <c r="D76" s="1" t="s">
        <v>1480</v>
      </c>
      <c r="E76" s="1">
        <v>7930</v>
      </c>
      <c r="F76" s="1" t="s">
        <v>1087</v>
      </c>
      <c r="G76" s="1" t="s">
        <v>1447</v>
      </c>
      <c r="H76" s="1" t="s">
        <v>1086</v>
      </c>
      <c r="J76" s="1">
        <v>7930</v>
      </c>
      <c r="K76" s="78">
        <v>46084</v>
      </c>
      <c r="L76" s="1" t="s">
        <v>1448</v>
      </c>
    </row>
    <row r="77" spans="1:12" x14ac:dyDescent="0.25">
      <c r="A77" s="1" t="s">
        <v>1303</v>
      </c>
      <c r="B77" s="1" t="s">
        <v>1304</v>
      </c>
      <c r="C77" s="1" t="s">
        <v>1305</v>
      </c>
      <c r="D77" s="1" t="s">
        <v>1480</v>
      </c>
      <c r="E77" s="1">
        <v>7015</v>
      </c>
      <c r="F77" s="1" t="s">
        <v>1087</v>
      </c>
      <c r="G77" s="1" t="s">
        <v>1447</v>
      </c>
      <c r="H77" s="1" t="s">
        <v>1086</v>
      </c>
      <c r="J77" s="1">
        <v>7015</v>
      </c>
      <c r="K77" s="78">
        <v>46084</v>
      </c>
      <c r="L77" s="1" t="s">
        <v>1448</v>
      </c>
    </row>
    <row r="78" spans="1:12" x14ac:dyDescent="0.25">
      <c r="A78" s="1" t="s">
        <v>1306</v>
      </c>
      <c r="B78" s="1" t="s">
        <v>1307</v>
      </c>
      <c r="C78" s="1" t="s">
        <v>1305</v>
      </c>
      <c r="D78" s="1" t="s">
        <v>1480</v>
      </c>
      <c r="E78" s="1">
        <v>8540</v>
      </c>
      <c r="F78" s="1" t="s">
        <v>1087</v>
      </c>
      <c r="G78" s="1" t="s">
        <v>1447</v>
      </c>
      <c r="H78" s="1" t="s">
        <v>1086</v>
      </c>
      <c r="J78" s="1">
        <v>8540</v>
      </c>
      <c r="K78" s="78">
        <v>46084</v>
      </c>
      <c r="L78" s="1" t="s">
        <v>1448</v>
      </c>
    </row>
    <row r="79" spans="1:12" x14ac:dyDescent="0.25">
      <c r="A79" s="1" t="s">
        <v>1308</v>
      </c>
      <c r="B79" s="1" t="s">
        <v>1309</v>
      </c>
      <c r="C79" s="1" t="s">
        <v>1305</v>
      </c>
      <c r="D79" s="1" t="s">
        <v>1480</v>
      </c>
      <c r="E79" s="1">
        <v>21350</v>
      </c>
      <c r="F79" s="1" t="s">
        <v>1087</v>
      </c>
      <c r="G79" s="1" t="s">
        <v>1447</v>
      </c>
      <c r="H79" s="1" t="s">
        <v>1086</v>
      </c>
      <c r="J79" s="1">
        <v>21350</v>
      </c>
      <c r="K79" s="78">
        <v>46084</v>
      </c>
      <c r="L79" s="1" t="s">
        <v>1448</v>
      </c>
    </row>
    <row r="80" spans="1:12" x14ac:dyDescent="0.25">
      <c r="A80" s="1" t="s">
        <v>1312</v>
      </c>
      <c r="B80" s="1" t="s">
        <v>1313</v>
      </c>
      <c r="C80" s="1" t="s">
        <v>1305</v>
      </c>
      <c r="D80" s="1" t="s">
        <v>1480</v>
      </c>
      <c r="E80" s="1">
        <v>7015</v>
      </c>
      <c r="F80" s="1" t="s">
        <v>1087</v>
      </c>
      <c r="G80" s="1" t="s">
        <v>1447</v>
      </c>
      <c r="H80" s="1" t="s">
        <v>1086</v>
      </c>
      <c r="J80" s="1">
        <v>7015</v>
      </c>
      <c r="K80" s="78">
        <v>46084</v>
      </c>
      <c r="L80" s="1" t="s">
        <v>1448</v>
      </c>
    </row>
    <row r="81" spans="1:12" x14ac:dyDescent="0.25">
      <c r="A81" s="1" t="s">
        <v>1314</v>
      </c>
      <c r="B81" s="1" t="s">
        <v>1516</v>
      </c>
      <c r="C81" s="1" t="s">
        <v>1305</v>
      </c>
      <c r="D81" s="1" t="s">
        <v>1480</v>
      </c>
      <c r="E81" s="1">
        <v>5185</v>
      </c>
      <c r="F81" s="1" t="s">
        <v>1087</v>
      </c>
      <c r="G81" s="1" t="s">
        <v>1447</v>
      </c>
      <c r="H81" s="1" t="s">
        <v>1086</v>
      </c>
      <c r="J81" s="1">
        <v>5185</v>
      </c>
      <c r="K81" s="78">
        <v>46084</v>
      </c>
      <c r="L81" s="1" t="s">
        <v>1448</v>
      </c>
    </row>
    <row r="82" spans="1:12" x14ac:dyDescent="0.25">
      <c r="A82" s="1" t="s">
        <v>1322</v>
      </c>
      <c r="B82" s="1" t="s">
        <v>1518</v>
      </c>
      <c r="C82" s="1" t="s">
        <v>1305</v>
      </c>
      <c r="D82" s="1" t="s">
        <v>1480</v>
      </c>
      <c r="E82" s="1">
        <v>8540</v>
      </c>
      <c r="F82" s="1" t="s">
        <v>1087</v>
      </c>
      <c r="G82" s="1" t="s">
        <v>1447</v>
      </c>
      <c r="H82" s="1" t="s">
        <v>1086</v>
      </c>
      <c r="J82" s="1">
        <v>8540</v>
      </c>
      <c r="K82" s="78">
        <v>46084</v>
      </c>
      <c r="L82" s="1" t="s">
        <v>1448</v>
      </c>
    </row>
    <row r="83" spans="1:12" x14ac:dyDescent="0.25">
      <c r="A83" s="1" t="s">
        <v>1324</v>
      </c>
      <c r="B83" s="1" t="s">
        <v>1520</v>
      </c>
      <c r="C83" s="1" t="s">
        <v>1305</v>
      </c>
      <c r="D83" s="1" t="s">
        <v>1480</v>
      </c>
      <c r="E83" s="1">
        <v>16775</v>
      </c>
      <c r="F83" s="1" t="s">
        <v>1087</v>
      </c>
      <c r="G83" s="1" t="s">
        <v>1447</v>
      </c>
      <c r="H83" s="1" t="s">
        <v>1086</v>
      </c>
      <c r="J83" s="1">
        <v>16775</v>
      </c>
      <c r="K83" s="78">
        <v>46084</v>
      </c>
      <c r="L83" s="1" t="s">
        <v>1448</v>
      </c>
    </row>
    <row r="84" spans="1:12" x14ac:dyDescent="0.25">
      <c r="A84" s="1" t="s">
        <v>1326</v>
      </c>
      <c r="B84" s="1" t="s">
        <v>1521</v>
      </c>
      <c r="C84" s="1" t="s">
        <v>1305</v>
      </c>
      <c r="D84" s="1" t="s">
        <v>1480</v>
      </c>
      <c r="E84" s="1">
        <v>12200</v>
      </c>
      <c r="F84" s="1" t="s">
        <v>1087</v>
      </c>
      <c r="G84" s="1" t="s">
        <v>1447</v>
      </c>
      <c r="H84" s="1" t="s">
        <v>1086</v>
      </c>
      <c r="J84" s="1">
        <v>12200</v>
      </c>
      <c r="K84" s="78">
        <v>46084</v>
      </c>
      <c r="L84" s="1" t="s">
        <v>1448</v>
      </c>
    </row>
    <row r="85" spans="1:12" x14ac:dyDescent="0.25">
      <c r="A85" s="1" t="s">
        <v>1336</v>
      </c>
      <c r="B85" s="1" t="s">
        <v>1522</v>
      </c>
      <c r="C85" s="1" t="s">
        <v>1305</v>
      </c>
      <c r="D85" s="1" t="s">
        <v>1480</v>
      </c>
      <c r="E85" s="1">
        <v>24400</v>
      </c>
      <c r="F85" s="1" t="s">
        <v>1087</v>
      </c>
      <c r="G85" s="1" t="s">
        <v>1447</v>
      </c>
      <c r="H85" s="1" t="s">
        <v>1086</v>
      </c>
      <c r="J85" s="1">
        <v>24400</v>
      </c>
      <c r="K85" s="78">
        <v>46084</v>
      </c>
      <c r="L85" s="1" t="s">
        <v>1448</v>
      </c>
    </row>
    <row r="86" spans="1:12" x14ac:dyDescent="0.25">
      <c r="A86" s="1" t="s">
        <v>1338</v>
      </c>
      <c r="B86" s="1" t="s">
        <v>1523</v>
      </c>
      <c r="C86" s="1" t="s">
        <v>1305</v>
      </c>
      <c r="D86" s="1" t="s">
        <v>1480</v>
      </c>
      <c r="E86" s="1">
        <v>18300</v>
      </c>
      <c r="F86" s="1" t="s">
        <v>1087</v>
      </c>
      <c r="G86" s="1" t="s">
        <v>1447</v>
      </c>
      <c r="H86" s="1" t="s">
        <v>1086</v>
      </c>
      <c r="J86" s="1">
        <v>18300</v>
      </c>
      <c r="K86" s="78">
        <v>46084</v>
      </c>
      <c r="L86" s="1" t="s">
        <v>1448</v>
      </c>
    </row>
    <row r="87" spans="1:12" x14ac:dyDescent="0.25">
      <c r="A87" s="1" t="s">
        <v>1340</v>
      </c>
      <c r="B87" s="1" t="s">
        <v>1524</v>
      </c>
      <c r="C87" s="1" t="s">
        <v>1305</v>
      </c>
      <c r="D87" s="1" t="s">
        <v>1480</v>
      </c>
      <c r="E87" s="1">
        <v>97600</v>
      </c>
      <c r="F87" s="1" t="s">
        <v>1087</v>
      </c>
      <c r="G87" s="1" t="s">
        <v>1447</v>
      </c>
      <c r="H87" s="1" t="s">
        <v>1086</v>
      </c>
      <c r="J87" s="1">
        <v>97600</v>
      </c>
      <c r="K87" s="78">
        <v>46084</v>
      </c>
      <c r="L87" s="1" t="s">
        <v>1448</v>
      </c>
    </row>
    <row r="88" spans="1:12" x14ac:dyDescent="0.25">
      <c r="A88" s="1" t="s">
        <v>1342</v>
      </c>
      <c r="B88" s="1" t="s">
        <v>1525</v>
      </c>
      <c r="C88" s="1" t="s">
        <v>1305</v>
      </c>
      <c r="D88" s="1" t="s">
        <v>1480</v>
      </c>
      <c r="E88" s="1">
        <v>64050</v>
      </c>
      <c r="F88" s="1" t="s">
        <v>1087</v>
      </c>
      <c r="G88" s="1" t="s">
        <v>1447</v>
      </c>
      <c r="H88" s="1" t="s">
        <v>1086</v>
      </c>
      <c r="J88" s="1">
        <v>64050</v>
      </c>
      <c r="K88" s="78">
        <v>46084</v>
      </c>
      <c r="L88" s="1" t="s">
        <v>1448</v>
      </c>
    </row>
    <row r="89" spans="1:12" x14ac:dyDescent="0.25">
      <c r="A89" s="1" t="s">
        <v>1346</v>
      </c>
      <c r="B89" s="1" t="s">
        <v>1526</v>
      </c>
      <c r="C89" s="1" t="s">
        <v>1305</v>
      </c>
      <c r="D89" s="1" t="s">
        <v>1480</v>
      </c>
      <c r="E89" s="1">
        <v>33550</v>
      </c>
      <c r="F89" s="1" t="s">
        <v>1087</v>
      </c>
      <c r="G89" s="1" t="s">
        <v>1447</v>
      </c>
      <c r="H89" s="1" t="s">
        <v>1086</v>
      </c>
      <c r="J89" s="1">
        <v>33550</v>
      </c>
      <c r="K89" s="78">
        <v>46084</v>
      </c>
      <c r="L89" s="1" t="s">
        <v>1448</v>
      </c>
    </row>
    <row r="90" spans="1:12" x14ac:dyDescent="0.25">
      <c r="A90" s="1" t="s">
        <v>1348</v>
      </c>
      <c r="B90" s="1" t="s">
        <v>1527</v>
      </c>
      <c r="C90" s="1" t="s">
        <v>1350</v>
      </c>
      <c r="D90" s="1" t="s">
        <v>1084</v>
      </c>
      <c r="E90" s="1">
        <v>27450</v>
      </c>
      <c r="F90" s="1" t="s">
        <v>1497</v>
      </c>
      <c r="G90" s="1" t="s">
        <v>1447</v>
      </c>
      <c r="H90" s="1" t="s">
        <v>1086</v>
      </c>
      <c r="J90" s="1">
        <v>27450</v>
      </c>
      <c r="K90" s="78">
        <v>46084</v>
      </c>
      <c r="L90" s="1" t="s">
        <v>1448</v>
      </c>
    </row>
    <row r="91" spans="1:12" x14ac:dyDescent="0.25">
      <c r="A91" s="1" t="s">
        <v>1351</v>
      </c>
      <c r="B91" s="1" t="s">
        <v>1352</v>
      </c>
      <c r="C91" s="1" t="s">
        <v>1350</v>
      </c>
      <c r="D91" s="1" t="s">
        <v>1480</v>
      </c>
      <c r="E91" s="1">
        <v>24400</v>
      </c>
      <c r="F91" s="1" t="s">
        <v>1087</v>
      </c>
      <c r="G91" s="1" t="s">
        <v>1447</v>
      </c>
      <c r="H91" s="1" t="s">
        <v>1086</v>
      </c>
      <c r="J91" s="1">
        <v>24400</v>
      </c>
      <c r="K91" s="78">
        <v>46084</v>
      </c>
      <c r="L91" s="1" t="s">
        <v>1448</v>
      </c>
    </row>
    <row r="92" spans="1:12" x14ac:dyDescent="0.25">
      <c r="A92" s="1" t="s">
        <v>1353</v>
      </c>
      <c r="B92" s="1" t="s">
        <v>1528</v>
      </c>
      <c r="C92" s="1" t="s">
        <v>1350</v>
      </c>
      <c r="D92" s="1" t="s">
        <v>1480</v>
      </c>
      <c r="E92" s="1">
        <v>13725</v>
      </c>
      <c r="F92" s="1" t="s">
        <v>1497</v>
      </c>
      <c r="G92" s="1" t="s">
        <v>1447</v>
      </c>
      <c r="H92" s="1" t="s">
        <v>1086</v>
      </c>
      <c r="J92" s="1">
        <v>13725</v>
      </c>
      <c r="K92" s="78">
        <v>46084</v>
      </c>
      <c r="L92" s="1" t="s">
        <v>1448</v>
      </c>
    </row>
    <row r="93" spans="1:12" x14ac:dyDescent="0.25">
      <c r="A93" s="1" t="s">
        <v>1355</v>
      </c>
      <c r="B93" s="1" t="s">
        <v>1529</v>
      </c>
      <c r="C93" s="1" t="s">
        <v>1350</v>
      </c>
      <c r="D93" s="1" t="s">
        <v>1480</v>
      </c>
      <c r="E93" s="1">
        <v>16165</v>
      </c>
      <c r="F93" s="1" t="s">
        <v>1087</v>
      </c>
      <c r="G93" s="1" t="s">
        <v>1447</v>
      </c>
      <c r="H93" s="1" t="s">
        <v>1086</v>
      </c>
      <c r="J93" s="1">
        <v>16165</v>
      </c>
      <c r="K93" s="78">
        <v>46084</v>
      </c>
      <c r="L93" s="1" t="s">
        <v>1448</v>
      </c>
    </row>
    <row r="94" spans="1:12" x14ac:dyDescent="0.25">
      <c r="A94" s="1" t="s">
        <v>1357</v>
      </c>
      <c r="B94" s="1" t="s">
        <v>1530</v>
      </c>
      <c r="C94" s="1" t="s">
        <v>1350</v>
      </c>
      <c r="D94" s="1" t="s">
        <v>1480</v>
      </c>
      <c r="E94" s="1">
        <v>32025</v>
      </c>
      <c r="F94" s="1" t="s">
        <v>1497</v>
      </c>
      <c r="G94" s="1" t="s">
        <v>1447</v>
      </c>
      <c r="H94" s="1" t="s">
        <v>1086</v>
      </c>
      <c r="J94" s="1">
        <v>32025</v>
      </c>
      <c r="K94" s="78">
        <v>46084</v>
      </c>
      <c r="L94" s="1" t="s">
        <v>1448</v>
      </c>
    </row>
    <row r="95" spans="1:12" x14ac:dyDescent="0.25">
      <c r="A95" s="1" t="s">
        <v>1359</v>
      </c>
      <c r="B95" s="1" t="s">
        <v>1531</v>
      </c>
      <c r="C95" s="1" t="s">
        <v>1350</v>
      </c>
      <c r="D95" s="1" t="s">
        <v>1480</v>
      </c>
      <c r="E95" s="1">
        <v>41175</v>
      </c>
      <c r="F95" s="1" t="s">
        <v>1497</v>
      </c>
      <c r="G95" s="1" t="s">
        <v>1447</v>
      </c>
      <c r="H95" s="1" t="s">
        <v>1086</v>
      </c>
      <c r="J95" s="1">
        <v>41175</v>
      </c>
      <c r="K95" s="78">
        <v>46084</v>
      </c>
      <c r="L95" s="1" t="s">
        <v>1448</v>
      </c>
    </row>
    <row r="96" spans="1:12" x14ac:dyDescent="0.25">
      <c r="A96" s="1" t="s">
        <v>1361</v>
      </c>
      <c r="B96" s="1" t="s">
        <v>1532</v>
      </c>
      <c r="C96" s="1" t="s">
        <v>1350</v>
      </c>
      <c r="D96" s="1" t="s">
        <v>1480</v>
      </c>
      <c r="E96" s="1">
        <v>48800</v>
      </c>
      <c r="F96" s="1" t="s">
        <v>1497</v>
      </c>
      <c r="G96" s="1" t="s">
        <v>1447</v>
      </c>
      <c r="H96" s="1" t="s">
        <v>1086</v>
      </c>
      <c r="J96" s="1">
        <v>48800</v>
      </c>
      <c r="K96" s="78">
        <v>46084</v>
      </c>
      <c r="L96" s="1" t="s">
        <v>1448</v>
      </c>
    </row>
    <row r="97" spans="1:12" x14ac:dyDescent="0.25">
      <c r="A97" s="1" t="s">
        <v>1433</v>
      </c>
      <c r="B97" s="1" t="s">
        <v>1533</v>
      </c>
      <c r="C97" s="1" t="s">
        <v>1435</v>
      </c>
      <c r="D97" s="1" t="s">
        <v>1110</v>
      </c>
      <c r="E97" s="1">
        <v>9760</v>
      </c>
      <c r="F97" s="1" t="s">
        <v>1087</v>
      </c>
      <c r="G97" s="1" t="s">
        <v>1447</v>
      </c>
      <c r="H97" s="1" t="s">
        <v>1086</v>
      </c>
      <c r="J97" s="1">
        <v>9760</v>
      </c>
      <c r="K97" s="78">
        <v>46084</v>
      </c>
      <c r="L97" s="1" t="s">
        <v>1448</v>
      </c>
    </row>
    <row r="98" spans="1:12" x14ac:dyDescent="0.25">
      <c r="A98" s="1" t="s">
        <v>1436</v>
      </c>
      <c r="B98" s="1" t="s">
        <v>1534</v>
      </c>
      <c r="C98" s="1" t="s">
        <v>1438</v>
      </c>
      <c r="D98" s="1" t="s">
        <v>1110</v>
      </c>
      <c r="E98" s="1">
        <v>575</v>
      </c>
      <c r="F98" s="1" t="s">
        <v>1087</v>
      </c>
      <c r="G98" s="1" t="s">
        <v>1447</v>
      </c>
      <c r="H98" s="1" t="s">
        <v>1086</v>
      </c>
      <c r="J98" s="1">
        <v>575</v>
      </c>
      <c r="K98" s="78">
        <v>46084</v>
      </c>
      <c r="L98" s="1" t="s">
        <v>1448</v>
      </c>
    </row>
    <row r="99" spans="1:12" x14ac:dyDescent="0.25">
      <c r="A99" s="1" t="s">
        <v>1439</v>
      </c>
      <c r="B99" s="1" t="s">
        <v>1535</v>
      </c>
      <c r="C99" s="1" t="s">
        <v>1438</v>
      </c>
      <c r="D99" s="1" t="s">
        <v>1110</v>
      </c>
      <c r="E99" s="1">
        <v>6325</v>
      </c>
      <c r="F99" s="1" t="s">
        <v>1087</v>
      </c>
      <c r="G99" s="1" t="s">
        <v>1447</v>
      </c>
      <c r="H99" s="1" t="s">
        <v>1086</v>
      </c>
      <c r="J99" s="1">
        <v>6325</v>
      </c>
      <c r="K99" s="78">
        <v>46084</v>
      </c>
      <c r="L99" s="1" t="s">
        <v>1448</v>
      </c>
    </row>
    <row r="100" spans="1:12" x14ac:dyDescent="0.25">
      <c r="A100" s="1" t="s">
        <v>1441</v>
      </c>
      <c r="B100" s="1" t="s">
        <v>1536</v>
      </c>
      <c r="C100" s="1" t="s">
        <v>1438</v>
      </c>
      <c r="D100" s="1" t="s">
        <v>1110</v>
      </c>
      <c r="E100" s="1">
        <v>575</v>
      </c>
      <c r="F100" s="1" t="s">
        <v>1087</v>
      </c>
      <c r="G100" s="1" t="s">
        <v>1447</v>
      </c>
      <c r="H100" s="1" t="s">
        <v>1086</v>
      </c>
      <c r="J100" s="1">
        <v>575</v>
      </c>
      <c r="K100" s="78">
        <v>46084</v>
      </c>
      <c r="L100" s="1" t="s">
        <v>1448</v>
      </c>
    </row>
    <row r="101" spans="1:12" x14ac:dyDescent="0.25">
      <c r="A101" s="1" t="s">
        <v>1442</v>
      </c>
      <c r="B101" s="1" t="s">
        <v>1537</v>
      </c>
      <c r="C101" s="1" t="s">
        <v>1438</v>
      </c>
      <c r="D101" s="1" t="s">
        <v>1110</v>
      </c>
      <c r="E101" s="1">
        <v>6325</v>
      </c>
      <c r="F101" s="1" t="s">
        <v>1087</v>
      </c>
      <c r="G101" s="1" t="s">
        <v>1447</v>
      </c>
      <c r="H101" s="1" t="s">
        <v>1086</v>
      </c>
      <c r="J101" s="1">
        <v>6325</v>
      </c>
      <c r="K101" s="78">
        <v>46084</v>
      </c>
      <c r="L101" s="1" t="s">
        <v>1448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9E97-0152-4850-8D82-2330F6E457A9}">
  <sheetPr>
    <tabColor rgb="FFFF0000"/>
  </sheetPr>
  <dimension ref="A1"/>
  <sheetViews>
    <sheetView workbookViewId="0"/>
  </sheetViews>
  <sheetFormatPr baseColWidth="10" defaultRowHeight="15" x14ac:dyDescent="0.25"/>
  <cols>
    <col min="1" max="16384" width="11.42578125" style="1"/>
  </cols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48B9-BCAB-41D0-B5CC-1EE006A069B7}">
  <dimension ref="A1:Y302"/>
  <sheetViews>
    <sheetView tabSelected="1" workbookViewId="0">
      <selection activeCell="B30" sqref="B30"/>
    </sheetView>
  </sheetViews>
  <sheetFormatPr baseColWidth="10" defaultRowHeight="15" x14ac:dyDescent="0.25"/>
  <cols>
    <col min="1" max="1" width="42.5703125" bestFit="1" customWidth="1"/>
    <col min="2" max="2" width="81.140625" bestFit="1" customWidth="1"/>
    <col min="3" max="3" width="15.140625" bestFit="1" customWidth="1"/>
    <col min="4" max="4" width="12.85546875" bestFit="1" customWidth="1"/>
    <col min="5" max="5" width="8.7109375" bestFit="1" customWidth="1"/>
    <col min="6" max="6" width="7" bestFit="1" customWidth="1"/>
    <col min="7" max="7" width="12.28515625" bestFit="1" customWidth="1"/>
    <col min="8" max="8" width="20.85546875" bestFit="1" customWidth="1"/>
    <col min="9" max="9" width="18.42578125" bestFit="1" customWidth="1"/>
    <col min="10" max="10" width="12.5703125" bestFit="1" customWidth="1"/>
    <col min="11" max="11" width="13.7109375" bestFit="1" customWidth="1"/>
    <col min="12" max="12" width="17" bestFit="1" customWidth="1"/>
    <col min="13" max="13" width="14.7109375" bestFit="1" customWidth="1"/>
    <col min="14" max="14" width="18" bestFit="1" customWidth="1"/>
    <col min="15" max="15" width="19.140625" bestFit="1" customWidth="1"/>
    <col min="16" max="16" width="17.85546875" bestFit="1" customWidth="1"/>
    <col min="17" max="17" width="18" bestFit="1" customWidth="1"/>
    <col min="18" max="18" width="20.140625" bestFit="1" customWidth="1"/>
    <col min="19" max="19" width="19.28515625" bestFit="1" customWidth="1"/>
    <col min="20" max="20" width="20.28515625" bestFit="1" customWidth="1"/>
    <col min="21" max="21" width="20.140625" bestFit="1" customWidth="1"/>
    <col min="22" max="22" width="19" bestFit="1" customWidth="1"/>
    <col min="23" max="23" width="12.42578125" bestFit="1" customWidth="1"/>
    <col min="24" max="24" width="9.5703125" bestFit="1" customWidth="1"/>
    <col min="25" max="25" width="23.28515625" bestFit="1" customWidth="1"/>
  </cols>
  <sheetData>
    <row r="1" spans="1:25" x14ac:dyDescent="0.25">
      <c r="A1" t="s">
        <v>1072</v>
      </c>
      <c r="B1" t="s">
        <v>1073</v>
      </c>
      <c r="C1" t="s">
        <v>1066</v>
      </c>
      <c r="D1" t="s">
        <v>1538</v>
      </c>
      <c r="E1" t="s">
        <v>1075</v>
      </c>
      <c r="F1" t="s">
        <v>1539</v>
      </c>
      <c r="G1" t="s">
        <v>1540</v>
      </c>
      <c r="H1" t="s">
        <v>979</v>
      </c>
      <c r="I1" t="s">
        <v>1053</v>
      </c>
      <c r="J1" t="s">
        <v>1076</v>
      </c>
      <c r="K1" t="s">
        <v>1079</v>
      </c>
      <c r="L1" t="s">
        <v>1443</v>
      </c>
      <c r="M1" t="s">
        <v>1049</v>
      </c>
      <c r="N1" t="s">
        <v>1047</v>
      </c>
      <c r="O1" t="s">
        <v>1568</v>
      </c>
      <c r="P1" t="s">
        <v>2192</v>
      </c>
      <c r="Q1" t="s">
        <v>1444</v>
      </c>
      <c r="R1" t="s">
        <v>1567</v>
      </c>
      <c r="S1" t="s">
        <v>1569</v>
      </c>
      <c r="T1" t="s">
        <v>1570</v>
      </c>
      <c r="U1" t="s">
        <v>1571</v>
      </c>
      <c r="V1" t="s">
        <v>1572</v>
      </c>
      <c r="W1" t="s">
        <v>947</v>
      </c>
      <c r="X1" t="s">
        <v>1573</v>
      </c>
      <c r="Y1" t="s">
        <v>1846</v>
      </c>
    </row>
    <row r="2" spans="1:25" x14ac:dyDescent="0.25">
      <c r="A2" s="261" t="s">
        <v>1081</v>
      </c>
      <c r="B2" s="261" t="s">
        <v>1082</v>
      </c>
      <c r="C2" s="261" t="s">
        <v>1068</v>
      </c>
      <c r="D2" s="261" t="s">
        <v>1542</v>
      </c>
      <c r="E2" s="261" t="s">
        <v>1084</v>
      </c>
      <c r="F2">
        <v>1</v>
      </c>
      <c r="G2" s="215">
        <v>46084</v>
      </c>
      <c r="H2" s="261" t="s">
        <v>987</v>
      </c>
      <c r="I2" s="261" t="s">
        <v>1046</v>
      </c>
      <c r="J2">
        <v>4755250</v>
      </c>
      <c r="K2" s="261" t="s">
        <v>1087</v>
      </c>
      <c r="L2">
        <v>4755250</v>
      </c>
      <c r="M2">
        <v>0</v>
      </c>
      <c r="N2">
        <v>0</v>
      </c>
      <c r="O2">
        <v>4755250</v>
      </c>
      <c r="P2" s="261" t="s">
        <v>2193</v>
      </c>
      <c r="Q2">
        <v>7472399.8500000006</v>
      </c>
      <c r="R2">
        <v>5468537.5</v>
      </c>
      <c r="S2">
        <v>5468537.5</v>
      </c>
      <c r="T2">
        <v>7472399.8500000006</v>
      </c>
      <c r="U2">
        <v>-2003862.3500000006</v>
      </c>
      <c r="V2">
        <v>-0.36643478260869577</v>
      </c>
      <c r="W2" s="261" t="s">
        <v>1574</v>
      </c>
      <c r="X2">
        <v>1</v>
      </c>
      <c r="Y2">
        <v>8.0139130434782518E-2</v>
      </c>
    </row>
    <row r="3" spans="1:25" x14ac:dyDescent="0.25">
      <c r="A3" s="261" t="s">
        <v>1088</v>
      </c>
      <c r="B3" s="261" t="s">
        <v>1089</v>
      </c>
      <c r="C3" s="261" t="s">
        <v>1068</v>
      </c>
      <c r="D3" s="261" t="s">
        <v>1542</v>
      </c>
      <c r="E3" s="261" t="s">
        <v>1084</v>
      </c>
      <c r="F3">
        <v>1</v>
      </c>
      <c r="G3" s="215">
        <v>46084</v>
      </c>
      <c r="H3" s="261" t="s">
        <v>987</v>
      </c>
      <c r="I3" s="261" t="s">
        <v>1046</v>
      </c>
      <c r="J3">
        <v>3758730</v>
      </c>
      <c r="K3" s="261" t="s">
        <v>1087</v>
      </c>
      <c r="L3">
        <v>3758730</v>
      </c>
      <c r="M3">
        <v>0</v>
      </c>
      <c r="N3">
        <v>0</v>
      </c>
      <c r="O3">
        <v>3758730</v>
      </c>
      <c r="P3" s="261" t="s">
        <v>2193</v>
      </c>
      <c r="Q3">
        <v>5906468.3220000006</v>
      </c>
      <c r="R3">
        <v>4322539.5</v>
      </c>
      <c r="S3">
        <v>4322539.5</v>
      </c>
      <c r="T3">
        <v>5906468.3220000006</v>
      </c>
      <c r="U3">
        <v>-1583928.8220000006</v>
      </c>
      <c r="V3">
        <v>-0.36643478260869577</v>
      </c>
      <c r="W3" s="261" t="s">
        <v>1574</v>
      </c>
      <c r="X3">
        <v>1</v>
      </c>
      <c r="Y3">
        <v>8.0139130434782518E-2</v>
      </c>
    </row>
    <row r="4" spans="1:25" x14ac:dyDescent="0.25">
      <c r="A4" s="261" t="s">
        <v>1090</v>
      </c>
      <c r="B4" s="261" t="s">
        <v>1091</v>
      </c>
      <c r="C4" s="261" t="s">
        <v>1068</v>
      </c>
      <c r="D4" s="261" t="s">
        <v>1542</v>
      </c>
      <c r="E4" s="261" t="s">
        <v>1084</v>
      </c>
      <c r="F4">
        <v>1</v>
      </c>
      <c r="G4" s="215">
        <v>46084</v>
      </c>
      <c r="H4" s="261" t="s">
        <v>987</v>
      </c>
      <c r="I4" s="261" t="s">
        <v>1046</v>
      </c>
      <c r="J4">
        <v>2507000</v>
      </c>
      <c r="K4" s="261" t="s">
        <v>1087</v>
      </c>
      <c r="L4">
        <v>2507000</v>
      </c>
      <c r="M4">
        <v>0</v>
      </c>
      <c r="N4">
        <v>0</v>
      </c>
      <c r="O4">
        <v>2507000</v>
      </c>
      <c r="P4" s="261" t="s">
        <v>2193</v>
      </c>
      <c r="Q4">
        <v>3939499.8000000003</v>
      </c>
      <c r="R4">
        <v>2883050</v>
      </c>
      <c r="S4">
        <v>2883050</v>
      </c>
      <c r="T4">
        <v>3939499.8000000003</v>
      </c>
      <c r="U4">
        <v>-1056449.8000000003</v>
      </c>
      <c r="V4">
        <v>-0.36643478260869577</v>
      </c>
      <c r="W4" s="261" t="s">
        <v>1574</v>
      </c>
      <c r="X4">
        <v>1</v>
      </c>
      <c r="Y4">
        <v>8.0139130434782518E-2</v>
      </c>
    </row>
    <row r="5" spans="1:25" x14ac:dyDescent="0.25">
      <c r="A5" s="261" t="s">
        <v>1092</v>
      </c>
      <c r="B5" s="261" t="s">
        <v>1093</v>
      </c>
      <c r="C5" s="261" t="s">
        <v>1068</v>
      </c>
      <c r="D5" s="261" t="s">
        <v>1542</v>
      </c>
      <c r="E5" s="261" t="s">
        <v>1084</v>
      </c>
      <c r="F5">
        <v>1</v>
      </c>
      <c r="G5" s="215">
        <v>46084</v>
      </c>
      <c r="H5" s="261" t="s">
        <v>987</v>
      </c>
      <c r="I5" s="261" t="s">
        <v>1046</v>
      </c>
      <c r="J5">
        <v>4213438</v>
      </c>
      <c r="K5" s="261" t="s">
        <v>1087</v>
      </c>
      <c r="L5">
        <v>4213438</v>
      </c>
      <c r="M5">
        <v>0</v>
      </c>
      <c r="N5">
        <v>0</v>
      </c>
      <c r="O5">
        <v>4213438</v>
      </c>
      <c r="P5" s="261" t="s">
        <v>2193</v>
      </c>
      <c r="Q5">
        <v>6620996.4732000008</v>
      </c>
      <c r="R5">
        <v>4845453.6999999993</v>
      </c>
      <c r="S5">
        <v>4845453.6999999993</v>
      </c>
      <c r="T5">
        <v>6620996.4732000008</v>
      </c>
      <c r="U5">
        <v>-1775542.7732000016</v>
      </c>
      <c r="V5">
        <v>-0.36643478260869605</v>
      </c>
      <c r="W5" s="261" t="s">
        <v>1574</v>
      </c>
      <c r="X5">
        <v>1</v>
      </c>
      <c r="Y5">
        <v>8.0139130434782352E-2</v>
      </c>
    </row>
    <row r="6" spans="1:25" x14ac:dyDescent="0.25">
      <c r="A6" s="261" t="s">
        <v>1094</v>
      </c>
      <c r="B6" s="261" t="s">
        <v>1095</v>
      </c>
      <c r="C6" s="261" t="s">
        <v>1068</v>
      </c>
      <c r="D6" s="261" t="s">
        <v>1542</v>
      </c>
      <c r="E6" s="261" t="s">
        <v>1084</v>
      </c>
      <c r="F6">
        <v>1</v>
      </c>
      <c r="G6" s="215">
        <v>46084</v>
      </c>
      <c r="H6" s="261" t="s">
        <v>987</v>
      </c>
      <c r="I6" s="261" t="s">
        <v>1046</v>
      </c>
      <c r="J6">
        <v>4945000</v>
      </c>
      <c r="K6" s="261" t="s">
        <v>1087</v>
      </c>
      <c r="L6">
        <v>4945000</v>
      </c>
      <c r="M6">
        <v>0</v>
      </c>
      <c r="N6">
        <v>0</v>
      </c>
      <c r="O6">
        <v>4945000</v>
      </c>
      <c r="P6" s="261" t="s">
        <v>2193</v>
      </c>
      <c r="Q6">
        <v>7770573.0000000009</v>
      </c>
      <c r="R6">
        <v>5686750</v>
      </c>
      <c r="S6">
        <v>5686750</v>
      </c>
      <c r="T6">
        <v>7770573.0000000009</v>
      </c>
      <c r="U6">
        <v>-2083823.0000000009</v>
      </c>
      <c r="V6">
        <v>-0.36643478260869583</v>
      </c>
      <c r="W6" s="261" t="s">
        <v>1574</v>
      </c>
      <c r="X6">
        <v>1</v>
      </c>
      <c r="Y6">
        <v>8.0139130434782491E-2</v>
      </c>
    </row>
    <row r="7" spans="1:25" x14ac:dyDescent="0.25">
      <c r="A7" s="261" t="s">
        <v>1096</v>
      </c>
      <c r="B7" s="261" t="s">
        <v>1097</v>
      </c>
      <c r="C7" s="261" t="s">
        <v>1068</v>
      </c>
      <c r="D7" s="261" t="s">
        <v>1542</v>
      </c>
      <c r="E7" s="261" t="s">
        <v>1084</v>
      </c>
      <c r="F7">
        <v>1</v>
      </c>
      <c r="G7" s="215">
        <v>46084</v>
      </c>
      <c r="H7" s="261" t="s">
        <v>987</v>
      </c>
      <c r="I7" s="261" t="s">
        <v>1046</v>
      </c>
      <c r="J7">
        <v>4795500</v>
      </c>
      <c r="K7" s="261" t="s">
        <v>1087</v>
      </c>
      <c r="L7">
        <v>4795500</v>
      </c>
      <c r="M7">
        <v>0</v>
      </c>
      <c r="N7">
        <v>0</v>
      </c>
      <c r="O7">
        <v>4795500</v>
      </c>
      <c r="P7" s="261" t="s">
        <v>2193</v>
      </c>
      <c r="Q7">
        <v>7535648.7000000002</v>
      </c>
      <c r="R7">
        <v>5514825</v>
      </c>
      <c r="S7">
        <v>5514825</v>
      </c>
      <c r="T7">
        <v>7535648.7000000002</v>
      </c>
      <c r="U7">
        <v>-2020823.7000000002</v>
      </c>
      <c r="V7">
        <v>-0.36643478260869566</v>
      </c>
      <c r="W7" s="261" t="s">
        <v>1574</v>
      </c>
      <c r="X7">
        <v>1</v>
      </c>
      <c r="Y7">
        <v>8.0139130434782602E-2</v>
      </c>
    </row>
    <row r="8" spans="1:25" x14ac:dyDescent="0.25">
      <c r="A8" s="261" t="s">
        <v>1098</v>
      </c>
      <c r="B8" s="261" t="s">
        <v>1099</v>
      </c>
      <c r="C8" s="261" t="s">
        <v>1068</v>
      </c>
      <c r="D8" s="261" t="s">
        <v>1542</v>
      </c>
      <c r="E8" s="261" t="s">
        <v>1084</v>
      </c>
      <c r="F8">
        <v>1</v>
      </c>
      <c r="G8" s="215">
        <v>46084</v>
      </c>
      <c r="H8" s="261" t="s">
        <v>987</v>
      </c>
      <c r="I8" s="261" t="s">
        <v>1046</v>
      </c>
      <c r="J8">
        <v>1265000</v>
      </c>
      <c r="K8" s="261" t="s">
        <v>1087</v>
      </c>
      <c r="L8">
        <v>1265000</v>
      </c>
      <c r="M8">
        <v>0</v>
      </c>
      <c r="N8">
        <v>0</v>
      </c>
      <c r="O8">
        <v>1265000</v>
      </c>
      <c r="P8" s="261" t="s">
        <v>2193</v>
      </c>
      <c r="Q8">
        <v>1987821.0000000002</v>
      </c>
      <c r="R8">
        <v>1454750</v>
      </c>
      <c r="S8">
        <v>1454750</v>
      </c>
      <c r="T8">
        <v>1987821.0000000002</v>
      </c>
      <c r="U8">
        <v>-533071.00000000023</v>
      </c>
      <c r="V8">
        <v>-0.36643478260869583</v>
      </c>
      <c r="W8" s="261" t="s">
        <v>1574</v>
      </c>
      <c r="X8">
        <v>1</v>
      </c>
      <c r="Y8">
        <v>8.0139130434782491E-2</v>
      </c>
    </row>
    <row r="9" spans="1:25" x14ac:dyDescent="0.25">
      <c r="A9" s="261" t="s">
        <v>1100</v>
      </c>
      <c r="B9" s="261" t="s">
        <v>1101</v>
      </c>
      <c r="C9" s="261" t="s">
        <v>1068</v>
      </c>
      <c r="D9" s="261" t="s">
        <v>1727</v>
      </c>
      <c r="E9" s="261" t="s">
        <v>1084</v>
      </c>
      <c r="F9">
        <v>1</v>
      </c>
      <c r="G9" s="215">
        <v>46084</v>
      </c>
      <c r="H9" s="261" t="s">
        <v>987</v>
      </c>
      <c r="I9" s="261" t="s">
        <v>1046</v>
      </c>
      <c r="J9">
        <v>1725000</v>
      </c>
      <c r="K9" s="261" t="s">
        <v>1087</v>
      </c>
      <c r="L9">
        <v>1725000</v>
      </c>
      <c r="M9">
        <v>0</v>
      </c>
      <c r="N9">
        <v>0</v>
      </c>
      <c r="O9">
        <v>1725000</v>
      </c>
      <c r="P9" s="261" t="s">
        <v>2193</v>
      </c>
      <c r="Q9">
        <v>2710665</v>
      </c>
      <c r="R9">
        <v>1983749.9999999998</v>
      </c>
      <c r="S9">
        <v>1983749.9999999998</v>
      </c>
      <c r="T9">
        <v>2710665</v>
      </c>
      <c r="U9">
        <v>-726915.00000000023</v>
      </c>
      <c r="V9">
        <v>-0.36643478260869583</v>
      </c>
      <c r="W9" s="261" t="s">
        <v>1574</v>
      </c>
      <c r="X9">
        <v>1</v>
      </c>
      <c r="Y9">
        <v>8.0139130434782491E-2</v>
      </c>
    </row>
    <row r="10" spans="1:25" x14ac:dyDescent="0.25">
      <c r="A10" s="261" t="s">
        <v>1102</v>
      </c>
      <c r="B10" s="261" t="s">
        <v>1103</v>
      </c>
      <c r="C10" s="261" t="s">
        <v>1070</v>
      </c>
      <c r="D10" s="261" t="s">
        <v>1729</v>
      </c>
      <c r="E10" s="261" t="s">
        <v>1084</v>
      </c>
      <c r="F10">
        <v>1</v>
      </c>
      <c r="G10" s="215">
        <v>46084</v>
      </c>
      <c r="H10" s="261" t="s">
        <v>987</v>
      </c>
      <c r="I10" s="261" t="s">
        <v>1046</v>
      </c>
      <c r="J10">
        <v>2587500</v>
      </c>
      <c r="K10" s="261" t="s">
        <v>1087</v>
      </c>
      <c r="L10">
        <v>2587500</v>
      </c>
      <c r="M10">
        <v>0</v>
      </c>
      <c r="N10">
        <v>0</v>
      </c>
      <c r="O10">
        <v>2587500</v>
      </c>
      <c r="P10" s="261" t="s">
        <v>2193</v>
      </c>
      <c r="Q10">
        <v>4065997.5000000005</v>
      </c>
      <c r="R10">
        <v>2975625</v>
      </c>
      <c r="S10">
        <v>2975625</v>
      </c>
      <c r="T10">
        <v>4065997.5000000005</v>
      </c>
      <c r="U10">
        <v>-1090372.5000000005</v>
      </c>
      <c r="V10">
        <v>-0.36643478260869583</v>
      </c>
      <c r="W10" s="261" t="s">
        <v>1574</v>
      </c>
      <c r="X10">
        <v>1</v>
      </c>
      <c r="Y10">
        <v>8.0139130434782491E-2</v>
      </c>
    </row>
    <row r="11" spans="1:25" x14ac:dyDescent="0.25">
      <c r="A11" s="261" t="s">
        <v>1104</v>
      </c>
      <c r="B11" s="261" t="s">
        <v>1105</v>
      </c>
      <c r="C11" s="261" t="s">
        <v>1068</v>
      </c>
      <c r="D11" s="261" t="s">
        <v>1730</v>
      </c>
      <c r="E11" s="261" t="s">
        <v>1084</v>
      </c>
      <c r="F11">
        <v>1</v>
      </c>
      <c r="G11" s="215">
        <v>46084</v>
      </c>
      <c r="H11" s="261" t="s">
        <v>987</v>
      </c>
      <c r="I11" s="261" t="s">
        <v>1046</v>
      </c>
      <c r="J11">
        <v>1725000</v>
      </c>
      <c r="K11" s="261" t="s">
        <v>1087</v>
      </c>
      <c r="L11">
        <v>1725000</v>
      </c>
      <c r="M11">
        <v>0</v>
      </c>
      <c r="N11">
        <v>0</v>
      </c>
      <c r="O11">
        <v>1725000</v>
      </c>
      <c r="P11" s="261" t="s">
        <v>2193</v>
      </c>
      <c r="Q11">
        <v>2710665</v>
      </c>
      <c r="R11">
        <v>1983749.9999999998</v>
      </c>
      <c r="S11">
        <v>1983749.9999999998</v>
      </c>
      <c r="T11">
        <v>2710665</v>
      </c>
      <c r="U11">
        <v>-726915.00000000023</v>
      </c>
      <c r="V11">
        <v>-0.36643478260869583</v>
      </c>
      <c r="W11" s="261" t="s">
        <v>1574</v>
      </c>
      <c r="X11">
        <v>1</v>
      </c>
      <c r="Y11">
        <v>8.0139130434782491E-2</v>
      </c>
    </row>
    <row r="12" spans="1:25" x14ac:dyDescent="0.25">
      <c r="A12" s="261" t="s">
        <v>1106</v>
      </c>
      <c r="B12" s="261" t="s">
        <v>1107</v>
      </c>
      <c r="C12" s="261" t="s">
        <v>1068</v>
      </c>
      <c r="D12" s="261" t="s">
        <v>1542</v>
      </c>
      <c r="E12" s="261" t="s">
        <v>1084</v>
      </c>
      <c r="F12">
        <v>1</v>
      </c>
      <c r="G12" s="215">
        <v>46084</v>
      </c>
      <c r="H12" s="261" t="s">
        <v>987</v>
      </c>
      <c r="I12" s="261" t="s">
        <v>1046</v>
      </c>
      <c r="J12">
        <v>552000</v>
      </c>
      <c r="K12" s="261" t="s">
        <v>1087</v>
      </c>
      <c r="L12">
        <v>552000</v>
      </c>
      <c r="M12">
        <v>0</v>
      </c>
      <c r="N12">
        <v>0</v>
      </c>
      <c r="O12">
        <v>552000</v>
      </c>
      <c r="P12" s="261" t="s">
        <v>2193</v>
      </c>
      <c r="Q12">
        <v>867412.8</v>
      </c>
      <c r="R12">
        <v>634800</v>
      </c>
      <c r="S12">
        <v>634800</v>
      </c>
      <c r="T12">
        <v>867412.8</v>
      </c>
      <c r="U12">
        <v>-232612.80000000005</v>
      </c>
      <c r="V12">
        <v>-0.36643478260869572</v>
      </c>
      <c r="W12" s="261" t="s">
        <v>1574</v>
      </c>
      <c r="X12">
        <v>1</v>
      </c>
      <c r="Y12">
        <v>8.0139130434782574E-2</v>
      </c>
    </row>
    <row r="13" spans="1:25" x14ac:dyDescent="0.25">
      <c r="A13" s="261" t="s">
        <v>1108</v>
      </c>
      <c r="B13" s="261" t="s">
        <v>1109</v>
      </c>
      <c r="C13" s="261" t="s">
        <v>1068</v>
      </c>
      <c r="D13" s="261" t="s">
        <v>1727</v>
      </c>
      <c r="E13" s="261" t="s">
        <v>1110</v>
      </c>
      <c r="F13">
        <v>460</v>
      </c>
      <c r="G13" s="215">
        <v>46084</v>
      </c>
      <c r="H13" s="261" t="s">
        <v>987</v>
      </c>
      <c r="I13" s="261" t="s">
        <v>1046</v>
      </c>
      <c r="J13">
        <v>5750</v>
      </c>
      <c r="K13" s="261" t="s">
        <v>1087</v>
      </c>
      <c r="M13">
        <v>0</v>
      </c>
      <c r="N13">
        <v>0</v>
      </c>
      <c r="P13" s="261" t="s">
        <v>2194</v>
      </c>
      <c r="R13">
        <v>6612.4999999999991</v>
      </c>
      <c r="S13">
        <v>3041749.9999999995</v>
      </c>
      <c r="W13" s="261" t="s">
        <v>1574</v>
      </c>
      <c r="X13">
        <v>1</v>
      </c>
    </row>
    <row r="14" spans="1:25" x14ac:dyDescent="0.25">
      <c r="A14" s="261" t="s">
        <v>1111</v>
      </c>
      <c r="B14" s="261" t="s">
        <v>1112</v>
      </c>
      <c r="C14" s="261" t="s">
        <v>1068</v>
      </c>
      <c r="D14" s="261" t="s">
        <v>1731</v>
      </c>
      <c r="E14" s="261" t="s">
        <v>1113</v>
      </c>
      <c r="F14">
        <v>3.07</v>
      </c>
      <c r="G14" s="215">
        <v>46084</v>
      </c>
      <c r="H14" s="261" t="s">
        <v>987</v>
      </c>
      <c r="I14" s="261" t="s">
        <v>1046</v>
      </c>
      <c r="J14">
        <v>338720</v>
      </c>
      <c r="K14" s="261" t="s">
        <v>1087</v>
      </c>
      <c r="L14">
        <v>338720</v>
      </c>
      <c r="M14">
        <v>0</v>
      </c>
      <c r="N14">
        <v>0</v>
      </c>
      <c r="O14">
        <v>338720</v>
      </c>
      <c r="P14" s="261" t="s">
        <v>2193</v>
      </c>
      <c r="Q14">
        <v>532264.60800000012</v>
      </c>
      <c r="R14">
        <v>389527.99999999994</v>
      </c>
      <c r="S14">
        <v>1195850.9599999997</v>
      </c>
      <c r="T14">
        <v>1634052.3465600002</v>
      </c>
      <c r="U14">
        <v>-438201.38656000048</v>
      </c>
      <c r="V14">
        <v>-0.36643478260869611</v>
      </c>
      <c r="W14" s="261" t="s">
        <v>1574</v>
      </c>
      <c r="X14">
        <v>1</v>
      </c>
      <c r="Y14">
        <v>8.0139130434782324E-2</v>
      </c>
    </row>
    <row r="15" spans="1:25" x14ac:dyDescent="0.25">
      <c r="A15" s="261" t="s">
        <v>1114</v>
      </c>
      <c r="B15" s="261" t="s">
        <v>1115</v>
      </c>
      <c r="C15" s="261" t="s">
        <v>1068</v>
      </c>
      <c r="D15" s="261" t="s">
        <v>1731</v>
      </c>
      <c r="E15" s="261" t="s">
        <v>1113</v>
      </c>
      <c r="F15">
        <v>4.3600000000000003</v>
      </c>
      <c r="G15" s="215">
        <v>46084</v>
      </c>
      <c r="H15" s="261" t="s">
        <v>987</v>
      </c>
      <c r="I15" s="261" t="s">
        <v>1046</v>
      </c>
      <c r="J15">
        <v>189175</v>
      </c>
      <c r="K15" s="261" t="s">
        <v>1087</v>
      </c>
      <c r="L15">
        <v>189175</v>
      </c>
      <c r="M15">
        <v>0</v>
      </c>
      <c r="N15">
        <v>0</v>
      </c>
      <c r="O15">
        <v>189175</v>
      </c>
      <c r="P15" s="261" t="s">
        <v>2193</v>
      </c>
      <c r="Q15">
        <v>297269.59500000003</v>
      </c>
      <c r="R15">
        <v>217551.24999999997</v>
      </c>
      <c r="S15">
        <v>948523.45</v>
      </c>
      <c r="T15">
        <v>1296095.4342000003</v>
      </c>
      <c r="U15">
        <v>-347571.9842000003</v>
      </c>
      <c r="V15">
        <v>-0.366434782608696</v>
      </c>
      <c r="W15" s="261" t="s">
        <v>1574</v>
      </c>
      <c r="X15">
        <v>1</v>
      </c>
      <c r="Y15">
        <v>8.0139130434782407E-2</v>
      </c>
    </row>
    <row r="16" spans="1:25" x14ac:dyDescent="0.25">
      <c r="A16" s="261" t="s">
        <v>1116</v>
      </c>
      <c r="B16" s="261" t="s">
        <v>1117</v>
      </c>
      <c r="C16" s="261" t="s">
        <v>1068</v>
      </c>
      <c r="D16" s="261" t="s">
        <v>1731</v>
      </c>
      <c r="E16" s="261" t="s">
        <v>1110</v>
      </c>
      <c r="F16">
        <v>15.84</v>
      </c>
      <c r="G16" s="215">
        <v>46084</v>
      </c>
      <c r="H16" s="261" t="s">
        <v>987</v>
      </c>
      <c r="I16" s="261" t="s">
        <v>1046</v>
      </c>
      <c r="J16">
        <v>5750</v>
      </c>
      <c r="K16" s="261" t="s">
        <v>1087</v>
      </c>
      <c r="L16">
        <v>3350</v>
      </c>
      <c r="M16">
        <v>0</v>
      </c>
      <c r="N16">
        <v>0</v>
      </c>
      <c r="O16">
        <v>3350</v>
      </c>
      <c r="P16" s="261" t="s">
        <v>2193</v>
      </c>
      <c r="Q16">
        <v>5264.1900000000005</v>
      </c>
      <c r="R16">
        <v>6612.4999999999991</v>
      </c>
      <c r="S16">
        <v>104741.99999999999</v>
      </c>
      <c r="T16">
        <v>83384.769600000014</v>
      </c>
      <c r="U16">
        <v>21357.230399999971</v>
      </c>
      <c r="V16">
        <v>0.20390321361058578</v>
      </c>
      <c r="W16" s="261" t="s">
        <v>1574</v>
      </c>
      <c r="X16">
        <v>1</v>
      </c>
      <c r="Y16">
        <v>0.42234192816635147</v>
      </c>
    </row>
    <row r="17" spans="1:25" x14ac:dyDescent="0.25">
      <c r="A17" s="261" t="s">
        <v>1118</v>
      </c>
      <c r="B17" s="261" t="s">
        <v>1119</v>
      </c>
      <c r="C17" s="261" t="s">
        <v>1068</v>
      </c>
      <c r="D17" s="261" t="s">
        <v>1731</v>
      </c>
      <c r="E17" s="261" t="s">
        <v>1120</v>
      </c>
      <c r="F17">
        <v>436</v>
      </c>
      <c r="G17" s="215">
        <v>46084</v>
      </c>
      <c r="H17" s="261" t="s">
        <v>987</v>
      </c>
      <c r="I17" s="261" t="s">
        <v>1046</v>
      </c>
      <c r="J17">
        <v>1380</v>
      </c>
      <c r="K17" s="261" t="s">
        <v>1087</v>
      </c>
      <c r="L17">
        <v>370</v>
      </c>
      <c r="M17">
        <v>0</v>
      </c>
      <c r="N17">
        <v>0</v>
      </c>
      <c r="O17">
        <v>370</v>
      </c>
      <c r="P17" s="261" t="s">
        <v>2193</v>
      </c>
      <c r="Q17">
        <v>581.41800000000001</v>
      </c>
      <c r="R17">
        <v>1586.9999999999998</v>
      </c>
      <c r="S17">
        <v>691931.99999999988</v>
      </c>
      <c r="T17">
        <v>253498.24799999999</v>
      </c>
      <c r="U17">
        <v>438433.75199999986</v>
      </c>
      <c r="V17">
        <v>0.63363705103969747</v>
      </c>
      <c r="W17" s="261" t="s">
        <v>1574</v>
      </c>
      <c r="X17">
        <v>1</v>
      </c>
      <c r="Y17">
        <v>0.68018223062381844</v>
      </c>
    </row>
    <row r="18" spans="1:25" x14ac:dyDescent="0.25">
      <c r="A18" s="261" t="s">
        <v>1131</v>
      </c>
      <c r="B18" s="261" t="s">
        <v>1132</v>
      </c>
      <c r="C18" s="261" t="s">
        <v>1068</v>
      </c>
      <c r="D18" s="261" t="s">
        <v>1731</v>
      </c>
      <c r="E18" s="261" t="s">
        <v>1110</v>
      </c>
      <c r="F18">
        <v>78.98</v>
      </c>
      <c r="G18" s="215">
        <v>46084</v>
      </c>
      <c r="H18" s="261" t="s">
        <v>987</v>
      </c>
      <c r="I18" s="261" t="s">
        <v>1046</v>
      </c>
      <c r="J18">
        <v>12180</v>
      </c>
      <c r="K18" s="261" t="s">
        <v>1087</v>
      </c>
      <c r="L18">
        <v>12180</v>
      </c>
      <c r="M18">
        <v>0</v>
      </c>
      <c r="N18">
        <v>0</v>
      </c>
      <c r="O18">
        <v>12180</v>
      </c>
      <c r="P18" s="261" t="s">
        <v>2193</v>
      </c>
      <c r="Q18">
        <v>19139.652000000002</v>
      </c>
      <c r="R18">
        <v>14006.999999999998</v>
      </c>
      <c r="S18">
        <v>1106272.8599999999</v>
      </c>
      <c r="T18">
        <v>1511649.7149600002</v>
      </c>
      <c r="U18">
        <v>-405376.85496000038</v>
      </c>
      <c r="V18">
        <v>-0.36643478260869605</v>
      </c>
      <c r="W18" s="261" t="s">
        <v>1574</v>
      </c>
      <c r="X18">
        <v>1</v>
      </c>
      <c r="Y18">
        <v>8.0139130434782352E-2</v>
      </c>
    </row>
    <row r="19" spans="1:25" x14ac:dyDescent="0.25">
      <c r="A19" s="261" t="s">
        <v>1121</v>
      </c>
      <c r="B19" s="261" t="s">
        <v>1732</v>
      </c>
      <c r="C19" s="261" t="s">
        <v>1068</v>
      </c>
      <c r="D19" s="261" t="s">
        <v>1731</v>
      </c>
      <c r="E19" s="261" t="s">
        <v>1113</v>
      </c>
      <c r="F19">
        <v>1.65</v>
      </c>
      <c r="G19" s="215">
        <v>46084</v>
      </c>
      <c r="H19" s="261" t="s">
        <v>987</v>
      </c>
      <c r="I19" s="261" t="s">
        <v>1046</v>
      </c>
      <c r="J19">
        <v>189175</v>
      </c>
      <c r="K19" s="261" t="s">
        <v>1087</v>
      </c>
      <c r="M19">
        <v>0</v>
      </c>
      <c r="N19">
        <v>0</v>
      </c>
      <c r="P19" s="261" t="s">
        <v>2194</v>
      </c>
      <c r="R19">
        <v>217551.24999999997</v>
      </c>
      <c r="S19">
        <v>358959.56249999994</v>
      </c>
      <c r="W19" s="261" t="s">
        <v>1574</v>
      </c>
      <c r="X19">
        <v>1</v>
      </c>
    </row>
    <row r="20" spans="1:25" x14ac:dyDescent="0.25">
      <c r="A20" s="261" t="s">
        <v>1155</v>
      </c>
      <c r="B20" s="261" t="s">
        <v>1156</v>
      </c>
      <c r="C20" s="261" t="s">
        <v>1068</v>
      </c>
      <c r="D20" s="261" t="s">
        <v>1727</v>
      </c>
      <c r="E20" s="261" t="s">
        <v>1110</v>
      </c>
      <c r="F20">
        <v>1</v>
      </c>
      <c r="G20" s="215">
        <v>46084</v>
      </c>
      <c r="H20" s="261" t="s">
        <v>987</v>
      </c>
      <c r="I20" s="261" t="s">
        <v>1046</v>
      </c>
      <c r="J20">
        <v>11185</v>
      </c>
      <c r="K20" s="261" t="s">
        <v>1087</v>
      </c>
      <c r="L20">
        <v>11185</v>
      </c>
      <c r="M20">
        <v>0</v>
      </c>
      <c r="N20">
        <v>0</v>
      </c>
      <c r="O20">
        <v>11185</v>
      </c>
      <c r="P20" s="261" t="s">
        <v>2193</v>
      </c>
      <c r="Q20">
        <v>17576.109000000004</v>
      </c>
      <c r="R20">
        <v>12862.749999999998</v>
      </c>
      <c r="S20">
        <v>12862.749999999998</v>
      </c>
      <c r="T20">
        <v>17576.109000000004</v>
      </c>
      <c r="U20">
        <v>-4713.3590000000058</v>
      </c>
      <c r="V20">
        <v>-0.36643478260869616</v>
      </c>
      <c r="W20" s="261" t="s">
        <v>1574</v>
      </c>
      <c r="X20">
        <v>1</v>
      </c>
      <c r="Y20">
        <v>8.0139130434782296E-2</v>
      </c>
    </row>
    <row r="21" spans="1:25" x14ac:dyDescent="0.25">
      <c r="A21" s="261" t="s">
        <v>1122</v>
      </c>
      <c r="B21" s="261" t="s">
        <v>1733</v>
      </c>
      <c r="C21" s="261" t="s">
        <v>1068</v>
      </c>
      <c r="D21" s="261" t="s">
        <v>1731</v>
      </c>
      <c r="E21" s="261" t="s">
        <v>1110</v>
      </c>
      <c r="F21">
        <v>26.4</v>
      </c>
      <c r="G21" s="215">
        <v>46084</v>
      </c>
      <c r="H21" s="261" t="s">
        <v>987</v>
      </c>
      <c r="I21" s="261" t="s">
        <v>1046</v>
      </c>
      <c r="J21">
        <v>5750</v>
      </c>
      <c r="K21" s="261" t="s">
        <v>1087</v>
      </c>
      <c r="M21">
        <v>0</v>
      </c>
      <c r="N21">
        <v>0</v>
      </c>
      <c r="P21" s="261" t="s">
        <v>2194</v>
      </c>
      <c r="R21">
        <v>6612.4999999999991</v>
      </c>
      <c r="S21">
        <v>174569.99999999997</v>
      </c>
      <c r="W21" s="261" t="s">
        <v>1574</v>
      </c>
      <c r="X21">
        <v>1</v>
      </c>
    </row>
    <row r="22" spans="1:25" x14ac:dyDescent="0.25">
      <c r="A22" s="261" t="s">
        <v>1157</v>
      </c>
      <c r="B22" s="261" t="s">
        <v>1158</v>
      </c>
      <c r="C22" s="261" t="s">
        <v>1068</v>
      </c>
      <c r="D22" s="261" t="s">
        <v>1727</v>
      </c>
      <c r="E22" s="261" t="s">
        <v>1110</v>
      </c>
      <c r="F22">
        <v>1</v>
      </c>
      <c r="G22" s="215">
        <v>46084</v>
      </c>
      <c r="H22" s="261" t="s">
        <v>987</v>
      </c>
      <c r="I22" s="261" t="s">
        <v>1046</v>
      </c>
      <c r="J22">
        <v>3827</v>
      </c>
      <c r="K22" s="261" t="s">
        <v>1087</v>
      </c>
      <c r="L22">
        <v>3827</v>
      </c>
      <c r="M22">
        <v>0</v>
      </c>
      <c r="N22">
        <v>0</v>
      </c>
      <c r="O22">
        <v>3827</v>
      </c>
      <c r="P22" s="261" t="s">
        <v>2193</v>
      </c>
      <c r="Q22">
        <v>6013.7478000000001</v>
      </c>
      <c r="R22">
        <v>4401.0499999999993</v>
      </c>
      <c r="S22">
        <v>4401.0499999999993</v>
      </c>
      <c r="T22">
        <v>6013.7478000000001</v>
      </c>
      <c r="U22">
        <v>-1612.6978000000008</v>
      </c>
      <c r="V22">
        <v>-0.36643478260869589</v>
      </c>
      <c r="W22" s="261" t="s">
        <v>1574</v>
      </c>
      <c r="X22">
        <v>1</v>
      </c>
      <c r="Y22">
        <v>8.0139130434782463E-2</v>
      </c>
    </row>
    <row r="23" spans="1:25" x14ac:dyDescent="0.25">
      <c r="A23" s="261" t="s">
        <v>1123</v>
      </c>
      <c r="B23" s="261" t="s">
        <v>1734</v>
      </c>
      <c r="C23" s="261" t="s">
        <v>1068</v>
      </c>
      <c r="D23" s="261" t="s">
        <v>1731</v>
      </c>
      <c r="E23" s="261" t="s">
        <v>1120</v>
      </c>
      <c r="F23">
        <v>198</v>
      </c>
      <c r="G23" s="215">
        <v>46084</v>
      </c>
      <c r="H23" s="261" t="s">
        <v>987</v>
      </c>
      <c r="I23" s="261" t="s">
        <v>1046</v>
      </c>
      <c r="J23">
        <v>1380</v>
      </c>
      <c r="K23" s="261" t="s">
        <v>1087</v>
      </c>
      <c r="M23">
        <v>0</v>
      </c>
      <c r="N23">
        <v>0</v>
      </c>
      <c r="P23" s="261" t="s">
        <v>2194</v>
      </c>
      <c r="R23">
        <v>1586.9999999999998</v>
      </c>
      <c r="S23">
        <v>314225.99999999994</v>
      </c>
      <c r="W23" s="261" t="s">
        <v>1574</v>
      </c>
      <c r="X23">
        <v>1</v>
      </c>
    </row>
    <row r="24" spans="1:25" x14ac:dyDescent="0.25">
      <c r="A24" s="261" t="s">
        <v>1159</v>
      </c>
      <c r="B24" s="261" t="s">
        <v>1160</v>
      </c>
      <c r="C24" s="261" t="s">
        <v>1068</v>
      </c>
      <c r="D24" s="261" t="s">
        <v>1727</v>
      </c>
      <c r="E24" s="261" t="s">
        <v>1110</v>
      </c>
      <c r="F24">
        <v>1</v>
      </c>
      <c r="G24" s="215">
        <v>46084</v>
      </c>
      <c r="H24" s="261" t="s">
        <v>987</v>
      </c>
      <c r="I24" s="261" t="s">
        <v>1046</v>
      </c>
      <c r="J24">
        <v>3827</v>
      </c>
      <c r="K24" s="261" t="s">
        <v>1087</v>
      </c>
      <c r="L24">
        <v>3827</v>
      </c>
      <c r="M24">
        <v>0</v>
      </c>
      <c r="N24">
        <v>0</v>
      </c>
      <c r="O24">
        <v>3827</v>
      </c>
      <c r="P24" s="261" t="s">
        <v>2193</v>
      </c>
      <c r="Q24">
        <v>6013.7478000000001</v>
      </c>
      <c r="R24">
        <v>4401.0499999999993</v>
      </c>
      <c r="S24">
        <v>4401.0499999999993</v>
      </c>
      <c r="T24">
        <v>6013.7478000000001</v>
      </c>
      <c r="U24">
        <v>-1612.6978000000008</v>
      </c>
      <c r="V24">
        <v>-0.36643478260869589</v>
      </c>
      <c r="W24" s="261" t="s">
        <v>1574</v>
      </c>
      <c r="X24">
        <v>1</v>
      </c>
      <c r="Y24">
        <v>8.0139130434782463E-2</v>
      </c>
    </row>
    <row r="25" spans="1:25" x14ac:dyDescent="0.25">
      <c r="A25" s="261" t="s">
        <v>1124</v>
      </c>
      <c r="B25" s="261" t="s">
        <v>1735</v>
      </c>
      <c r="C25" s="261" t="s">
        <v>1068</v>
      </c>
      <c r="D25" s="261" t="s">
        <v>1731</v>
      </c>
      <c r="E25" s="261" t="s">
        <v>1113</v>
      </c>
      <c r="F25">
        <v>3.72</v>
      </c>
      <c r="G25" s="215">
        <v>46084</v>
      </c>
      <c r="H25" s="261" t="s">
        <v>987</v>
      </c>
      <c r="I25" s="261" t="s">
        <v>1046</v>
      </c>
      <c r="J25">
        <v>189175</v>
      </c>
      <c r="K25" s="261" t="s">
        <v>1087</v>
      </c>
      <c r="M25">
        <v>0</v>
      </c>
      <c r="N25">
        <v>0</v>
      </c>
      <c r="P25" s="261" t="s">
        <v>2194</v>
      </c>
      <c r="R25">
        <v>217551.24999999997</v>
      </c>
      <c r="S25">
        <v>809290.64999999991</v>
      </c>
      <c r="W25" s="261" t="s">
        <v>1574</v>
      </c>
      <c r="X25">
        <v>1</v>
      </c>
    </row>
    <row r="26" spans="1:25" x14ac:dyDescent="0.25">
      <c r="A26" s="261" t="s">
        <v>1178</v>
      </c>
      <c r="B26" s="261" t="s">
        <v>1179</v>
      </c>
      <c r="C26" s="261" t="s">
        <v>1068</v>
      </c>
      <c r="D26" s="261" t="s">
        <v>1762</v>
      </c>
      <c r="E26" s="261" t="s">
        <v>1110</v>
      </c>
      <c r="F26">
        <v>320</v>
      </c>
      <c r="G26" s="215">
        <v>46084</v>
      </c>
      <c r="H26" s="261" t="s">
        <v>987</v>
      </c>
      <c r="I26" s="261" t="s">
        <v>1042</v>
      </c>
      <c r="J26">
        <v>11793</v>
      </c>
      <c r="K26" s="261" t="s">
        <v>1087</v>
      </c>
      <c r="L26">
        <v>11793</v>
      </c>
      <c r="M26">
        <v>1</v>
      </c>
      <c r="N26">
        <v>1</v>
      </c>
      <c r="O26">
        <v>11793</v>
      </c>
      <c r="P26" s="261" t="s">
        <v>2193</v>
      </c>
      <c r="Q26">
        <v>18531.520200000003</v>
      </c>
      <c r="R26">
        <v>13561.949999999999</v>
      </c>
      <c r="S26">
        <v>4339824</v>
      </c>
      <c r="T26">
        <v>5930086.4640000006</v>
      </c>
      <c r="U26">
        <v>-1590262.4640000006</v>
      </c>
      <c r="V26">
        <v>-0.36643478260869577</v>
      </c>
      <c r="W26" s="261" t="s">
        <v>1574</v>
      </c>
      <c r="X26">
        <v>2</v>
      </c>
      <c r="Y26">
        <v>0.12013913043478253</v>
      </c>
    </row>
    <row r="27" spans="1:25" x14ac:dyDescent="0.25">
      <c r="A27" s="261" t="s">
        <v>1125</v>
      </c>
      <c r="B27" s="261" t="s">
        <v>1736</v>
      </c>
      <c r="C27" s="261" t="s">
        <v>1068</v>
      </c>
      <c r="D27" s="261" t="s">
        <v>1731</v>
      </c>
      <c r="E27" s="261" t="s">
        <v>1110</v>
      </c>
      <c r="F27">
        <v>37.33</v>
      </c>
      <c r="G27" s="215">
        <v>46084</v>
      </c>
      <c r="H27" s="261" t="s">
        <v>987</v>
      </c>
      <c r="I27" s="261" t="s">
        <v>1046</v>
      </c>
      <c r="J27">
        <v>5750</v>
      </c>
      <c r="K27" s="261" t="s">
        <v>1087</v>
      </c>
      <c r="M27">
        <v>0</v>
      </c>
      <c r="N27">
        <v>0</v>
      </c>
      <c r="P27" s="261" t="s">
        <v>2194</v>
      </c>
      <c r="R27">
        <v>6612.4999999999991</v>
      </c>
      <c r="S27">
        <v>246844.62499999994</v>
      </c>
      <c r="W27" s="261" t="s">
        <v>1574</v>
      </c>
      <c r="X27">
        <v>1</v>
      </c>
    </row>
    <row r="28" spans="1:25" x14ac:dyDescent="0.25">
      <c r="A28" s="261" t="s">
        <v>1180</v>
      </c>
      <c r="B28" s="261" t="s">
        <v>1181</v>
      </c>
      <c r="C28" s="261" t="s">
        <v>1068</v>
      </c>
      <c r="D28" s="261" t="s">
        <v>1762</v>
      </c>
      <c r="E28" s="261" t="s">
        <v>1110</v>
      </c>
      <c r="F28">
        <v>320</v>
      </c>
      <c r="G28" s="215">
        <v>46084</v>
      </c>
      <c r="H28" s="261" t="s">
        <v>987</v>
      </c>
      <c r="I28" s="261" t="s">
        <v>1042</v>
      </c>
      <c r="J28">
        <v>34552</v>
      </c>
      <c r="K28" s="261" t="s">
        <v>1087</v>
      </c>
      <c r="L28">
        <v>6100</v>
      </c>
      <c r="M28">
        <v>1</v>
      </c>
      <c r="N28">
        <v>1</v>
      </c>
      <c r="O28">
        <v>6100</v>
      </c>
      <c r="P28" s="261" t="s">
        <v>2193</v>
      </c>
      <c r="Q28">
        <v>9585.5400000000009</v>
      </c>
      <c r="R28">
        <v>39734.799999999996</v>
      </c>
      <c r="S28">
        <v>12715135.999999998</v>
      </c>
      <c r="T28">
        <v>3067372.8000000003</v>
      </c>
      <c r="U28">
        <v>9647763.1999999974</v>
      </c>
      <c r="V28">
        <v>0.7587620926744314</v>
      </c>
      <c r="W28" s="261" t="s">
        <v>1575</v>
      </c>
      <c r="X28">
        <v>2</v>
      </c>
      <c r="Y28">
        <v>0.79525725560465876</v>
      </c>
    </row>
    <row r="29" spans="1:25" x14ac:dyDescent="0.25">
      <c r="A29" s="261" t="s">
        <v>1126</v>
      </c>
      <c r="B29" s="261" t="s">
        <v>1737</v>
      </c>
      <c r="C29" s="261" t="s">
        <v>1068</v>
      </c>
      <c r="D29" s="261" t="s">
        <v>1731</v>
      </c>
      <c r="E29" s="261" t="s">
        <v>1120</v>
      </c>
      <c r="F29">
        <v>484</v>
      </c>
      <c r="G29" s="215">
        <v>46084</v>
      </c>
      <c r="H29" s="261" t="s">
        <v>987</v>
      </c>
      <c r="I29" s="261" t="s">
        <v>1046</v>
      </c>
      <c r="J29">
        <v>1380</v>
      </c>
      <c r="K29" s="261" t="s">
        <v>1087</v>
      </c>
      <c r="M29">
        <v>0</v>
      </c>
      <c r="N29">
        <v>0</v>
      </c>
      <c r="P29" s="261" t="s">
        <v>2194</v>
      </c>
      <c r="R29">
        <v>1586.9999999999998</v>
      </c>
      <c r="S29">
        <v>768107.99999999988</v>
      </c>
      <c r="W29" s="261" t="s">
        <v>1574</v>
      </c>
      <c r="X29">
        <v>1</v>
      </c>
    </row>
    <row r="30" spans="1:25" x14ac:dyDescent="0.25">
      <c r="A30" s="261" t="s">
        <v>1182</v>
      </c>
      <c r="B30" s="261" t="s">
        <v>1176</v>
      </c>
      <c r="C30" s="261" t="s">
        <v>1068</v>
      </c>
      <c r="D30" s="261" t="s">
        <v>1762</v>
      </c>
      <c r="E30" s="261" t="s">
        <v>1177</v>
      </c>
      <c r="F30">
        <v>120</v>
      </c>
      <c r="G30" s="215">
        <v>46084</v>
      </c>
      <c r="H30" s="261" t="s">
        <v>987</v>
      </c>
      <c r="I30" s="261" t="s">
        <v>1042</v>
      </c>
      <c r="J30">
        <v>8641</v>
      </c>
      <c r="K30" s="261" t="s">
        <v>1087</v>
      </c>
      <c r="L30">
        <v>3050</v>
      </c>
      <c r="M30">
        <v>1</v>
      </c>
      <c r="N30">
        <v>1</v>
      </c>
      <c r="O30">
        <v>3050</v>
      </c>
      <c r="P30" s="261" t="s">
        <v>2193</v>
      </c>
      <c r="Q30">
        <v>4792.7700000000004</v>
      </c>
      <c r="R30">
        <v>9937.15</v>
      </c>
      <c r="S30">
        <v>1192458</v>
      </c>
      <c r="T30">
        <v>575132.4</v>
      </c>
      <c r="U30">
        <v>617325.6</v>
      </c>
      <c r="V30">
        <v>0.51769169228601764</v>
      </c>
      <c r="W30" s="261" t="s">
        <v>1575</v>
      </c>
      <c r="X30">
        <v>2</v>
      </c>
      <c r="Y30">
        <v>0.65061501537161048</v>
      </c>
    </row>
    <row r="31" spans="1:25" x14ac:dyDescent="0.25">
      <c r="A31" s="261" t="s">
        <v>1127</v>
      </c>
      <c r="B31" s="261" t="s">
        <v>1738</v>
      </c>
      <c r="C31" s="261" t="s">
        <v>1068</v>
      </c>
      <c r="D31" s="261" t="s">
        <v>1731</v>
      </c>
      <c r="E31" s="261" t="s">
        <v>1113</v>
      </c>
      <c r="F31">
        <v>33.200000000000003</v>
      </c>
      <c r="G31" s="215">
        <v>46084</v>
      </c>
      <c r="H31" s="261" t="s">
        <v>987</v>
      </c>
      <c r="I31" s="261" t="s">
        <v>1046</v>
      </c>
      <c r="J31">
        <v>189175</v>
      </c>
      <c r="K31" s="261" t="s">
        <v>1087</v>
      </c>
      <c r="M31">
        <v>0</v>
      </c>
      <c r="N31">
        <v>0</v>
      </c>
      <c r="P31" s="261" t="s">
        <v>2194</v>
      </c>
      <c r="R31">
        <v>217551.24999999997</v>
      </c>
      <c r="S31">
        <v>7222701.5</v>
      </c>
      <c r="W31" s="261" t="s">
        <v>1574</v>
      </c>
      <c r="X31">
        <v>1</v>
      </c>
    </row>
    <row r="32" spans="1:25" x14ac:dyDescent="0.25">
      <c r="A32" s="261" t="s">
        <v>1183</v>
      </c>
      <c r="B32" s="261" t="s">
        <v>1179</v>
      </c>
      <c r="C32" s="261" t="s">
        <v>1068</v>
      </c>
      <c r="D32" s="261" t="s">
        <v>1762</v>
      </c>
      <c r="E32" s="261" t="s">
        <v>1110</v>
      </c>
      <c r="F32">
        <v>56.75</v>
      </c>
      <c r="G32" s="215">
        <v>46084</v>
      </c>
      <c r="H32" s="261" t="s">
        <v>987</v>
      </c>
      <c r="I32" s="261" t="s">
        <v>1042</v>
      </c>
      <c r="J32">
        <v>11793</v>
      </c>
      <c r="K32" s="261" t="s">
        <v>1087</v>
      </c>
      <c r="L32">
        <v>11793</v>
      </c>
      <c r="M32">
        <v>1</v>
      </c>
      <c r="N32">
        <v>1</v>
      </c>
      <c r="O32">
        <v>11793</v>
      </c>
      <c r="P32" s="261" t="s">
        <v>2193</v>
      </c>
      <c r="Q32">
        <v>18531.520200000003</v>
      </c>
      <c r="R32">
        <v>13561.949999999999</v>
      </c>
      <c r="S32">
        <v>769640.66249999998</v>
      </c>
      <c r="T32">
        <v>1051663.7713500001</v>
      </c>
      <c r="U32">
        <v>-282023.10885000008</v>
      </c>
      <c r="V32">
        <v>-0.36643478260869577</v>
      </c>
      <c r="W32" s="261" t="s">
        <v>1574</v>
      </c>
      <c r="X32">
        <v>2</v>
      </c>
      <c r="Y32">
        <v>0.12013913043478253</v>
      </c>
    </row>
    <row r="33" spans="1:25" x14ac:dyDescent="0.25">
      <c r="A33" s="261" t="s">
        <v>1183</v>
      </c>
      <c r="B33" s="261" t="s">
        <v>1179</v>
      </c>
      <c r="C33" s="261" t="s">
        <v>1068</v>
      </c>
      <c r="D33" s="261" t="s">
        <v>1766</v>
      </c>
      <c r="E33" s="261" t="s">
        <v>1110</v>
      </c>
      <c r="F33">
        <v>83</v>
      </c>
      <c r="G33" s="215">
        <v>46084</v>
      </c>
      <c r="H33" s="261" t="s">
        <v>987</v>
      </c>
      <c r="I33" s="261" t="s">
        <v>1042</v>
      </c>
      <c r="J33">
        <v>11793</v>
      </c>
      <c r="K33" s="261" t="s">
        <v>1087</v>
      </c>
      <c r="L33">
        <v>11793</v>
      </c>
      <c r="M33">
        <v>1</v>
      </c>
      <c r="N33">
        <v>1</v>
      </c>
      <c r="O33">
        <v>11793</v>
      </c>
      <c r="P33" s="261" t="s">
        <v>2193</v>
      </c>
      <c r="Q33">
        <v>18531.520200000003</v>
      </c>
      <c r="R33">
        <v>13561.949999999999</v>
      </c>
      <c r="S33">
        <v>1125641.8499999999</v>
      </c>
      <c r="T33">
        <v>1538116.1766000001</v>
      </c>
      <c r="U33">
        <v>-412474.32660000026</v>
      </c>
      <c r="V33">
        <v>-0.36643478260869594</v>
      </c>
      <c r="W33" s="261" t="s">
        <v>1574</v>
      </c>
      <c r="X33">
        <v>2</v>
      </c>
      <c r="Y33">
        <v>0.12013913043478244</v>
      </c>
    </row>
    <row r="34" spans="1:25" x14ac:dyDescent="0.25">
      <c r="A34" s="261" t="s">
        <v>1183</v>
      </c>
      <c r="B34" s="261" t="s">
        <v>1179</v>
      </c>
      <c r="C34" s="261" t="s">
        <v>1070</v>
      </c>
      <c r="D34" s="261" t="s">
        <v>1766</v>
      </c>
      <c r="E34" s="261" t="s">
        <v>1110</v>
      </c>
      <c r="F34">
        <v>231</v>
      </c>
      <c r="G34" s="215">
        <v>46084</v>
      </c>
      <c r="H34" s="261" t="s">
        <v>987</v>
      </c>
      <c r="I34" s="261" t="s">
        <v>1042</v>
      </c>
      <c r="J34">
        <v>11793</v>
      </c>
      <c r="K34" s="261" t="s">
        <v>1087</v>
      </c>
      <c r="L34">
        <v>11793</v>
      </c>
      <c r="M34">
        <v>1</v>
      </c>
      <c r="N34">
        <v>1</v>
      </c>
      <c r="O34">
        <v>11793</v>
      </c>
      <c r="P34" s="261" t="s">
        <v>2193</v>
      </c>
      <c r="Q34">
        <v>18531.520200000003</v>
      </c>
      <c r="R34">
        <v>13561.949999999999</v>
      </c>
      <c r="S34">
        <v>3132810.4499999997</v>
      </c>
      <c r="T34">
        <v>4280781.1662000008</v>
      </c>
      <c r="U34">
        <v>-1147970.7162000011</v>
      </c>
      <c r="V34">
        <v>-0.36643478260869605</v>
      </c>
      <c r="W34" s="261" t="s">
        <v>1574</v>
      </c>
      <c r="X34">
        <v>2</v>
      </c>
      <c r="Y34">
        <v>0.12013913043478236</v>
      </c>
    </row>
    <row r="35" spans="1:25" x14ac:dyDescent="0.25">
      <c r="A35" s="261" t="s">
        <v>1129</v>
      </c>
      <c r="B35" s="261" t="s">
        <v>1739</v>
      </c>
      <c r="C35" s="261" t="s">
        <v>1068</v>
      </c>
      <c r="D35" s="261" t="s">
        <v>1731</v>
      </c>
      <c r="E35" s="261" t="s">
        <v>1110</v>
      </c>
      <c r="F35">
        <v>66.8</v>
      </c>
      <c r="G35" s="215">
        <v>46084</v>
      </c>
      <c r="H35" s="261" t="s">
        <v>987</v>
      </c>
      <c r="I35" s="261" t="s">
        <v>1046</v>
      </c>
      <c r="J35">
        <v>5750</v>
      </c>
      <c r="K35" s="261" t="s">
        <v>1087</v>
      </c>
      <c r="M35">
        <v>0</v>
      </c>
      <c r="N35">
        <v>0</v>
      </c>
      <c r="P35" s="261" t="s">
        <v>2194</v>
      </c>
      <c r="R35">
        <v>6612.4999999999991</v>
      </c>
      <c r="S35">
        <v>441714.99999999994</v>
      </c>
      <c r="W35" s="261" t="s">
        <v>1574</v>
      </c>
      <c r="X35">
        <v>1</v>
      </c>
    </row>
    <row r="36" spans="1:25" x14ac:dyDescent="0.25">
      <c r="A36" s="261" t="s">
        <v>1184</v>
      </c>
      <c r="B36" s="261" t="s">
        <v>1185</v>
      </c>
      <c r="C36" s="261" t="s">
        <v>1068</v>
      </c>
      <c r="D36" s="261" t="s">
        <v>1762</v>
      </c>
      <c r="E36" s="261" t="s">
        <v>1110</v>
      </c>
      <c r="F36">
        <v>56.75</v>
      </c>
      <c r="G36" s="215">
        <v>46084</v>
      </c>
      <c r="H36" s="261" t="s">
        <v>987</v>
      </c>
      <c r="I36" s="261" t="s">
        <v>1042</v>
      </c>
      <c r="J36">
        <v>17276</v>
      </c>
      <c r="K36" s="261" t="s">
        <v>1087</v>
      </c>
      <c r="L36">
        <v>4575</v>
      </c>
      <c r="M36">
        <v>1</v>
      </c>
      <c r="N36">
        <v>1</v>
      </c>
      <c r="O36">
        <v>4575</v>
      </c>
      <c r="P36" s="261" t="s">
        <v>2193</v>
      </c>
      <c r="Q36">
        <v>7189.1550000000007</v>
      </c>
      <c r="R36">
        <v>19867.399999999998</v>
      </c>
      <c r="S36">
        <v>1127474.95</v>
      </c>
      <c r="T36">
        <v>407984.54625000001</v>
      </c>
      <c r="U36">
        <v>719490.40374999994</v>
      </c>
      <c r="V36">
        <v>0.63814313901164721</v>
      </c>
      <c r="W36" s="261" t="s">
        <v>1575</v>
      </c>
      <c r="X36">
        <v>2</v>
      </c>
      <c r="Y36">
        <v>0.72288588340698834</v>
      </c>
    </row>
    <row r="37" spans="1:25" x14ac:dyDescent="0.25">
      <c r="A37" s="261" t="s">
        <v>1184</v>
      </c>
      <c r="B37" s="261" t="s">
        <v>1466</v>
      </c>
      <c r="C37" s="261" t="s">
        <v>1068</v>
      </c>
      <c r="D37" s="261" t="s">
        <v>1766</v>
      </c>
      <c r="E37" s="261" t="s">
        <v>1110</v>
      </c>
      <c r="F37">
        <v>83</v>
      </c>
      <c r="G37" s="215">
        <v>46084</v>
      </c>
      <c r="H37" s="261" t="s">
        <v>987</v>
      </c>
      <c r="I37" s="261" t="s">
        <v>1042</v>
      </c>
      <c r="J37">
        <v>17276</v>
      </c>
      <c r="K37" s="261" t="s">
        <v>1087</v>
      </c>
      <c r="L37">
        <v>4575</v>
      </c>
      <c r="M37">
        <v>1</v>
      </c>
      <c r="N37">
        <v>1</v>
      </c>
      <c r="O37">
        <v>4575</v>
      </c>
      <c r="P37" s="261" t="s">
        <v>2193</v>
      </c>
      <c r="Q37">
        <v>7189.1550000000007</v>
      </c>
      <c r="R37">
        <v>19867.399999999998</v>
      </c>
      <c r="S37">
        <v>1648994.1999999997</v>
      </c>
      <c r="T37">
        <v>596699.86500000011</v>
      </c>
      <c r="U37">
        <v>1052294.3349999995</v>
      </c>
      <c r="V37">
        <v>0.63814313901164699</v>
      </c>
      <c r="W37" s="261" t="s">
        <v>1575</v>
      </c>
      <c r="X37">
        <v>2</v>
      </c>
      <c r="Y37">
        <v>0.72288588340698812</v>
      </c>
    </row>
    <row r="38" spans="1:25" x14ac:dyDescent="0.25">
      <c r="A38" s="261" t="s">
        <v>1184</v>
      </c>
      <c r="B38" s="261" t="s">
        <v>1768</v>
      </c>
      <c r="C38" s="261" t="s">
        <v>1070</v>
      </c>
      <c r="D38" s="261" t="s">
        <v>1766</v>
      </c>
      <c r="E38" s="261" t="s">
        <v>1110</v>
      </c>
      <c r="F38">
        <v>231</v>
      </c>
      <c r="G38" s="215">
        <v>46084</v>
      </c>
      <c r="H38" s="261" t="s">
        <v>987</v>
      </c>
      <c r="I38" s="261" t="s">
        <v>1042</v>
      </c>
      <c r="J38">
        <v>17276</v>
      </c>
      <c r="K38" s="261" t="s">
        <v>1087</v>
      </c>
      <c r="L38">
        <v>4575</v>
      </c>
      <c r="M38">
        <v>1</v>
      </c>
      <c r="N38">
        <v>1</v>
      </c>
      <c r="O38">
        <v>4575</v>
      </c>
      <c r="P38" s="261" t="s">
        <v>2193</v>
      </c>
      <c r="Q38">
        <v>7189.1550000000007</v>
      </c>
      <c r="R38">
        <v>19867.399999999998</v>
      </c>
      <c r="S38">
        <v>4589369.3999999994</v>
      </c>
      <c r="T38">
        <v>1660694.8050000002</v>
      </c>
      <c r="U38">
        <v>2928674.5949999993</v>
      </c>
      <c r="V38">
        <v>0.6381431390116471</v>
      </c>
      <c r="W38" s="261" t="s">
        <v>1575</v>
      </c>
      <c r="X38">
        <v>2</v>
      </c>
      <c r="Y38">
        <v>0.72288588340698823</v>
      </c>
    </row>
    <row r="39" spans="1:25" x14ac:dyDescent="0.25">
      <c r="A39" s="261" t="s">
        <v>1130</v>
      </c>
      <c r="B39" s="261" t="s">
        <v>1740</v>
      </c>
      <c r="C39" s="261" t="s">
        <v>1068</v>
      </c>
      <c r="D39" s="261" t="s">
        <v>1731</v>
      </c>
      <c r="E39" s="261" t="s">
        <v>1120</v>
      </c>
      <c r="F39">
        <v>2324</v>
      </c>
      <c r="G39" s="215">
        <v>46084</v>
      </c>
      <c r="H39" s="261" t="s">
        <v>987</v>
      </c>
      <c r="I39" s="261" t="s">
        <v>1046</v>
      </c>
      <c r="J39">
        <v>1380</v>
      </c>
      <c r="K39" s="261" t="s">
        <v>1087</v>
      </c>
      <c r="M39">
        <v>0</v>
      </c>
      <c r="N39">
        <v>0</v>
      </c>
      <c r="P39" s="261" t="s">
        <v>2194</v>
      </c>
      <c r="R39">
        <v>1586.9999999999998</v>
      </c>
      <c r="S39">
        <v>3688187.9999999995</v>
      </c>
      <c r="W39" s="261" t="s">
        <v>1574</v>
      </c>
      <c r="X39">
        <v>1</v>
      </c>
    </row>
    <row r="40" spans="1:25" x14ac:dyDescent="0.25">
      <c r="A40" s="261" t="s">
        <v>1186</v>
      </c>
      <c r="B40" s="261" t="s">
        <v>1176</v>
      </c>
      <c r="C40" s="261" t="s">
        <v>1068</v>
      </c>
      <c r="D40" s="261" t="s">
        <v>1762</v>
      </c>
      <c r="E40" s="261" t="s">
        <v>1177</v>
      </c>
      <c r="F40">
        <v>36</v>
      </c>
      <c r="G40" s="215">
        <v>46084</v>
      </c>
      <c r="H40" s="261" t="s">
        <v>987</v>
      </c>
      <c r="I40" s="261" t="s">
        <v>1042</v>
      </c>
      <c r="J40">
        <v>8641</v>
      </c>
      <c r="K40" s="261" t="s">
        <v>1087</v>
      </c>
      <c r="L40">
        <v>3050</v>
      </c>
      <c r="M40">
        <v>1</v>
      </c>
      <c r="N40">
        <v>1</v>
      </c>
      <c r="O40">
        <v>3050</v>
      </c>
      <c r="P40" s="261" t="s">
        <v>2193</v>
      </c>
      <c r="Q40">
        <v>4792.7700000000004</v>
      </c>
      <c r="R40">
        <v>9937.15</v>
      </c>
      <c r="S40">
        <v>357737.39999999997</v>
      </c>
      <c r="T40">
        <v>172539.72000000003</v>
      </c>
      <c r="U40">
        <v>185197.67999999993</v>
      </c>
      <c r="V40">
        <v>0.51769169228601752</v>
      </c>
      <c r="W40" s="261" t="s">
        <v>1575</v>
      </c>
      <c r="X40">
        <v>2</v>
      </c>
      <c r="Y40">
        <v>0.65061501537161048</v>
      </c>
    </row>
    <row r="41" spans="1:25" x14ac:dyDescent="0.25">
      <c r="A41" s="261" t="s">
        <v>1186</v>
      </c>
      <c r="B41" s="261" t="s">
        <v>1176</v>
      </c>
      <c r="C41" s="261" t="s">
        <v>1068</v>
      </c>
      <c r="D41" s="261" t="s">
        <v>1766</v>
      </c>
      <c r="E41" s="261" t="s">
        <v>1177</v>
      </c>
      <c r="F41">
        <v>11.87</v>
      </c>
      <c r="G41" s="215">
        <v>46084</v>
      </c>
      <c r="H41" s="261" t="s">
        <v>987</v>
      </c>
      <c r="I41" s="261" t="s">
        <v>1042</v>
      </c>
      <c r="J41">
        <v>8641</v>
      </c>
      <c r="K41" s="261" t="s">
        <v>1087</v>
      </c>
      <c r="L41">
        <v>3050</v>
      </c>
      <c r="M41">
        <v>1</v>
      </c>
      <c r="N41">
        <v>1</v>
      </c>
      <c r="O41">
        <v>3050</v>
      </c>
      <c r="P41" s="261" t="s">
        <v>2193</v>
      </c>
      <c r="Q41">
        <v>4792.7700000000004</v>
      </c>
      <c r="R41">
        <v>9937.15</v>
      </c>
      <c r="S41">
        <v>117953.97049999998</v>
      </c>
      <c r="T41">
        <v>56890.179900000003</v>
      </c>
      <c r="U41">
        <v>61063.790599999978</v>
      </c>
      <c r="V41">
        <v>0.51769169228601752</v>
      </c>
      <c r="W41" s="261" t="s">
        <v>1575</v>
      </c>
      <c r="X41">
        <v>2</v>
      </c>
      <c r="Y41">
        <v>0.65061501537161048</v>
      </c>
    </row>
    <row r="42" spans="1:25" x14ac:dyDescent="0.25">
      <c r="A42" s="261" t="s">
        <v>1186</v>
      </c>
      <c r="B42" s="261" t="s">
        <v>1176</v>
      </c>
      <c r="C42" s="261" t="s">
        <v>1070</v>
      </c>
      <c r="D42" s="261" t="s">
        <v>1766</v>
      </c>
      <c r="E42" s="261" t="s">
        <v>1177</v>
      </c>
      <c r="F42">
        <v>101.1</v>
      </c>
      <c r="G42" s="215">
        <v>46084</v>
      </c>
      <c r="H42" s="261" t="s">
        <v>987</v>
      </c>
      <c r="I42" s="261" t="s">
        <v>1042</v>
      </c>
      <c r="J42">
        <v>8641</v>
      </c>
      <c r="K42" s="261" t="s">
        <v>1087</v>
      </c>
      <c r="L42">
        <v>3050</v>
      </c>
      <c r="M42">
        <v>1</v>
      </c>
      <c r="N42">
        <v>1</v>
      </c>
      <c r="O42">
        <v>3050</v>
      </c>
      <c r="P42" s="261" t="s">
        <v>2193</v>
      </c>
      <c r="Q42">
        <v>4792.7700000000004</v>
      </c>
      <c r="R42">
        <v>9937.15</v>
      </c>
      <c r="S42">
        <v>1004645.8649999999</v>
      </c>
      <c r="T42">
        <v>484549.04700000002</v>
      </c>
      <c r="U42">
        <v>520096.81799999985</v>
      </c>
      <c r="V42">
        <v>0.51769169228601752</v>
      </c>
      <c r="W42" s="261" t="s">
        <v>1575</v>
      </c>
      <c r="X42">
        <v>2</v>
      </c>
      <c r="Y42">
        <v>0.65061501537161048</v>
      </c>
    </row>
    <row r="43" spans="1:25" x14ac:dyDescent="0.25">
      <c r="A43" s="261" t="s">
        <v>1187</v>
      </c>
      <c r="B43" s="261" t="s">
        <v>1188</v>
      </c>
      <c r="C43" s="261" t="s">
        <v>1068</v>
      </c>
      <c r="D43" s="261" t="s">
        <v>1727</v>
      </c>
      <c r="E43" s="261" t="s">
        <v>1110</v>
      </c>
      <c r="F43">
        <v>314.58999999999997</v>
      </c>
      <c r="G43" s="215">
        <v>46084</v>
      </c>
      <c r="H43" s="261" t="s">
        <v>987</v>
      </c>
      <c r="I43" s="261" t="s">
        <v>1035</v>
      </c>
      <c r="J43">
        <v>28175</v>
      </c>
      <c r="K43" s="261" t="s">
        <v>1087</v>
      </c>
      <c r="L43">
        <v>5490</v>
      </c>
      <c r="M43">
        <v>1</v>
      </c>
      <c r="N43">
        <v>2</v>
      </c>
      <c r="O43">
        <v>5490</v>
      </c>
      <c r="P43" s="261" t="s">
        <v>2193</v>
      </c>
      <c r="Q43">
        <v>8626.9860000000008</v>
      </c>
      <c r="R43">
        <v>32401.249999999996</v>
      </c>
      <c r="S43">
        <v>10193109.237499999</v>
      </c>
      <c r="T43">
        <v>2713963.52574</v>
      </c>
      <c r="U43">
        <v>7479145.7117599994</v>
      </c>
      <c r="V43">
        <v>0.73374527217314145</v>
      </c>
      <c r="W43" s="261" t="s">
        <v>1575</v>
      </c>
      <c r="X43">
        <v>3</v>
      </c>
      <c r="Y43">
        <v>0.72024716330388483</v>
      </c>
    </row>
    <row r="44" spans="1:25" x14ac:dyDescent="0.25">
      <c r="A44" s="261" t="s">
        <v>1187</v>
      </c>
      <c r="B44" s="261" t="s">
        <v>1188</v>
      </c>
      <c r="C44" s="261" t="s">
        <v>1068</v>
      </c>
      <c r="D44" s="261" t="s">
        <v>1729</v>
      </c>
      <c r="E44" s="261" t="s">
        <v>1110</v>
      </c>
      <c r="F44">
        <v>351.33</v>
      </c>
      <c r="G44" s="215">
        <v>46084</v>
      </c>
      <c r="H44" s="261" t="s">
        <v>987</v>
      </c>
      <c r="I44" s="261" t="s">
        <v>1035</v>
      </c>
      <c r="J44">
        <v>28175</v>
      </c>
      <c r="K44" s="261" t="s">
        <v>1087</v>
      </c>
      <c r="L44">
        <v>5490</v>
      </c>
      <c r="M44">
        <v>1</v>
      </c>
      <c r="N44">
        <v>2</v>
      </c>
      <c r="O44">
        <v>5490</v>
      </c>
      <c r="P44" s="261" t="s">
        <v>2193</v>
      </c>
      <c r="Q44">
        <v>8626.9860000000008</v>
      </c>
      <c r="R44">
        <v>32401.249999999996</v>
      </c>
      <c r="S44">
        <v>11383531.162499998</v>
      </c>
      <c r="T44">
        <v>3030918.99138</v>
      </c>
      <c r="U44">
        <v>8352612.1711199973</v>
      </c>
      <c r="V44">
        <v>0.73374527217314134</v>
      </c>
      <c r="W44" s="261" t="s">
        <v>1575</v>
      </c>
      <c r="X44">
        <v>3</v>
      </c>
      <c r="Y44">
        <v>0.72024716330388483</v>
      </c>
    </row>
    <row r="45" spans="1:25" x14ac:dyDescent="0.25">
      <c r="A45" s="261" t="s">
        <v>1187</v>
      </c>
      <c r="B45" s="261" t="s">
        <v>1188</v>
      </c>
      <c r="C45" s="261" t="s">
        <v>1068</v>
      </c>
      <c r="D45" s="261" t="s">
        <v>1730</v>
      </c>
      <c r="E45" s="261" t="s">
        <v>1110</v>
      </c>
      <c r="F45">
        <v>278.2</v>
      </c>
      <c r="G45" s="215">
        <v>46084</v>
      </c>
      <c r="H45" s="261" t="s">
        <v>987</v>
      </c>
      <c r="I45" s="261" t="s">
        <v>1035</v>
      </c>
      <c r="J45">
        <v>28175</v>
      </c>
      <c r="K45" s="261" t="s">
        <v>1087</v>
      </c>
      <c r="L45">
        <v>5490</v>
      </c>
      <c r="M45">
        <v>1</v>
      </c>
      <c r="N45">
        <v>2</v>
      </c>
      <c r="O45">
        <v>5490</v>
      </c>
      <c r="P45" s="261" t="s">
        <v>2193</v>
      </c>
      <c r="Q45">
        <v>8626.9860000000008</v>
      </c>
      <c r="R45">
        <v>32401.249999999996</v>
      </c>
      <c r="S45">
        <v>9014027.7499999981</v>
      </c>
      <c r="T45">
        <v>2400027.5052</v>
      </c>
      <c r="U45">
        <v>6614000.2447999977</v>
      </c>
      <c r="V45">
        <v>0.73374527217314134</v>
      </c>
      <c r="W45" s="261" t="s">
        <v>1575</v>
      </c>
      <c r="X45">
        <v>3</v>
      </c>
      <c r="Y45">
        <v>0.72024716330388483</v>
      </c>
    </row>
    <row r="46" spans="1:25" x14ac:dyDescent="0.25">
      <c r="A46" s="261" t="s">
        <v>1187</v>
      </c>
      <c r="B46" s="261" t="s">
        <v>1188</v>
      </c>
      <c r="C46" s="261" t="s">
        <v>1068</v>
      </c>
      <c r="D46" s="261" t="s">
        <v>1762</v>
      </c>
      <c r="E46" s="261" t="s">
        <v>1110</v>
      </c>
      <c r="F46">
        <v>162.06</v>
      </c>
      <c r="G46" s="215">
        <v>46084</v>
      </c>
      <c r="H46" s="261" t="s">
        <v>987</v>
      </c>
      <c r="I46" s="261" t="s">
        <v>1035</v>
      </c>
      <c r="J46">
        <v>28175</v>
      </c>
      <c r="K46" s="261" t="s">
        <v>1087</v>
      </c>
      <c r="L46">
        <v>5490</v>
      </c>
      <c r="M46">
        <v>1</v>
      </c>
      <c r="N46">
        <v>2</v>
      </c>
      <c r="O46">
        <v>5490</v>
      </c>
      <c r="P46" s="261" t="s">
        <v>2193</v>
      </c>
      <c r="Q46">
        <v>8626.9860000000008</v>
      </c>
      <c r="R46">
        <v>32401.249999999996</v>
      </c>
      <c r="S46">
        <v>5250946.5749999993</v>
      </c>
      <c r="T46">
        <v>1398089.3511600001</v>
      </c>
      <c r="U46">
        <v>3852857.2238399992</v>
      </c>
      <c r="V46">
        <v>0.73374527217314145</v>
      </c>
      <c r="W46" s="261" t="s">
        <v>1575</v>
      </c>
      <c r="X46">
        <v>3</v>
      </c>
      <c r="Y46">
        <v>0.72024716330388483</v>
      </c>
    </row>
    <row r="47" spans="1:25" x14ac:dyDescent="0.25">
      <c r="A47" s="261" t="s">
        <v>1187</v>
      </c>
      <c r="B47" s="261" t="s">
        <v>1188</v>
      </c>
      <c r="C47" s="261" t="s">
        <v>1068</v>
      </c>
      <c r="D47" s="261" t="s">
        <v>1765</v>
      </c>
      <c r="E47" s="261" t="s">
        <v>1110</v>
      </c>
      <c r="F47">
        <v>99.33</v>
      </c>
      <c r="G47" s="215">
        <v>46084</v>
      </c>
      <c r="H47" s="261" t="s">
        <v>987</v>
      </c>
      <c r="I47" s="261" t="s">
        <v>1035</v>
      </c>
      <c r="J47">
        <v>28175</v>
      </c>
      <c r="K47" s="261" t="s">
        <v>1087</v>
      </c>
      <c r="L47">
        <v>5490</v>
      </c>
      <c r="M47">
        <v>1</v>
      </c>
      <c r="N47">
        <v>2</v>
      </c>
      <c r="O47">
        <v>5490</v>
      </c>
      <c r="P47" s="261" t="s">
        <v>2193</v>
      </c>
      <c r="Q47">
        <v>8626.9860000000008</v>
      </c>
      <c r="R47">
        <v>32401.249999999996</v>
      </c>
      <c r="S47">
        <v>3218416.1624999996</v>
      </c>
      <c r="T47">
        <v>856918.51938000007</v>
      </c>
      <c r="U47">
        <v>2361497.6431199997</v>
      </c>
      <c r="V47">
        <v>0.73374527217314145</v>
      </c>
      <c r="W47" s="261" t="s">
        <v>1575</v>
      </c>
      <c r="X47">
        <v>3</v>
      </c>
      <c r="Y47">
        <v>0.72024716330388483</v>
      </c>
    </row>
    <row r="48" spans="1:25" x14ac:dyDescent="0.25">
      <c r="A48" s="261" t="s">
        <v>1187</v>
      </c>
      <c r="B48" s="261" t="s">
        <v>1188</v>
      </c>
      <c r="C48" s="261" t="s">
        <v>1070</v>
      </c>
      <c r="D48" s="261" t="s">
        <v>1727</v>
      </c>
      <c r="E48" s="261" t="s">
        <v>1110</v>
      </c>
      <c r="F48">
        <v>87.52</v>
      </c>
      <c r="G48" s="215">
        <v>46084</v>
      </c>
      <c r="H48" s="261" t="s">
        <v>987</v>
      </c>
      <c r="I48" s="261" t="s">
        <v>1035</v>
      </c>
      <c r="J48">
        <v>28175</v>
      </c>
      <c r="K48" s="261" t="s">
        <v>1087</v>
      </c>
      <c r="L48">
        <v>5490</v>
      </c>
      <c r="M48">
        <v>1</v>
      </c>
      <c r="N48">
        <v>2</v>
      </c>
      <c r="O48">
        <v>5490</v>
      </c>
      <c r="P48" s="261" t="s">
        <v>2193</v>
      </c>
      <c r="Q48">
        <v>8626.9860000000008</v>
      </c>
      <c r="R48">
        <v>32401.249999999996</v>
      </c>
      <c r="S48">
        <v>2835757.3999999994</v>
      </c>
      <c r="T48">
        <v>755033.81472000002</v>
      </c>
      <c r="U48">
        <v>2080723.5852799993</v>
      </c>
      <c r="V48">
        <v>0.73374527217314134</v>
      </c>
      <c r="W48" s="261" t="s">
        <v>1575</v>
      </c>
      <c r="X48">
        <v>3</v>
      </c>
      <c r="Y48">
        <v>0.72024716330388483</v>
      </c>
    </row>
    <row r="49" spans="1:25" x14ac:dyDescent="0.25">
      <c r="A49" s="261" t="s">
        <v>1187</v>
      </c>
      <c r="B49" s="261" t="s">
        <v>1188</v>
      </c>
      <c r="C49" s="261" t="s">
        <v>1070</v>
      </c>
      <c r="D49" s="261" t="s">
        <v>1727</v>
      </c>
      <c r="E49" s="261" t="s">
        <v>1110</v>
      </c>
      <c r="F49">
        <v>56.71</v>
      </c>
      <c r="G49" s="215">
        <v>46084</v>
      </c>
      <c r="H49" s="261" t="s">
        <v>987</v>
      </c>
      <c r="I49" s="261" t="s">
        <v>1035</v>
      </c>
      <c r="J49">
        <v>28175</v>
      </c>
      <c r="K49" s="261" t="s">
        <v>1087</v>
      </c>
      <c r="L49">
        <v>5490</v>
      </c>
      <c r="M49">
        <v>1</v>
      </c>
      <c r="N49">
        <v>2</v>
      </c>
      <c r="O49">
        <v>5490</v>
      </c>
      <c r="P49" s="261" t="s">
        <v>2193</v>
      </c>
      <c r="Q49">
        <v>8626.9860000000008</v>
      </c>
      <c r="R49">
        <v>32401.249999999996</v>
      </c>
      <c r="S49">
        <v>1837474.8874999997</v>
      </c>
      <c r="T49">
        <v>489236.37606000004</v>
      </c>
      <c r="U49">
        <v>1348238.5114399996</v>
      </c>
      <c r="V49">
        <v>0.73374527217314134</v>
      </c>
      <c r="W49" s="261" t="s">
        <v>1575</v>
      </c>
      <c r="X49">
        <v>3</v>
      </c>
      <c r="Y49">
        <v>0.72024716330388483</v>
      </c>
    </row>
    <row r="50" spans="1:25" x14ac:dyDescent="0.25">
      <c r="A50" s="261" t="s">
        <v>1187</v>
      </c>
      <c r="B50" s="261" t="s">
        <v>1188</v>
      </c>
      <c r="C50" s="261" t="s">
        <v>1070</v>
      </c>
      <c r="D50" s="261" t="s">
        <v>1729</v>
      </c>
      <c r="E50" s="261" t="s">
        <v>1110</v>
      </c>
      <c r="F50">
        <v>60.7</v>
      </c>
      <c r="G50" s="215">
        <v>46084</v>
      </c>
      <c r="H50" s="261" t="s">
        <v>987</v>
      </c>
      <c r="I50" s="261" t="s">
        <v>1035</v>
      </c>
      <c r="J50">
        <v>28175</v>
      </c>
      <c r="K50" s="261" t="s">
        <v>1087</v>
      </c>
      <c r="L50">
        <v>5490</v>
      </c>
      <c r="M50">
        <v>1</v>
      </c>
      <c r="N50">
        <v>2</v>
      </c>
      <c r="O50">
        <v>5490</v>
      </c>
      <c r="P50" s="261" t="s">
        <v>2193</v>
      </c>
      <c r="Q50">
        <v>8626.9860000000008</v>
      </c>
      <c r="R50">
        <v>32401.249999999996</v>
      </c>
      <c r="S50">
        <v>1966755.8749999998</v>
      </c>
      <c r="T50">
        <v>523658.05020000006</v>
      </c>
      <c r="U50">
        <v>1443097.8247999996</v>
      </c>
      <c r="V50">
        <v>0.73374527217314134</v>
      </c>
      <c r="W50" s="261" t="s">
        <v>1575</v>
      </c>
      <c r="X50">
        <v>3</v>
      </c>
      <c r="Y50">
        <v>0.72024716330388483</v>
      </c>
    </row>
    <row r="51" spans="1:25" x14ac:dyDescent="0.25">
      <c r="A51" s="261" t="s">
        <v>1133</v>
      </c>
      <c r="B51" s="261" t="s">
        <v>1741</v>
      </c>
      <c r="C51" s="261" t="s">
        <v>1070</v>
      </c>
      <c r="D51" s="261" t="s">
        <v>1731</v>
      </c>
      <c r="E51" s="261" t="s">
        <v>1113</v>
      </c>
      <c r="F51">
        <v>30.3</v>
      </c>
      <c r="G51" s="215">
        <v>46084</v>
      </c>
      <c r="H51" s="261" t="s">
        <v>987</v>
      </c>
      <c r="I51" s="261" t="s">
        <v>1046</v>
      </c>
      <c r="J51">
        <v>189175</v>
      </c>
      <c r="K51" s="261" t="s">
        <v>1087</v>
      </c>
      <c r="M51">
        <v>0</v>
      </c>
      <c r="N51">
        <v>0</v>
      </c>
      <c r="P51" s="261" t="s">
        <v>2194</v>
      </c>
      <c r="R51">
        <v>217551.24999999997</v>
      </c>
      <c r="S51">
        <v>6591802.8749999991</v>
      </c>
      <c r="W51" s="261" t="s">
        <v>1574</v>
      </c>
      <c r="X51">
        <v>1</v>
      </c>
    </row>
    <row r="52" spans="1:25" x14ac:dyDescent="0.25">
      <c r="A52" s="261" t="s">
        <v>1190</v>
      </c>
      <c r="B52" s="261" t="s">
        <v>1191</v>
      </c>
      <c r="C52" s="261" t="s">
        <v>1068</v>
      </c>
      <c r="D52" s="261" t="s">
        <v>1727</v>
      </c>
      <c r="E52" s="261" t="s">
        <v>1110</v>
      </c>
      <c r="F52">
        <v>559</v>
      </c>
      <c r="G52" s="215">
        <v>46084</v>
      </c>
      <c r="H52" s="261" t="s">
        <v>987</v>
      </c>
      <c r="I52" s="261" t="s">
        <v>1035</v>
      </c>
      <c r="J52">
        <v>33925</v>
      </c>
      <c r="K52" s="261" t="s">
        <v>1087</v>
      </c>
      <c r="L52">
        <v>10065</v>
      </c>
      <c r="M52">
        <v>1</v>
      </c>
      <c r="N52">
        <v>2</v>
      </c>
      <c r="O52">
        <v>10065</v>
      </c>
      <c r="P52" s="261" t="s">
        <v>2193</v>
      </c>
      <c r="Q52">
        <v>15816.141000000001</v>
      </c>
      <c r="R52">
        <v>39013.75</v>
      </c>
      <c r="S52">
        <v>21808686.25</v>
      </c>
      <c r="T52">
        <v>8841222.8190000001</v>
      </c>
      <c r="U52">
        <v>12967463.431</v>
      </c>
      <c r="V52">
        <v>0.59460085226362502</v>
      </c>
      <c r="W52" s="261" t="s">
        <v>1575</v>
      </c>
      <c r="X52">
        <v>3</v>
      </c>
      <c r="Y52">
        <v>0.63676051135817502</v>
      </c>
    </row>
    <row r="53" spans="1:25" x14ac:dyDescent="0.25">
      <c r="A53" s="261" t="s">
        <v>1190</v>
      </c>
      <c r="B53" s="261" t="s">
        <v>1191</v>
      </c>
      <c r="C53" s="261" t="s">
        <v>1068</v>
      </c>
      <c r="D53" s="261" t="s">
        <v>1729</v>
      </c>
      <c r="E53" s="261" t="s">
        <v>1110</v>
      </c>
      <c r="F53">
        <v>594</v>
      </c>
      <c r="G53" s="215">
        <v>46084</v>
      </c>
      <c r="H53" s="261" t="s">
        <v>987</v>
      </c>
      <c r="I53" s="261" t="s">
        <v>1035</v>
      </c>
      <c r="J53">
        <v>33925</v>
      </c>
      <c r="K53" s="261" t="s">
        <v>1087</v>
      </c>
      <c r="L53">
        <v>10065</v>
      </c>
      <c r="M53">
        <v>1</v>
      </c>
      <c r="N53">
        <v>2</v>
      </c>
      <c r="O53">
        <v>10065</v>
      </c>
      <c r="P53" s="261" t="s">
        <v>2193</v>
      </c>
      <c r="Q53">
        <v>15816.141000000001</v>
      </c>
      <c r="R53">
        <v>39013.75</v>
      </c>
      <c r="S53">
        <v>23174167.5</v>
      </c>
      <c r="T53">
        <v>9394787.7540000007</v>
      </c>
      <c r="U53">
        <v>13779379.745999999</v>
      </c>
      <c r="V53">
        <v>0.59460085226362502</v>
      </c>
      <c r="W53" s="261" t="s">
        <v>1575</v>
      </c>
      <c r="X53">
        <v>3</v>
      </c>
      <c r="Y53">
        <v>0.63676051135817502</v>
      </c>
    </row>
    <row r="54" spans="1:25" x14ac:dyDescent="0.25">
      <c r="A54" s="261" t="s">
        <v>1190</v>
      </c>
      <c r="B54" s="261" t="s">
        <v>1191</v>
      </c>
      <c r="C54" s="261" t="s">
        <v>1068</v>
      </c>
      <c r="D54" s="261" t="s">
        <v>1730</v>
      </c>
      <c r="E54" s="261" t="s">
        <v>1110</v>
      </c>
      <c r="F54">
        <v>557</v>
      </c>
      <c r="G54" s="215">
        <v>46084</v>
      </c>
      <c r="H54" s="261" t="s">
        <v>987</v>
      </c>
      <c r="I54" s="261" t="s">
        <v>1035</v>
      </c>
      <c r="J54">
        <v>33925</v>
      </c>
      <c r="K54" s="261" t="s">
        <v>1087</v>
      </c>
      <c r="L54">
        <v>10065</v>
      </c>
      <c r="M54">
        <v>1</v>
      </c>
      <c r="N54">
        <v>2</v>
      </c>
      <c r="O54">
        <v>10065</v>
      </c>
      <c r="P54" s="261" t="s">
        <v>2193</v>
      </c>
      <c r="Q54">
        <v>15816.141000000001</v>
      </c>
      <c r="R54">
        <v>39013.75</v>
      </c>
      <c r="S54">
        <v>21730658.75</v>
      </c>
      <c r="T54">
        <v>8809590.5370000005</v>
      </c>
      <c r="U54">
        <v>12921068.213</v>
      </c>
      <c r="V54">
        <v>0.59460085226362502</v>
      </c>
      <c r="W54" s="261" t="s">
        <v>1575</v>
      </c>
      <c r="X54">
        <v>3</v>
      </c>
      <c r="Y54">
        <v>0.63676051135817502</v>
      </c>
    </row>
    <row r="55" spans="1:25" x14ac:dyDescent="0.25">
      <c r="A55" s="261" t="s">
        <v>1190</v>
      </c>
      <c r="B55" s="261" t="s">
        <v>1191</v>
      </c>
      <c r="C55" s="261" t="s">
        <v>1068</v>
      </c>
      <c r="D55" s="261" t="s">
        <v>1762</v>
      </c>
      <c r="E55" s="261" t="s">
        <v>1110</v>
      </c>
      <c r="F55">
        <v>557</v>
      </c>
      <c r="G55" s="215">
        <v>46084</v>
      </c>
      <c r="H55" s="261" t="s">
        <v>987</v>
      </c>
      <c r="I55" s="261" t="s">
        <v>1035</v>
      </c>
      <c r="J55">
        <v>33925</v>
      </c>
      <c r="K55" s="261" t="s">
        <v>1087</v>
      </c>
      <c r="L55">
        <v>10065</v>
      </c>
      <c r="M55">
        <v>1</v>
      </c>
      <c r="N55">
        <v>2</v>
      </c>
      <c r="O55">
        <v>10065</v>
      </c>
      <c r="P55" s="261" t="s">
        <v>2193</v>
      </c>
      <c r="Q55">
        <v>15816.141000000001</v>
      </c>
      <c r="R55">
        <v>39013.75</v>
      </c>
      <c r="S55">
        <v>21730658.75</v>
      </c>
      <c r="T55">
        <v>8809590.5370000005</v>
      </c>
      <c r="U55">
        <v>12921068.213</v>
      </c>
      <c r="V55">
        <v>0.59460085226362502</v>
      </c>
      <c r="W55" s="261" t="s">
        <v>1575</v>
      </c>
      <c r="X55">
        <v>3</v>
      </c>
      <c r="Y55">
        <v>0.63676051135817502</v>
      </c>
    </row>
    <row r="56" spans="1:25" x14ac:dyDescent="0.25">
      <c r="A56" s="261" t="s">
        <v>1190</v>
      </c>
      <c r="B56" s="261" t="s">
        <v>1191</v>
      </c>
      <c r="C56" s="261" t="s">
        <v>1068</v>
      </c>
      <c r="D56" s="261" t="s">
        <v>1765</v>
      </c>
      <c r="E56" s="261" t="s">
        <v>1110</v>
      </c>
      <c r="F56">
        <v>182</v>
      </c>
      <c r="G56" s="215">
        <v>46084</v>
      </c>
      <c r="H56" s="261" t="s">
        <v>987</v>
      </c>
      <c r="I56" s="261" t="s">
        <v>1035</v>
      </c>
      <c r="J56">
        <v>33925</v>
      </c>
      <c r="K56" s="261" t="s">
        <v>1087</v>
      </c>
      <c r="L56">
        <v>10065</v>
      </c>
      <c r="M56">
        <v>1</v>
      </c>
      <c r="N56">
        <v>2</v>
      </c>
      <c r="O56">
        <v>10065</v>
      </c>
      <c r="P56" s="261" t="s">
        <v>2193</v>
      </c>
      <c r="Q56">
        <v>15816.141000000001</v>
      </c>
      <c r="R56">
        <v>39013.75</v>
      </c>
      <c r="S56">
        <v>7100502.5</v>
      </c>
      <c r="T56">
        <v>2878537.6620000005</v>
      </c>
      <c r="U56">
        <v>4221964.8379999995</v>
      </c>
      <c r="V56">
        <v>0.59460085226362491</v>
      </c>
      <c r="W56" s="261" t="s">
        <v>1575</v>
      </c>
      <c r="X56">
        <v>3</v>
      </c>
      <c r="Y56">
        <v>0.63676051135817491</v>
      </c>
    </row>
    <row r="57" spans="1:25" x14ac:dyDescent="0.25">
      <c r="A57" s="261" t="s">
        <v>1190</v>
      </c>
      <c r="B57" s="261" t="s">
        <v>1191</v>
      </c>
      <c r="C57" s="261" t="s">
        <v>1070</v>
      </c>
      <c r="D57" s="261" t="s">
        <v>1727</v>
      </c>
      <c r="E57" s="261" t="s">
        <v>1110</v>
      </c>
      <c r="F57">
        <v>210</v>
      </c>
      <c r="G57" s="215">
        <v>46084</v>
      </c>
      <c r="H57" s="261" t="s">
        <v>987</v>
      </c>
      <c r="I57" s="261" t="s">
        <v>1035</v>
      </c>
      <c r="J57">
        <v>33925</v>
      </c>
      <c r="K57" s="261" t="s">
        <v>1087</v>
      </c>
      <c r="L57">
        <v>10065</v>
      </c>
      <c r="M57">
        <v>1</v>
      </c>
      <c r="N57">
        <v>2</v>
      </c>
      <c r="O57">
        <v>10065</v>
      </c>
      <c r="P57" s="261" t="s">
        <v>2193</v>
      </c>
      <c r="Q57">
        <v>15816.141000000001</v>
      </c>
      <c r="R57">
        <v>39013.75</v>
      </c>
      <c r="S57">
        <v>8192887.5</v>
      </c>
      <c r="T57">
        <v>3321389.6100000003</v>
      </c>
      <c r="U57">
        <v>4871497.8899999997</v>
      </c>
      <c r="V57">
        <v>0.59460085226362491</v>
      </c>
      <c r="W57" s="261" t="s">
        <v>1575</v>
      </c>
      <c r="X57">
        <v>3</v>
      </c>
      <c r="Y57">
        <v>0.63676051135817491</v>
      </c>
    </row>
    <row r="58" spans="1:25" x14ac:dyDescent="0.25">
      <c r="A58" s="261" t="s">
        <v>1190</v>
      </c>
      <c r="B58" s="261" t="s">
        <v>1191</v>
      </c>
      <c r="C58" s="261" t="s">
        <v>1070</v>
      </c>
      <c r="D58" s="261" t="s">
        <v>1729</v>
      </c>
      <c r="E58" s="261" t="s">
        <v>1110</v>
      </c>
      <c r="F58">
        <v>210</v>
      </c>
      <c r="G58" s="215">
        <v>46084</v>
      </c>
      <c r="H58" s="261" t="s">
        <v>987</v>
      </c>
      <c r="I58" s="261" t="s">
        <v>1035</v>
      </c>
      <c r="J58">
        <v>33925</v>
      </c>
      <c r="K58" s="261" t="s">
        <v>1087</v>
      </c>
      <c r="L58">
        <v>10065</v>
      </c>
      <c r="M58">
        <v>1</v>
      </c>
      <c r="N58">
        <v>2</v>
      </c>
      <c r="O58">
        <v>10065</v>
      </c>
      <c r="P58" s="261" t="s">
        <v>2193</v>
      </c>
      <c r="Q58">
        <v>15816.141000000001</v>
      </c>
      <c r="R58">
        <v>39013.75</v>
      </c>
      <c r="S58">
        <v>8192887.5</v>
      </c>
      <c r="T58">
        <v>3321389.6100000003</v>
      </c>
      <c r="U58">
        <v>4871497.8899999997</v>
      </c>
      <c r="V58">
        <v>0.59460085226362491</v>
      </c>
      <c r="W58" s="261" t="s">
        <v>1575</v>
      </c>
      <c r="X58">
        <v>3</v>
      </c>
      <c r="Y58">
        <v>0.63676051135817491</v>
      </c>
    </row>
    <row r="59" spans="1:25" x14ac:dyDescent="0.25">
      <c r="A59" s="261" t="s">
        <v>1134</v>
      </c>
      <c r="B59" s="261" t="s">
        <v>1742</v>
      </c>
      <c r="C59" s="261" t="s">
        <v>1070</v>
      </c>
      <c r="D59" s="261" t="s">
        <v>1731</v>
      </c>
      <c r="E59" s="261" t="s">
        <v>1110</v>
      </c>
      <c r="F59">
        <v>10.8</v>
      </c>
      <c r="G59" s="215">
        <v>46084</v>
      </c>
      <c r="H59" s="261" t="s">
        <v>987</v>
      </c>
      <c r="I59" s="261" t="s">
        <v>1046</v>
      </c>
      <c r="J59">
        <v>5750</v>
      </c>
      <c r="K59" s="261" t="s">
        <v>1087</v>
      </c>
      <c r="M59">
        <v>0</v>
      </c>
      <c r="N59">
        <v>0</v>
      </c>
      <c r="P59" s="261" t="s">
        <v>2194</v>
      </c>
      <c r="R59">
        <v>6612.4999999999991</v>
      </c>
      <c r="S59">
        <v>71415</v>
      </c>
      <c r="W59" s="261" t="s">
        <v>1574</v>
      </c>
      <c r="X59">
        <v>1</v>
      </c>
    </row>
    <row r="60" spans="1:25" x14ac:dyDescent="0.25">
      <c r="A60" s="261" t="s">
        <v>1192</v>
      </c>
      <c r="B60" s="261" t="s">
        <v>1193</v>
      </c>
      <c r="C60" s="261" t="s">
        <v>1068</v>
      </c>
      <c r="D60" s="261" t="s">
        <v>1727</v>
      </c>
      <c r="E60" s="261" t="s">
        <v>1177</v>
      </c>
      <c r="F60">
        <v>418.68</v>
      </c>
      <c r="G60" s="215">
        <v>46084</v>
      </c>
      <c r="H60" s="261" t="s">
        <v>987</v>
      </c>
      <c r="I60" s="261" t="s">
        <v>1035</v>
      </c>
      <c r="J60">
        <v>5750</v>
      </c>
      <c r="K60" s="261" t="s">
        <v>1087</v>
      </c>
      <c r="L60">
        <v>2745</v>
      </c>
      <c r="M60">
        <v>1</v>
      </c>
      <c r="N60">
        <v>2</v>
      </c>
      <c r="O60">
        <v>2745</v>
      </c>
      <c r="P60" s="261" t="s">
        <v>2193</v>
      </c>
      <c r="Q60">
        <v>4313.4930000000004</v>
      </c>
      <c r="R60">
        <v>6612.4999999999991</v>
      </c>
      <c r="S60">
        <v>2768521.4999999995</v>
      </c>
      <c r="T60">
        <v>1805973.2492400003</v>
      </c>
      <c r="U60">
        <v>962548.25075999927</v>
      </c>
      <c r="V60">
        <v>0.34767591682419641</v>
      </c>
      <c r="W60" s="261" t="s">
        <v>1575</v>
      </c>
      <c r="X60">
        <v>3</v>
      </c>
      <c r="Y60">
        <v>0.48860555009451778</v>
      </c>
    </row>
    <row r="61" spans="1:25" x14ac:dyDescent="0.25">
      <c r="A61" s="261" t="s">
        <v>1192</v>
      </c>
      <c r="B61" s="261" t="s">
        <v>1193</v>
      </c>
      <c r="C61" s="261" t="s">
        <v>1068</v>
      </c>
      <c r="D61" s="261" t="s">
        <v>1729</v>
      </c>
      <c r="E61" s="261" t="s">
        <v>1177</v>
      </c>
      <c r="F61">
        <v>494.58</v>
      </c>
      <c r="G61" s="215">
        <v>46084</v>
      </c>
      <c r="H61" s="261" t="s">
        <v>987</v>
      </c>
      <c r="I61" s="261" t="s">
        <v>1035</v>
      </c>
      <c r="J61">
        <v>5750</v>
      </c>
      <c r="K61" s="261" t="s">
        <v>1087</v>
      </c>
      <c r="L61">
        <v>2745</v>
      </c>
      <c r="M61">
        <v>1</v>
      </c>
      <c r="N61">
        <v>2</v>
      </c>
      <c r="O61">
        <v>2745</v>
      </c>
      <c r="P61" s="261" t="s">
        <v>2193</v>
      </c>
      <c r="Q61">
        <v>4313.4930000000004</v>
      </c>
      <c r="R61">
        <v>6612.4999999999991</v>
      </c>
      <c r="S61">
        <v>3270410.2499999995</v>
      </c>
      <c r="T61">
        <v>2133367.3679400003</v>
      </c>
      <c r="U61">
        <v>1137042.8820599993</v>
      </c>
      <c r="V61">
        <v>0.34767591682419641</v>
      </c>
      <c r="W61" s="261" t="s">
        <v>1575</v>
      </c>
      <c r="X61">
        <v>3</v>
      </c>
      <c r="Y61">
        <v>0.48860555009451778</v>
      </c>
    </row>
    <row r="62" spans="1:25" x14ac:dyDescent="0.25">
      <c r="A62" s="261" t="s">
        <v>1192</v>
      </c>
      <c r="B62" s="261" t="s">
        <v>1193</v>
      </c>
      <c r="C62" s="261" t="s">
        <v>1068</v>
      </c>
      <c r="D62" s="261" t="s">
        <v>1730</v>
      </c>
      <c r="E62" s="261" t="s">
        <v>1177</v>
      </c>
      <c r="F62">
        <v>499.38</v>
      </c>
      <c r="G62" s="215">
        <v>46084</v>
      </c>
      <c r="H62" s="261" t="s">
        <v>987</v>
      </c>
      <c r="I62" s="261" t="s">
        <v>1035</v>
      </c>
      <c r="J62">
        <v>5750</v>
      </c>
      <c r="K62" s="261" t="s">
        <v>1087</v>
      </c>
      <c r="L62">
        <v>2745</v>
      </c>
      <c r="M62">
        <v>1</v>
      </c>
      <c r="N62">
        <v>2</v>
      </c>
      <c r="O62">
        <v>2745</v>
      </c>
      <c r="P62" s="261" t="s">
        <v>2193</v>
      </c>
      <c r="Q62">
        <v>4313.4930000000004</v>
      </c>
      <c r="R62">
        <v>6612.4999999999991</v>
      </c>
      <c r="S62">
        <v>3302150.2499999995</v>
      </c>
      <c r="T62">
        <v>2154072.1343400003</v>
      </c>
      <c r="U62">
        <v>1148078.1156599992</v>
      </c>
      <c r="V62">
        <v>0.34767591682419641</v>
      </c>
      <c r="W62" s="261" t="s">
        <v>1575</v>
      </c>
      <c r="X62">
        <v>3</v>
      </c>
      <c r="Y62">
        <v>0.48860555009451778</v>
      </c>
    </row>
    <row r="63" spans="1:25" x14ac:dyDescent="0.25">
      <c r="A63" s="261" t="s">
        <v>1192</v>
      </c>
      <c r="B63" s="261" t="s">
        <v>1193</v>
      </c>
      <c r="C63" s="261" t="s">
        <v>1068</v>
      </c>
      <c r="D63" s="261" t="s">
        <v>1762</v>
      </c>
      <c r="E63" s="261" t="s">
        <v>1177</v>
      </c>
      <c r="F63">
        <v>300.82</v>
      </c>
      <c r="G63" s="215">
        <v>46084</v>
      </c>
      <c r="H63" s="261" t="s">
        <v>987</v>
      </c>
      <c r="I63" s="261" t="s">
        <v>1035</v>
      </c>
      <c r="J63">
        <v>5750</v>
      </c>
      <c r="K63" s="261" t="s">
        <v>1087</v>
      </c>
      <c r="L63">
        <v>2745</v>
      </c>
      <c r="M63">
        <v>1</v>
      </c>
      <c r="N63">
        <v>2</v>
      </c>
      <c r="O63">
        <v>2745</v>
      </c>
      <c r="P63" s="261" t="s">
        <v>2193</v>
      </c>
      <c r="Q63">
        <v>4313.4930000000004</v>
      </c>
      <c r="R63">
        <v>6612.4999999999991</v>
      </c>
      <c r="S63">
        <v>1989172.2499999998</v>
      </c>
      <c r="T63">
        <v>1297584.96426</v>
      </c>
      <c r="U63">
        <v>691587.28573999973</v>
      </c>
      <c r="V63">
        <v>0.34767591682419652</v>
      </c>
      <c r="W63" s="261" t="s">
        <v>1575</v>
      </c>
      <c r="X63">
        <v>3</v>
      </c>
      <c r="Y63">
        <v>0.48860555009451789</v>
      </c>
    </row>
    <row r="64" spans="1:25" x14ac:dyDescent="0.25">
      <c r="A64" s="261" t="s">
        <v>1192</v>
      </c>
      <c r="B64" s="261" t="s">
        <v>1193</v>
      </c>
      <c r="C64" s="261" t="s">
        <v>1068</v>
      </c>
      <c r="D64" s="261" t="s">
        <v>1765</v>
      </c>
      <c r="E64" s="261" t="s">
        <v>1177</v>
      </c>
      <c r="F64">
        <v>172.84</v>
      </c>
      <c r="G64" s="215">
        <v>46084</v>
      </c>
      <c r="H64" s="261" t="s">
        <v>987</v>
      </c>
      <c r="I64" s="261" t="s">
        <v>1035</v>
      </c>
      <c r="J64">
        <v>5750</v>
      </c>
      <c r="K64" s="261" t="s">
        <v>1087</v>
      </c>
      <c r="L64">
        <v>2745</v>
      </c>
      <c r="M64">
        <v>1</v>
      </c>
      <c r="N64">
        <v>2</v>
      </c>
      <c r="O64">
        <v>2745</v>
      </c>
      <c r="P64" s="261" t="s">
        <v>2193</v>
      </c>
      <c r="Q64">
        <v>4313.4930000000004</v>
      </c>
      <c r="R64">
        <v>6612.4999999999991</v>
      </c>
      <c r="S64">
        <v>1142904.4999999998</v>
      </c>
      <c r="T64">
        <v>745544.1301200001</v>
      </c>
      <c r="U64">
        <v>397360.36987999966</v>
      </c>
      <c r="V64">
        <v>0.34767591682419635</v>
      </c>
      <c r="W64" s="261" t="s">
        <v>1575</v>
      </c>
      <c r="X64">
        <v>3</v>
      </c>
      <c r="Y64">
        <v>0.48860555009451778</v>
      </c>
    </row>
    <row r="65" spans="1:25" x14ac:dyDescent="0.25">
      <c r="A65" s="261" t="s">
        <v>1192</v>
      </c>
      <c r="B65" s="261" t="s">
        <v>1193</v>
      </c>
      <c r="C65" s="261" t="s">
        <v>1070</v>
      </c>
      <c r="D65" s="261" t="s">
        <v>1727</v>
      </c>
      <c r="E65" s="261" t="s">
        <v>1177</v>
      </c>
      <c r="F65">
        <v>119.94</v>
      </c>
      <c r="G65" s="215">
        <v>46084</v>
      </c>
      <c r="H65" s="261" t="s">
        <v>987</v>
      </c>
      <c r="I65" s="261" t="s">
        <v>1035</v>
      </c>
      <c r="J65">
        <v>5750</v>
      </c>
      <c r="K65" s="261" t="s">
        <v>1087</v>
      </c>
      <c r="L65">
        <v>2745</v>
      </c>
      <c r="M65">
        <v>1</v>
      </c>
      <c r="N65">
        <v>2</v>
      </c>
      <c r="O65">
        <v>2745</v>
      </c>
      <c r="P65" s="261" t="s">
        <v>2193</v>
      </c>
      <c r="Q65">
        <v>4313.4930000000004</v>
      </c>
      <c r="R65">
        <v>6612.4999999999991</v>
      </c>
      <c r="S65">
        <v>793103.24999999988</v>
      </c>
      <c r="T65">
        <v>517360.35042000003</v>
      </c>
      <c r="U65">
        <v>275742.89957999985</v>
      </c>
      <c r="V65">
        <v>0.34767591682419646</v>
      </c>
      <c r="W65" s="261" t="s">
        <v>1575</v>
      </c>
      <c r="X65">
        <v>3</v>
      </c>
      <c r="Y65">
        <v>0.48860555009451789</v>
      </c>
    </row>
    <row r="66" spans="1:25" x14ac:dyDescent="0.25">
      <c r="A66" s="261" t="s">
        <v>1192</v>
      </c>
      <c r="B66" s="261" t="s">
        <v>1193</v>
      </c>
      <c r="C66" s="261" t="s">
        <v>1070</v>
      </c>
      <c r="D66" s="261" t="s">
        <v>1729</v>
      </c>
      <c r="E66" s="261" t="s">
        <v>1177</v>
      </c>
      <c r="F66">
        <v>192.38</v>
      </c>
      <c r="G66" s="215">
        <v>46084</v>
      </c>
      <c r="H66" s="261" t="s">
        <v>987</v>
      </c>
      <c r="I66" s="261" t="s">
        <v>1035</v>
      </c>
      <c r="J66">
        <v>5750</v>
      </c>
      <c r="K66" s="261" t="s">
        <v>1087</v>
      </c>
      <c r="L66">
        <v>2745</v>
      </c>
      <c r="M66">
        <v>1</v>
      </c>
      <c r="N66">
        <v>2</v>
      </c>
      <c r="O66">
        <v>2745</v>
      </c>
      <c r="P66" s="261" t="s">
        <v>2193</v>
      </c>
      <c r="Q66">
        <v>4313.4930000000004</v>
      </c>
      <c r="R66">
        <v>6612.4999999999991</v>
      </c>
      <c r="S66">
        <v>1272112.7499999998</v>
      </c>
      <c r="T66">
        <v>829829.78334000008</v>
      </c>
      <c r="U66">
        <v>442282.96665999969</v>
      </c>
      <c r="V66">
        <v>0.34767591682419641</v>
      </c>
      <c r="W66" s="261" t="s">
        <v>1575</v>
      </c>
      <c r="X66">
        <v>3</v>
      </c>
      <c r="Y66">
        <v>0.48860555009451778</v>
      </c>
    </row>
    <row r="67" spans="1:25" x14ac:dyDescent="0.25">
      <c r="A67" s="261" t="s">
        <v>1135</v>
      </c>
      <c r="B67" s="261" t="s">
        <v>1743</v>
      </c>
      <c r="C67" s="261" t="s">
        <v>1070</v>
      </c>
      <c r="D67" s="261" t="s">
        <v>1731</v>
      </c>
      <c r="E67" s="261" t="s">
        <v>1120</v>
      </c>
      <c r="F67">
        <v>1818</v>
      </c>
      <c r="G67" s="215">
        <v>46084</v>
      </c>
      <c r="H67" s="261" t="s">
        <v>987</v>
      </c>
      <c r="I67" s="261" t="s">
        <v>1046</v>
      </c>
      <c r="J67">
        <v>1380</v>
      </c>
      <c r="K67" s="261" t="s">
        <v>1087</v>
      </c>
      <c r="M67">
        <v>0</v>
      </c>
      <c r="N67">
        <v>0</v>
      </c>
      <c r="P67" s="261" t="s">
        <v>2194</v>
      </c>
      <c r="R67">
        <v>1586.9999999999998</v>
      </c>
      <c r="S67">
        <v>2885165.9999999995</v>
      </c>
      <c r="W67" s="261" t="s">
        <v>1574</v>
      </c>
      <c r="X67">
        <v>1</v>
      </c>
    </row>
    <row r="68" spans="1:25" x14ac:dyDescent="0.25">
      <c r="A68" s="261" t="s">
        <v>1194</v>
      </c>
      <c r="B68" s="261" t="s">
        <v>1195</v>
      </c>
      <c r="C68" s="261" t="s">
        <v>1070</v>
      </c>
      <c r="D68" s="261" t="s">
        <v>1727</v>
      </c>
      <c r="E68" s="261" t="s">
        <v>1177</v>
      </c>
      <c r="F68">
        <v>5.19</v>
      </c>
      <c r="G68" s="215">
        <v>46084</v>
      </c>
      <c r="H68" s="261" t="s">
        <v>987</v>
      </c>
      <c r="I68" s="261" t="s">
        <v>1035</v>
      </c>
      <c r="J68">
        <v>517500</v>
      </c>
      <c r="K68" s="261" t="s">
        <v>1087</v>
      </c>
      <c r="L68">
        <v>42700</v>
      </c>
      <c r="M68">
        <v>1</v>
      </c>
      <c r="N68">
        <v>2</v>
      </c>
      <c r="O68">
        <v>42700</v>
      </c>
      <c r="P68" s="261" t="s">
        <v>2193</v>
      </c>
      <c r="Q68">
        <v>67098.78</v>
      </c>
      <c r="R68">
        <v>595125</v>
      </c>
      <c r="S68">
        <v>3088698.75</v>
      </c>
      <c r="T68">
        <v>348242.66820000001</v>
      </c>
      <c r="U68">
        <v>2740456.0817999998</v>
      </c>
      <c r="V68">
        <v>0.88725262759924384</v>
      </c>
      <c r="W68" s="261" t="s">
        <v>1575</v>
      </c>
      <c r="X68">
        <v>3</v>
      </c>
      <c r="Y68">
        <v>0.81235157655954626</v>
      </c>
    </row>
    <row r="69" spans="1:25" x14ac:dyDescent="0.25">
      <c r="A69" s="261" t="s">
        <v>1136</v>
      </c>
      <c r="B69" s="261" t="s">
        <v>1744</v>
      </c>
      <c r="C69" s="261" t="s">
        <v>1068</v>
      </c>
      <c r="D69" s="261" t="s">
        <v>1727</v>
      </c>
      <c r="E69" s="261" t="s">
        <v>1113</v>
      </c>
      <c r="F69">
        <v>2.48</v>
      </c>
      <c r="G69" s="215">
        <v>46084</v>
      </c>
      <c r="H69" s="261" t="s">
        <v>987</v>
      </c>
      <c r="I69" s="261" t="s">
        <v>1046</v>
      </c>
      <c r="J69">
        <v>189175</v>
      </c>
      <c r="K69" s="261" t="s">
        <v>1087</v>
      </c>
      <c r="M69">
        <v>0</v>
      </c>
      <c r="N69">
        <v>0</v>
      </c>
      <c r="P69" s="261" t="s">
        <v>2194</v>
      </c>
      <c r="R69">
        <v>217551.24999999997</v>
      </c>
      <c r="S69">
        <v>539527.1</v>
      </c>
      <c r="W69" s="261" t="s">
        <v>1574</v>
      </c>
      <c r="X69">
        <v>1</v>
      </c>
    </row>
    <row r="70" spans="1:25" x14ac:dyDescent="0.25">
      <c r="A70" s="261" t="s">
        <v>1138</v>
      </c>
      <c r="B70" s="261" t="s">
        <v>1745</v>
      </c>
      <c r="C70" s="261" t="s">
        <v>1068</v>
      </c>
      <c r="D70" s="261" t="s">
        <v>1727</v>
      </c>
      <c r="E70" s="261" t="s">
        <v>1110</v>
      </c>
      <c r="F70">
        <v>39.6</v>
      </c>
      <c r="G70" s="215">
        <v>46084</v>
      </c>
      <c r="H70" s="261" t="s">
        <v>987</v>
      </c>
      <c r="I70" s="261" t="s">
        <v>1046</v>
      </c>
      <c r="J70">
        <v>5750</v>
      </c>
      <c r="K70" s="261" t="s">
        <v>1087</v>
      </c>
      <c r="M70">
        <v>0</v>
      </c>
      <c r="N70">
        <v>0</v>
      </c>
      <c r="P70" s="261" t="s">
        <v>2194</v>
      </c>
      <c r="R70">
        <v>6612.4999999999991</v>
      </c>
      <c r="S70">
        <v>261854.99999999997</v>
      </c>
      <c r="W70" s="261" t="s">
        <v>1574</v>
      </c>
      <c r="X70">
        <v>1</v>
      </c>
    </row>
    <row r="71" spans="1:25" x14ac:dyDescent="0.25">
      <c r="A71" s="261" t="s">
        <v>1139</v>
      </c>
      <c r="B71" s="261" t="s">
        <v>1746</v>
      </c>
      <c r="C71" s="261" t="s">
        <v>1068</v>
      </c>
      <c r="D71" s="261" t="s">
        <v>1727</v>
      </c>
      <c r="E71" s="261" t="s">
        <v>1120</v>
      </c>
      <c r="F71">
        <v>297.60000000000002</v>
      </c>
      <c r="G71" s="215">
        <v>46084</v>
      </c>
      <c r="H71" s="261" t="s">
        <v>987</v>
      </c>
      <c r="I71" s="261" t="s">
        <v>1046</v>
      </c>
      <c r="J71">
        <v>1380</v>
      </c>
      <c r="K71" s="261" t="s">
        <v>1087</v>
      </c>
      <c r="M71">
        <v>0</v>
      </c>
      <c r="N71">
        <v>0</v>
      </c>
      <c r="P71" s="261" t="s">
        <v>2194</v>
      </c>
      <c r="R71">
        <v>1586.9999999999998</v>
      </c>
      <c r="S71">
        <v>472291.19999999995</v>
      </c>
      <c r="W71" s="261" t="s">
        <v>1574</v>
      </c>
      <c r="X71">
        <v>1</v>
      </c>
    </row>
    <row r="72" spans="1:25" x14ac:dyDescent="0.25">
      <c r="A72" s="261" t="s">
        <v>1140</v>
      </c>
      <c r="B72" s="261" t="s">
        <v>1747</v>
      </c>
      <c r="C72" s="261" t="s">
        <v>1068</v>
      </c>
      <c r="D72" s="261" t="s">
        <v>1727</v>
      </c>
      <c r="E72" s="261" t="s">
        <v>1113</v>
      </c>
      <c r="F72">
        <v>3.72</v>
      </c>
      <c r="G72" s="215">
        <v>46084</v>
      </c>
      <c r="H72" s="261" t="s">
        <v>987</v>
      </c>
      <c r="I72" s="261" t="s">
        <v>1046</v>
      </c>
      <c r="J72">
        <v>189175</v>
      </c>
      <c r="K72" s="261" t="s">
        <v>1087</v>
      </c>
      <c r="M72">
        <v>0</v>
      </c>
      <c r="N72">
        <v>0</v>
      </c>
      <c r="P72" s="261" t="s">
        <v>2194</v>
      </c>
      <c r="R72">
        <v>217551.24999999997</v>
      </c>
      <c r="S72">
        <v>809290.64999999991</v>
      </c>
      <c r="W72" s="261" t="s">
        <v>1574</v>
      </c>
      <c r="X72">
        <v>1</v>
      </c>
    </row>
    <row r="73" spans="1:25" x14ac:dyDescent="0.25">
      <c r="A73" s="261" t="s">
        <v>1141</v>
      </c>
      <c r="B73" s="261" t="s">
        <v>1748</v>
      </c>
      <c r="C73" s="261" t="s">
        <v>1068</v>
      </c>
      <c r="D73" s="261" t="s">
        <v>1727</v>
      </c>
      <c r="E73" s="261" t="s">
        <v>1110</v>
      </c>
      <c r="F73">
        <v>46.46</v>
      </c>
      <c r="G73" s="215">
        <v>46084</v>
      </c>
      <c r="H73" s="261" t="s">
        <v>987</v>
      </c>
      <c r="I73" s="261" t="s">
        <v>1046</v>
      </c>
      <c r="J73">
        <v>5750</v>
      </c>
      <c r="K73" s="261" t="s">
        <v>1087</v>
      </c>
      <c r="M73">
        <v>0</v>
      </c>
      <c r="N73">
        <v>0</v>
      </c>
      <c r="P73" s="261" t="s">
        <v>2194</v>
      </c>
      <c r="R73">
        <v>6612.4999999999991</v>
      </c>
      <c r="S73">
        <v>307216.74999999994</v>
      </c>
      <c r="W73" s="261" t="s">
        <v>1574</v>
      </c>
      <c r="X73">
        <v>1</v>
      </c>
    </row>
    <row r="74" spans="1:25" x14ac:dyDescent="0.25">
      <c r="A74" s="261" t="s">
        <v>1142</v>
      </c>
      <c r="B74" s="261" t="s">
        <v>1749</v>
      </c>
      <c r="C74" s="261" t="s">
        <v>1068</v>
      </c>
      <c r="D74" s="261" t="s">
        <v>1727</v>
      </c>
      <c r="E74" s="261" t="s">
        <v>1120</v>
      </c>
      <c r="F74">
        <v>483.6</v>
      </c>
      <c r="G74" s="215">
        <v>46084</v>
      </c>
      <c r="H74" s="261" t="s">
        <v>987</v>
      </c>
      <c r="I74" s="261" t="s">
        <v>1046</v>
      </c>
      <c r="J74">
        <v>1380</v>
      </c>
      <c r="K74" s="261" t="s">
        <v>1087</v>
      </c>
      <c r="M74">
        <v>0</v>
      </c>
      <c r="N74">
        <v>0</v>
      </c>
      <c r="P74" s="261" t="s">
        <v>2194</v>
      </c>
      <c r="R74">
        <v>1586.9999999999998</v>
      </c>
      <c r="S74">
        <v>767473.2</v>
      </c>
      <c r="W74" s="261" t="s">
        <v>1574</v>
      </c>
      <c r="X74">
        <v>1</v>
      </c>
    </row>
    <row r="75" spans="1:25" x14ac:dyDescent="0.25">
      <c r="A75" s="261" t="s">
        <v>1143</v>
      </c>
      <c r="B75" s="261" t="s">
        <v>1750</v>
      </c>
      <c r="C75" s="261" t="s">
        <v>1068</v>
      </c>
      <c r="D75" s="261" t="s">
        <v>1727</v>
      </c>
      <c r="E75" s="261" t="s">
        <v>1113</v>
      </c>
      <c r="F75">
        <v>5.31</v>
      </c>
      <c r="G75" s="215">
        <v>46084</v>
      </c>
      <c r="H75" s="261" t="s">
        <v>987</v>
      </c>
      <c r="I75" s="261" t="s">
        <v>1046</v>
      </c>
      <c r="J75">
        <v>189175</v>
      </c>
      <c r="K75" s="261" t="s">
        <v>1087</v>
      </c>
      <c r="M75">
        <v>0</v>
      </c>
      <c r="N75">
        <v>0</v>
      </c>
      <c r="P75" s="261" t="s">
        <v>2194</v>
      </c>
      <c r="R75">
        <v>217551.24999999997</v>
      </c>
      <c r="S75">
        <v>1155197.1374999997</v>
      </c>
      <c r="W75" s="261" t="s">
        <v>1574</v>
      </c>
      <c r="X75">
        <v>1</v>
      </c>
    </row>
    <row r="76" spans="1:25" x14ac:dyDescent="0.25">
      <c r="A76" s="261" t="s">
        <v>1145</v>
      </c>
      <c r="B76" s="261" t="s">
        <v>1751</v>
      </c>
      <c r="C76" s="261" t="s">
        <v>1068</v>
      </c>
      <c r="D76" s="261" t="s">
        <v>1727</v>
      </c>
      <c r="E76" s="261" t="s">
        <v>1110</v>
      </c>
      <c r="F76">
        <v>79.63</v>
      </c>
      <c r="G76" s="215">
        <v>46084</v>
      </c>
      <c r="H76" s="261" t="s">
        <v>987</v>
      </c>
      <c r="I76" s="261" t="s">
        <v>1046</v>
      </c>
      <c r="J76">
        <v>5750</v>
      </c>
      <c r="K76" s="261" t="s">
        <v>1087</v>
      </c>
      <c r="M76">
        <v>0</v>
      </c>
      <c r="N76">
        <v>0</v>
      </c>
      <c r="P76" s="261" t="s">
        <v>2194</v>
      </c>
      <c r="R76">
        <v>6612.4999999999991</v>
      </c>
      <c r="S76">
        <v>526553.37499999988</v>
      </c>
      <c r="W76" s="261" t="s">
        <v>1574</v>
      </c>
      <c r="X76">
        <v>1</v>
      </c>
    </row>
    <row r="77" spans="1:25" x14ac:dyDescent="0.25">
      <c r="A77" s="261" t="s">
        <v>1146</v>
      </c>
      <c r="B77" s="261" t="s">
        <v>1752</v>
      </c>
      <c r="C77" s="261" t="s">
        <v>1068</v>
      </c>
      <c r="D77" s="261" t="s">
        <v>1727</v>
      </c>
      <c r="E77" s="261" t="s">
        <v>1120</v>
      </c>
      <c r="F77">
        <v>1113.5999999999999</v>
      </c>
      <c r="G77" s="215">
        <v>46084</v>
      </c>
      <c r="H77" s="261" t="s">
        <v>987</v>
      </c>
      <c r="I77" s="261" t="s">
        <v>1046</v>
      </c>
      <c r="J77">
        <v>1380</v>
      </c>
      <c r="K77" s="261" t="s">
        <v>1087</v>
      </c>
      <c r="M77">
        <v>0</v>
      </c>
      <c r="N77">
        <v>0</v>
      </c>
      <c r="P77" s="261" t="s">
        <v>2194</v>
      </c>
      <c r="R77">
        <v>1586.9999999999998</v>
      </c>
      <c r="S77">
        <v>1767283.1999999995</v>
      </c>
      <c r="W77" s="261" t="s">
        <v>1574</v>
      </c>
      <c r="X77">
        <v>1</v>
      </c>
    </row>
    <row r="78" spans="1:25" x14ac:dyDescent="0.25">
      <c r="A78" s="261" t="s">
        <v>1147</v>
      </c>
      <c r="B78" s="261" t="s">
        <v>1753</v>
      </c>
      <c r="C78" s="261" t="s">
        <v>1068</v>
      </c>
      <c r="D78" s="261" t="s">
        <v>1727</v>
      </c>
      <c r="E78" s="261" t="s">
        <v>1113</v>
      </c>
      <c r="F78">
        <v>4.74</v>
      </c>
      <c r="G78" s="215">
        <v>46084</v>
      </c>
      <c r="H78" s="261" t="s">
        <v>987</v>
      </c>
      <c r="I78" s="261" t="s">
        <v>1046</v>
      </c>
      <c r="J78">
        <v>189175</v>
      </c>
      <c r="K78" s="261" t="s">
        <v>1087</v>
      </c>
      <c r="M78">
        <v>0</v>
      </c>
      <c r="N78">
        <v>0</v>
      </c>
      <c r="P78" s="261" t="s">
        <v>2194</v>
      </c>
      <c r="R78">
        <v>217551.24999999997</v>
      </c>
      <c r="S78">
        <v>1031192.9249999999</v>
      </c>
      <c r="W78" s="261" t="s">
        <v>1574</v>
      </c>
      <c r="X78">
        <v>1</v>
      </c>
    </row>
    <row r="79" spans="1:25" x14ac:dyDescent="0.25">
      <c r="A79" s="261" t="s">
        <v>1148</v>
      </c>
      <c r="B79" s="261" t="s">
        <v>1754</v>
      </c>
      <c r="C79" s="261" t="s">
        <v>1068</v>
      </c>
      <c r="D79" s="261" t="s">
        <v>1727</v>
      </c>
      <c r="E79" s="261" t="s">
        <v>1110</v>
      </c>
      <c r="F79">
        <v>71.099999999999994</v>
      </c>
      <c r="G79" s="215">
        <v>46084</v>
      </c>
      <c r="H79" s="261" t="s">
        <v>987</v>
      </c>
      <c r="I79" s="261" t="s">
        <v>1046</v>
      </c>
      <c r="J79">
        <v>5750</v>
      </c>
      <c r="K79" s="261" t="s">
        <v>1087</v>
      </c>
      <c r="M79">
        <v>0</v>
      </c>
      <c r="N79">
        <v>0</v>
      </c>
      <c r="P79" s="261" t="s">
        <v>2194</v>
      </c>
      <c r="R79">
        <v>6612.4999999999991</v>
      </c>
      <c r="S79">
        <v>470148.74999999988</v>
      </c>
      <c r="W79" s="261" t="s">
        <v>1574</v>
      </c>
      <c r="X79">
        <v>1</v>
      </c>
    </row>
    <row r="80" spans="1:25" x14ac:dyDescent="0.25">
      <c r="A80" s="261" t="s">
        <v>1149</v>
      </c>
      <c r="B80" s="261" t="s">
        <v>1755</v>
      </c>
      <c r="C80" s="261" t="s">
        <v>1068</v>
      </c>
      <c r="D80" s="261" t="s">
        <v>1727</v>
      </c>
      <c r="E80" s="261" t="s">
        <v>1120</v>
      </c>
      <c r="F80">
        <v>331.8</v>
      </c>
      <c r="G80" s="215">
        <v>46084</v>
      </c>
      <c r="H80" s="261" t="s">
        <v>987</v>
      </c>
      <c r="I80" s="261" t="s">
        <v>1046</v>
      </c>
      <c r="J80">
        <v>1380</v>
      </c>
      <c r="K80" s="261" t="s">
        <v>1087</v>
      </c>
      <c r="M80">
        <v>0</v>
      </c>
      <c r="N80">
        <v>0</v>
      </c>
      <c r="P80" s="261" t="s">
        <v>2194</v>
      </c>
      <c r="R80">
        <v>1586.9999999999998</v>
      </c>
      <c r="S80">
        <v>526566.6</v>
      </c>
      <c r="W80" s="261" t="s">
        <v>1574</v>
      </c>
      <c r="X80">
        <v>1</v>
      </c>
    </row>
    <row r="81" spans="1:24" x14ac:dyDescent="0.25">
      <c r="A81" s="261" t="s">
        <v>1150</v>
      </c>
      <c r="B81" s="261" t="s">
        <v>1756</v>
      </c>
      <c r="C81" s="261" t="s">
        <v>1068</v>
      </c>
      <c r="D81" s="261" t="s">
        <v>1727</v>
      </c>
      <c r="E81" s="261" t="s">
        <v>1113</v>
      </c>
      <c r="F81">
        <v>9.2799999999999994</v>
      </c>
      <c r="G81" s="215">
        <v>46084</v>
      </c>
      <c r="H81" s="261" t="s">
        <v>987</v>
      </c>
      <c r="I81" s="261" t="s">
        <v>1046</v>
      </c>
      <c r="J81">
        <v>189175</v>
      </c>
      <c r="K81" s="261" t="s">
        <v>1087</v>
      </c>
      <c r="M81">
        <v>0</v>
      </c>
      <c r="N81">
        <v>0</v>
      </c>
      <c r="P81" s="261" t="s">
        <v>2194</v>
      </c>
      <c r="R81">
        <v>217551.24999999997</v>
      </c>
      <c r="S81">
        <v>2018875.5999999996</v>
      </c>
      <c r="W81" s="261" t="s">
        <v>1574</v>
      </c>
      <c r="X81">
        <v>1</v>
      </c>
    </row>
    <row r="82" spans="1:24" x14ac:dyDescent="0.25">
      <c r="A82" s="261" t="s">
        <v>1151</v>
      </c>
      <c r="B82" s="261" t="s">
        <v>1757</v>
      </c>
      <c r="C82" s="261" t="s">
        <v>1068</v>
      </c>
      <c r="D82" s="261" t="s">
        <v>1727</v>
      </c>
      <c r="E82" s="261" t="s">
        <v>1110</v>
      </c>
      <c r="F82">
        <v>51.33</v>
      </c>
      <c r="G82" s="215">
        <v>46084</v>
      </c>
      <c r="H82" s="261" t="s">
        <v>987</v>
      </c>
      <c r="I82" s="261" t="s">
        <v>1046</v>
      </c>
      <c r="J82">
        <v>14231</v>
      </c>
      <c r="K82" s="261" t="s">
        <v>1087</v>
      </c>
      <c r="M82">
        <v>0</v>
      </c>
      <c r="N82">
        <v>0</v>
      </c>
      <c r="P82" s="261" t="s">
        <v>2194</v>
      </c>
      <c r="R82">
        <v>16365.65</v>
      </c>
      <c r="S82">
        <v>840048.81449999998</v>
      </c>
      <c r="W82" s="261" t="s">
        <v>1574</v>
      </c>
      <c r="X82">
        <v>1</v>
      </c>
    </row>
    <row r="83" spans="1:24" x14ac:dyDescent="0.25">
      <c r="A83" s="261" t="s">
        <v>1153</v>
      </c>
      <c r="B83" s="261" t="s">
        <v>1758</v>
      </c>
      <c r="C83" s="261" t="s">
        <v>1068</v>
      </c>
      <c r="D83" s="261" t="s">
        <v>1727</v>
      </c>
      <c r="E83" s="261" t="s">
        <v>1120</v>
      </c>
      <c r="F83">
        <v>1113.5999999999999</v>
      </c>
      <c r="G83" s="215">
        <v>46084</v>
      </c>
      <c r="H83" s="261" t="s">
        <v>987</v>
      </c>
      <c r="I83" s="261" t="s">
        <v>1046</v>
      </c>
      <c r="J83">
        <v>5750</v>
      </c>
      <c r="K83" s="261" t="s">
        <v>1087</v>
      </c>
      <c r="M83">
        <v>0</v>
      </c>
      <c r="N83">
        <v>0</v>
      </c>
      <c r="P83" s="261" t="s">
        <v>2194</v>
      </c>
      <c r="R83">
        <v>6612.4999999999991</v>
      </c>
      <c r="S83">
        <v>7363679.9999999981</v>
      </c>
      <c r="W83" s="261" t="s">
        <v>1574</v>
      </c>
      <c r="X83">
        <v>1</v>
      </c>
    </row>
    <row r="84" spans="1:24" x14ac:dyDescent="0.25">
      <c r="A84" s="261" t="s">
        <v>1154</v>
      </c>
      <c r="B84" s="261" t="s">
        <v>1758</v>
      </c>
      <c r="C84" s="261" t="s">
        <v>1068</v>
      </c>
      <c r="D84" s="261" t="s">
        <v>1727</v>
      </c>
      <c r="E84" s="261" t="s">
        <v>1120</v>
      </c>
      <c r="F84">
        <v>1113.5999999999999</v>
      </c>
      <c r="G84" s="215">
        <v>46084</v>
      </c>
      <c r="H84" s="261" t="s">
        <v>987</v>
      </c>
      <c r="I84" s="261" t="s">
        <v>1046</v>
      </c>
      <c r="J84">
        <v>1380</v>
      </c>
      <c r="K84" s="261" t="s">
        <v>1087</v>
      </c>
      <c r="M84">
        <v>0</v>
      </c>
      <c r="N84">
        <v>0</v>
      </c>
      <c r="P84" s="261" t="s">
        <v>2194</v>
      </c>
      <c r="R84">
        <v>1586.9999999999998</v>
      </c>
      <c r="S84">
        <v>1767283.1999999995</v>
      </c>
      <c r="W84" s="261" t="s">
        <v>1574</v>
      </c>
      <c r="X84">
        <v>1</v>
      </c>
    </row>
    <row r="85" spans="1:24" x14ac:dyDescent="0.25">
      <c r="A85" s="261" t="s">
        <v>1161</v>
      </c>
      <c r="B85" s="261" t="s">
        <v>1162</v>
      </c>
      <c r="C85" s="261" t="s">
        <v>1068</v>
      </c>
      <c r="D85" s="261" t="s">
        <v>1727</v>
      </c>
      <c r="E85" s="261" t="s">
        <v>1084</v>
      </c>
      <c r="F85">
        <v>1</v>
      </c>
      <c r="G85" s="215">
        <v>46084</v>
      </c>
      <c r="H85" s="261" t="s">
        <v>987</v>
      </c>
      <c r="I85" s="261" t="s">
        <v>1046</v>
      </c>
      <c r="J85">
        <v>1</v>
      </c>
      <c r="K85" s="261" t="s">
        <v>1087</v>
      </c>
      <c r="M85">
        <v>0</v>
      </c>
      <c r="N85">
        <v>0</v>
      </c>
      <c r="P85" s="261" t="s">
        <v>2194</v>
      </c>
      <c r="R85">
        <v>1.1499999999999999</v>
      </c>
      <c r="S85">
        <v>1.1499999999999999</v>
      </c>
      <c r="W85" s="261" t="s">
        <v>1574</v>
      </c>
      <c r="X85">
        <v>1</v>
      </c>
    </row>
    <row r="86" spans="1:24" x14ac:dyDescent="0.25">
      <c r="A86" s="261" t="s">
        <v>1163</v>
      </c>
      <c r="B86" s="261" t="s">
        <v>1164</v>
      </c>
      <c r="C86" s="261" t="s">
        <v>1068</v>
      </c>
      <c r="D86" s="261" t="s">
        <v>1727</v>
      </c>
      <c r="E86" s="261" t="s">
        <v>1084</v>
      </c>
      <c r="F86">
        <v>1</v>
      </c>
      <c r="G86" s="215">
        <v>46084</v>
      </c>
      <c r="H86" s="261" t="s">
        <v>987</v>
      </c>
      <c r="I86" s="261" t="s">
        <v>1046</v>
      </c>
      <c r="J86">
        <v>1</v>
      </c>
      <c r="K86" s="261" t="s">
        <v>1087</v>
      </c>
      <c r="M86">
        <v>0</v>
      </c>
      <c r="N86">
        <v>0</v>
      </c>
      <c r="P86" s="261" t="s">
        <v>2194</v>
      </c>
      <c r="R86">
        <v>1.1499999999999999</v>
      </c>
      <c r="S86">
        <v>1.1499999999999999</v>
      </c>
      <c r="W86" s="261" t="s">
        <v>1574</v>
      </c>
      <c r="X86">
        <v>1</v>
      </c>
    </row>
    <row r="87" spans="1:24" x14ac:dyDescent="0.25">
      <c r="A87" s="261" t="s">
        <v>1165</v>
      </c>
      <c r="B87" s="261" t="s">
        <v>1759</v>
      </c>
      <c r="C87" s="261" t="s">
        <v>1068</v>
      </c>
      <c r="D87" s="261" t="s">
        <v>1727</v>
      </c>
      <c r="E87" s="261" t="s">
        <v>1113</v>
      </c>
      <c r="F87">
        <v>1</v>
      </c>
      <c r="G87" s="215">
        <v>46084</v>
      </c>
      <c r="H87" s="261" t="s">
        <v>987</v>
      </c>
      <c r="I87" s="261" t="s">
        <v>1046</v>
      </c>
      <c r="J87">
        <v>189175</v>
      </c>
      <c r="K87" s="261" t="s">
        <v>1087</v>
      </c>
      <c r="M87">
        <v>0</v>
      </c>
      <c r="N87">
        <v>0</v>
      </c>
      <c r="P87" s="261" t="s">
        <v>2194</v>
      </c>
      <c r="R87">
        <v>217551.24999999997</v>
      </c>
      <c r="S87">
        <v>217551.24999999997</v>
      </c>
      <c r="W87" s="261" t="s">
        <v>1574</v>
      </c>
      <c r="X87">
        <v>1</v>
      </c>
    </row>
    <row r="88" spans="1:24" x14ac:dyDescent="0.25">
      <c r="A88" s="261" t="s">
        <v>1166</v>
      </c>
      <c r="B88" s="261" t="s">
        <v>1760</v>
      </c>
      <c r="C88" s="261" t="s">
        <v>1068</v>
      </c>
      <c r="D88" s="261" t="s">
        <v>1727</v>
      </c>
      <c r="E88" s="261" t="s">
        <v>1110</v>
      </c>
      <c r="F88">
        <v>1</v>
      </c>
      <c r="G88" s="215">
        <v>46084</v>
      </c>
      <c r="H88" s="261" t="s">
        <v>987</v>
      </c>
      <c r="I88" s="261" t="s">
        <v>1046</v>
      </c>
      <c r="J88">
        <v>5750</v>
      </c>
      <c r="K88" s="261" t="s">
        <v>1087</v>
      </c>
      <c r="M88">
        <v>0</v>
      </c>
      <c r="N88">
        <v>0</v>
      </c>
      <c r="P88" s="261" t="s">
        <v>2194</v>
      </c>
      <c r="R88">
        <v>6612.4999999999991</v>
      </c>
      <c r="S88">
        <v>6612.4999999999991</v>
      </c>
      <c r="W88" s="261" t="s">
        <v>1574</v>
      </c>
      <c r="X88">
        <v>1</v>
      </c>
    </row>
    <row r="89" spans="1:24" x14ac:dyDescent="0.25">
      <c r="A89" s="261" t="s">
        <v>1167</v>
      </c>
      <c r="B89" s="261" t="s">
        <v>1761</v>
      </c>
      <c r="C89" s="261" t="s">
        <v>1068</v>
      </c>
      <c r="D89" s="261" t="s">
        <v>1762</v>
      </c>
      <c r="E89" s="261" t="s">
        <v>1113</v>
      </c>
      <c r="F89">
        <v>21.9</v>
      </c>
      <c r="G89" s="215">
        <v>46084</v>
      </c>
      <c r="H89" s="261" t="s">
        <v>987</v>
      </c>
      <c r="I89" s="261" t="s">
        <v>1046</v>
      </c>
      <c r="J89">
        <v>189175</v>
      </c>
      <c r="K89" s="261" t="s">
        <v>1087</v>
      </c>
      <c r="M89">
        <v>0</v>
      </c>
      <c r="N89">
        <v>0</v>
      </c>
      <c r="P89" s="261" t="s">
        <v>2194</v>
      </c>
      <c r="R89">
        <v>217551.24999999997</v>
      </c>
      <c r="S89">
        <v>4764372.3749999991</v>
      </c>
      <c r="W89" s="261" t="s">
        <v>1574</v>
      </c>
      <c r="X89">
        <v>1</v>
      </c>
    </row>
    <row r="90" spans="1:24" x14ac:dyDescent="0.25">
      <c r="A90" s="261" t="s">
        <v>1168</v>
      </c>
      <c r="B90" s="261" t="s">
        <v>1763</v>
      </c>
      <c r="C90" s="261" t="s">
        <v>1068</v>
      </c>
      <c r="D90" s="261" t="s">
        <v>1762</v>
      </c>
      <c r="E90" s="261" t="s">
        <v>1110</v>
      </c>
      <c r="F90">
        <v>101.18</v>
      </c>
      <c r="G90" s="215">
        <v>46084</v>
      </c>
      <c r="H90" s="261" t="s">
        <v>987</v>
      </c>
      <c r="I90" s="261" t="s">
        <v>1046</v>
      </c>
      <c r="J90">
        <v>5750</v>
      </c>
      <c r="K90" s="261" t="s">
        <v>1087</v>
      </c>
      <c r="M90">
        <v>0</v>
      </c>
      <c r="N90">
        <v>0</v>
      </c>
      <c r="P90" s="261" t="s">
        <v>2194</v>
      </c>
      <c r="R90">
        <v>6612.4999999999991</v>
      </c>
      <c r="S90">
        <v>669052.75</v>
      </c>
      <c r="W90" s="261" t="s">
        <v>1574</v>
      </c>
      <c r="X90">
        <v>1</v>
      </c>
    </row>
    <row r="91" spans="1:24" x14ac:dyDescent="0.25">
      <c r="A91" s="261" t="s">
        <v>1169</v>
      </c>
      <c r="B91" s="261" t="s">
        <v>1764</v>
      </c>
      <c r="C91" s="261" t="s">
        <v>1068</v>
      </c>
      <c r="D91" s="261" t="s">
        <v>1762</v>
      </c>
      <c r="E91" s="261" t="s">
        <v>1120</v>
      </c>
      <c r="F91">
        <v>2628</v>
      </c>
      <c r="G91" s="215">
        <v>46084</v>
      </c>
      <c r="H91" s="261" t="s">
        <v>987</v>
      </c>
      <c r="I91" s="261" t="s">
        <v>1046</v>
      </c>
      <c r="J91">
        <v>1380</v>
      </c>
      <c r="K91" s="261" t="s">
        <v>1087</v>
      </c>
      <c r="M91">
        <v>0</v>
      </c>
      <c r="N91">
        <v>0</v>
      </c>
      <c r="P91" s="261" t="s">
        <v>2194</v>
      </c>
      <c r="R91">
        <v>1586.9999999999998</v>
      </c>
      <c r="S91">
        <v>4170635.9999999995</v>
      </c>
      <c r="W91" s="261" t="s">
        <v>1574</v>
      </c>
      <c r="X91">
        <v>1</v>
      </c>
    </row>
    <row r="92" spans="1:24" x14ac:dyDescent="0.25">
      <c r="A92" s="261" t="s">
        <v>1170</v>
      </c>
      <c r="B92" s="261" t="s">
        <v>1171</v>
      </c>
      <c r="C92" s="261" t="s">
        <v>1068</v>
      </c>
      <c r="D92" s="261" t="s">
        <v>1762</v>
      </c>
      <c r="E92" s="261" t="s">
        <v>1084</v>
      </c>
      <c r="F92">
        <v>1</v>
      </c>
      <c r="G92" s="215">
        <v>46084</v>
      </c>
      <c r="H92" s="261" t="s">
        <v>987</v>
      </c>
      <c r="I92" s="261" t="s">
        <v>1046</v>
      </c>
      <c r="J92">
        <v>2344172</v>
      </c>
      <c r="K92" s="261" t="s">
        <v>1087</v>
      </c>
      <c r="M92">
        <v>0</v>
      </c>
      <c r="N92">
        <v>0</v>
      </c>
      <c r="P92" s="261" t="s">
        <v>2194</v>
      </c>
      <c r="R92">
        <v>2695797.8</v>
      </c>
      <c r="S92">
        <v>2695797.8</v>
      </c>
      <c r="W92" s="261" t="s">
        <v>1574</v>
      </c>
      <c r="X92">
        <v>1</v>
      </c>
    </row>
    <row r="93" spans="1:24" x14ac:dyDescent="0.25">
      <c r="A93" s="261" t="s">
        <v>1172</v>
      </c>
      <c r="B93" s="261" t="s">
        <v>1173</v>
      </c>
      <c r="C93" s="261" t="s">
        <v>1068</v>
      </c>
      <c r="D93" s="261" t="s">
        <v>1729</v>
      </c>
      <c r="E93" s="261" t="s">
        <v>1110</v>
      </c>
      <c r="F93">
        <v>107.66</v>
      </c>
      <c r="G93" s="215">
        <v>46084</v>
      </c>
      <c r="H93" s="261" t="s">
        <v>987</v>
      </c>
      <c r="I93" s="261" t="s">
        <v>1042</v>
      </c>
      <c r="J93">
        <v>17276</v>
      </c>
      <c r="K93" s="261" t="s">
        <v>1087</v>
      </c>
      <c r="M93">
        <v>1</v>
      </c>
      <c r="N93">
        <v>1</v>
      </c>
      <c r="P93" s="261" t="s">
        <v>2194</v>
      </c>
      <c r="R93">
        <v>19867.399999999998</v>
      </c>
      <c r="S93">
        <v>2138924.2839999995</v>
      </c>
      <c r="W93" s="261" t="s">
        <v>1574</v>
      </c>
      <c r="X93">
        <v>2</v>
      </c>
    </row>
    <row r="94" spans="1:24" x14ac:dyDescent="0.25">
      <c r="A94" s="261" t="s">
        <v>1172</v>
      </c>
      <c r="B94" s="261" t="s">
        <v>1173</v>
      </c>
      <c r="C94" s="261" t="s">
        <v>1068</v>
      </c>
      <c r="D94" s="261" t="s">
        <v>1730</v>
      </c>
      <c r="E94" s="261" t="s">
        <v>1110</v>
      </c>
      <c r="F94">
        <v>99.69</v>
      </c>
      <c r="G94" s="215">
        <v>46084</v>
      </c>
      <c r="H94" s="261" t="s">
        <v>987</v>
      </c>
      <c r="I94" s="261" t="s">
        <v>1042</v>
      </c>
      <c r="J94">
        <v>17276</v>
      </c>
      <c r="K94" s="261" t="s">
        <v>1087</v>
      </c>
      <c r="M94">
        <v>1</v>
      </c>
      <c r="N94">
        <v>1</v>
      </c>
      <c r="P94" s="261" t="s">
        <v>2194</v>
      </c>
      <c r="R94">
        <v>19867.399999999998</v>
      </c>
      <c r="S94">
        <v>1980581.1059999997</v>
      </c>
      <c r="W94" s="261" t="s">
        <v>1574</v>
      </c>
      <c r="X94">
        <v>2</v>
      </c>
    </row>
    <row r="95" spans="1:24" x14ac:dyDescent="0.25">
      <c r="A95" s="261" t="s">
        <v>1172</v>
      </c>
      <c r="B95" s="261" t="s">
        <v>1173</v>
      </c>
      <c r="C95" s="261" t="s">
        <v>1068</v>
      </c>
      <c r="D95" s="261" t="s">
        <v>1762</v>
      </c>
      <c r="E95" s="261" t="s">
        <v>1110</v>
      </c>
      <c r="F95">
        <v>24.95</v>
      </c>
      <c r="G95" s="215">
        <v>46084</v>
      </c>
      <c r="H95" s="261" t="s">
        <v>987</v>
      </c>
      <c r="I95" s="261" t="s">
        <v>1042</v>
      </c>
      <c r="J95">
        <v>17276</v>
      </c>
      <c r="K95" s="261" t="s">
        <v>1087</v>
      </c>
      <c r="M95">
        <v>1</v>
      </c>
      <c r="N95">
        <v>1</v>
      </c>
      <c r="P95" s="261" t="s">
        <v>2194</v>
      </c>
      <c r="R95">
        <v>19867.399999999998</v>
      </c>
      <c r="S95">
        <v>495691.62999999995</v>
      </c>
      <c r="W95" s="261" t="s">
        <v>1574</v>
      </c>
      <c r="X95">
        <v>2</v>
      </c>
    </row>
    <row r="96" spans="1:24" x14ac:dyDescent="0.25">
      <c r="A96" s="261" t="s">
        <v>1172</v>
      </c>
      <c r="B96" s="261" t="s">
        <v>1173</v>
      </c>
      <c r="C96" s="261" t="s">
        <v>1068</v>
      </c>
      <c r="D96" s="261" t="s">
        <v>1765</v>
      </c>
      <c r="E96" s="261" t="s">
        <v>1110</v>
      </c>
      <c r="F96">
        <v>55.52</v>
      </c>
      <c r="G96" s="215">
        <v>46084</v>
      </c>
      <c r="H96" s="261" t="s">
        <v>987</v>
      </c>
      <c r="I96" s="261" t="s">
        <v>1042</v>
      </c>
      <c r="J96">
        <v>17276</v>
      </c>
      <c r="K96" s="261" t="s">
        <v>1087</v>
      </c>
      <c r="M96">
        <v>1</v>
      </c>
      <c r="N96">
        <v>1</v>
      </c>
      <c r="P96" s="261" t="s">
        <v>2194</v>
      </c>
      <c r="R96">
        <v>19867.399999999998</v>
      </c>
      <c r="S96">
        <v>1103038.048</v>
      </c>
      <c r="W96" s="261" t="s">
        <v>1574</v>
      </c>
      <c r="X96">
        <v>2</v>
      </c>
    </row>
    <row r="97" spans="1:25" x14ac:dyDescent="0.25">
      <c r="A97" s="261" t="s">
        <v>1172</v>
      </c>
      <c r="B97" s="261" t="s">
        <v>1767</v>
      </c>
      <c r="C97" s="261" t="s">
        <v>1070</v>
      </c>
      <c r="D97" s="261" t="s">
        <v>1729</v>
      </c>
      <c r="E97" s="261" t="s">
        <v>1110</v>
      </c>
      <c r="F97">
        <v>61.54</v>
      </c>
      <c r="G97" s="215">
        <v>46084</v>
      </c>
      <c r="H97" s="261" t="s">
        <v>987</v>
      </c>
      <c r="I97" s="261" t="s">
        <v>1042</v>
      </c>
      <c r="J97">
        <v>17276</v>
      </c>
      <c r="K97" s="261" t="s">
        <v>1087</v>
      </c>
      <c r="M97">
        <v>1</v>
      </c>
      <c r="N97">
        <v>1</v>
      </c>
      <c r="P97" s="261" t="s">
        <v>2194</v>
      </c>
      <c r="R97">
        <v>19867.399999999998</v>
      </c>
      <c r="S97">
        <v>1222639.7959999999</v>
      </c>
      <c r="W97" s="261" t="s">
        <v>1574</v>
      </c>
      <c r="X97">
        <v>2</v>
      </c>
    </row>
    <row r="98" spans="1:25" x14ac:dyDescent="0.25">
      <c r="A98" s="261" t="s">
        <v>1175</v>
      </c>
      <c r="B98" s="261" t="s">
        <v>1176</v>
      </c>
      <c r="C98" s="261" t="s">
        <v>1068</v>
      </c>
      <c r="D98" s="261" t="s">
        <v>1729</v>
      </c>
      <c r="E98" s="261" t="s">
        <v>1177</v>
      </c>
      <c r="F98">
        <v>182.88</v>
      </c>
      <c r="G98" s="215">
        <v>46084</v>
      </c>
      <c r="H98" s="261" t="s">
        <v>987</v>
      </c>
      <c r="I98" s="261" t="s">
        <v>1042</v>
      </c>
      <c r="J98">
        <v>8641</v>
      </c>
      <c r="K98" s="261" t="s">
        <v>1087</v>
      </c>
      <c r="M98">
        <v>1</v>
      </c>
      <c r="N98">
        <v>1</v>
      </c>
      <c r="P98" s="261" t="s">
        <v>2194</v>
      </c>
      <c r="R98">
        <v>9937.15</v>
      </c>
      <c r="S98">
        <v>1817305.9919999999</v>
      </c>
      <c r="W98" s="261" t="s">
        <v>1574</v>
      </c>
      <c r="X98">
        <v>2</v>
      </c>
    </row>
    <row r="99" spans="1:25" x14ac:dyDescent="0.25">
      <c r="A99" s="261" t="s">
        <v>1175</v>
      </c>
      <c r="B99" s="261" t="s">
        <v>1176</v>
      </c>
      <c r="C99" s="261" t="s">
        <v>1068</v>
      </c>
      <c r="D99" s="261" t="s">
        <v>1730</v>
      </c>
      <c r="E99" s="261" t="s">
        <v>1177</v>
      </c>
      <c r="F99">
        <v>159.12</v>
      </c>
      <c r="G99" s="215">
        <v>46084</v>
      </c>
      <c r="H99" s="261" t="s">
        <v>987</v>
      </c>
      <c r="I99" s="261" t="s">
        <v>1042</v>
      </c>
      <c r="J99">
        <v>8641</v>
      </c>
      <c r="K99" s="261" t="s">
        <v>1087</v>
      </c>
      <c r="M99">
        <v>1</v>
      </c>
      <c r="N99">
        <v>1</v>
      </c>
      <c r="P99" s="261" t="s">
        <v>2194</v>
      </c>
      <c r="R99">
        <v>9937.15</v>
      </c>
      <c r="S99">
        <v>1581199.308</v>
      </c>
      <c r="W99" s="261" t="s">
        <v>1574</v>
      </c>
      <c r="X99">
        <v>2</v>
      </c>
    </row>
    <row r="100" spans="1:25" x14ac:dyDescent="0.25">
      <c r="A100" s="261" t="s">
        <v>1175</v>
      </c>
      <c r="B100" s="261" t="s">
        <v>1176</v>
      </c>
      <c r="C100" s="261" t="s">
        <v>1068</v>
      </c>
      <c r="D100" s="261" t="s">
        <v>1762</v>
      </c>
      <c r="E100" s="261" t="s">
        <v>1177</v>
      </c>
      <c r="F100">
        <v>56.14</v>
      </c>
      <c r="G100" s="215">
        <v>46084</v>
      </c>
      <c r="H100" s="261" t="s">
        <v>987</v>
      </c>
      <c r="I100" s="261" t="s">
        <v>1042</v>
      </c>
      <c r="J100">
        <v>8641</v>
      </c>
      <c r="K100" s="261" t="s">
        <v>1087</v>
      </c>
      <c r="M100">
        <v>1</v>
      </c>
      <c r="N100">
        <v>1</v>
      </c>
      <c r="P100" s="261" t="s">
        <v>2194</v>
      </c>
      <c r="R100">
        <v>9937.15</v>
      </c>
      <c r="S100">
        <v>557871.60100000002</v>
      </c>
      <c r="W100" s="261" t="s">
        <v>1574</v>
      </c>
      <c r="X100">
        <v>2</v>
      </c>
    </row>
    <row r="101" spans="1:25" x14ac:dyDescent="0.25">
      <c r="A101" s="261" t="s">
        <v>1175</v>
      </c>
      <c r="B101" s="261" t="s">
        <v>1176</v>
      </c>
      <c r="C101" s="261" t="s">
        <v>1068</v>
      </c>
      <c r="D101" s="261" t="s">
        <v>1765</v>
      </c>
      <c r="E101" s="261" t="s">
        <v>1177</v>
      </c>
      <c r="F101">
        <v>89.96</v>
      </c>
      <c r="G101" s="215">
        <v>46084</v>
      </c>
      <c r="H101" s="261" t="s">
        <v>987</v>
      </c>
      <c r="I101" s="261" t="s">
        <v>1042</v>
      </c>
      <c r="J101">
        <v>8641</v>
      </c>
      <c r="K101" s="261" t="s">
        <v>1087</v>
      </c>
      <c r="M101">
        <v>1</v>
      </c>
      <c r="N101">
        <v>1</v>
      </c>
      <c r="P101" s="261" t="s">
        <v>2194</v>
      </c>
      <c r="R101">
        <v>9937.15</v>
      </c>
      <c r="S101">
        <v>893946.01399999985</v>
      </c>
      <c r="W101" s="261" t="s">
        <v>1574</v>
      </c>
      <c r="X101">
        <v>2</v>
      </c>
    </row>
    <row r="102" spans="1:25" x14ac:dyDescent="0.25">
      <c r="A102" s="261" t="s">
        <v>1175</v>
      </c>
      <c r="B102" s="261" t="s">
        <v>1176</v>
      </c>
      <c r="C102" s="261" t="s">
        <v>1070</v>
      </c>
      <c r="D102" s="261" t="s">
        <v>1729</v>
      </c>
      <c r="E102" s="261" t="s">
        <v>1177</v>
      </c>
      <c r="F102">
        <v>77.72</v>
      </c>
      <c r="G102" s="215">
        <v>46084</v>
      </c>
      <c r="H102" s="261" t="s">
        <v>987</v>
      </c>
      <c r="I102" s="261" t="s">
        <v>1042</v>
      </c>
      <c r="J102">
        <v>8641</v>
      </c>
      <c r="K102" s="261" t="s">
        <v>1087</v>
      </c>
      <c r="M102">
        <v>1</v>
      </c>
      <c r="N102">
        <v>1</v>
      </c>
      <c r="P102" s="261" t="s">
        <v>2194</v>
      </c>
      <c r="R102">
        <v>9937.15</v>
      </c>
      <c r="S102">
        <v>772315.29799999995</v>
      </c>
      <c r="W102" s="261" t="s">
        <v>1574</v>
      </c>
      <c r="X102">
        <v>2</v>
      </c>
    </row>
    <row r="103" spans="1:25" x14ac:dyDescent="0.25">
      <c r="A103" s="261" t="s">
        <v>1196</v>
      </c>
      <c r="B103" s="261" t="s">
        <v>1769</v>
      </c>
      <c r="C103" s="261" t="s">
        <v>1068</v>
      </c>
      <c r="D103" s="261" t="s">
        <v>1727</v>
      </c>
      <c r="E103" s="261" t="s">
        <v>1110</v>
      </c>
      <c r="F103">
        <v>46.38</v>
      </c>
      <c r="G103" s="215">
        <v>46084</v>
      </c>
      <c r="H103" s="261" t="s">
        <v>987</v>
      </c>
      <c r="I103" s="261" t="s">
        <v>1032</v>
      </c>
      <c r="J103">
        <v>138000</v>
      </c>
      <c r="K103" s="261" t="s">
        <v>1087</v>
      </c>
      <c r="L103">
        <v>35075</v>
      </c>
      <c r="M103">
        <v>1</v>
      </c>
      <c r="N103">
        <v>2</v>
      </c>
      <c r="O103">
        <v>35075</v>
      </c>
      <c r="P103" s="261" t="s">
        <v>2193</v>
      </c>
      <c r="Q103">
        <v>55116.855000000003</v>
      </c>
      <c r="R103">
        <v>158700</v>
      </c>
      <c r="S103">
        <v>7360506</v>
      </c>
      <c r="T103">
        <v>2556319.7349000005</v>
      </c>
      <c r="U103">
        <v>4804186.2650999995</v>
      </c>
      <c r="V103">
        <v>0.65269782608695648</v>
      </c>
      <c r="W103" s="261" t="s">
        <v>1575</v>
      </c>
      <c r="X103">
        <v>4</v>
      </c>
      <c r="Y103">
        <v>0.6716186956521738</v>
      </c>
    </row>
    <row r="104" spans="1:25" x14ac:dyDescent="0.25">
      <c r="A104" s="261" t="s">
        <v>1196</v>
      </c>
      <c r="B104" s="261" t="s">
        <v>1770</v>
      </c>
      <c r="C104" s="261" t="s">
        <v>1068</v>
      </c>
      <c r="D104" s="261" t="s">
        <v>1727</v>
      </c>
      <c r="E104" s="261" t="s">
        <v>1110</v>
      </c>
      <c r="F104">
        <v>5.32</v>
      </c>
      <c r="G104" s="215">
        <v>46084</v>
      </c>
      <c r="H104" s="261" t="s">
        <v>987</v>
      </c>
      <c r="I104" s="261" t="s">
        <v>1032</v>
      </c>
      <c r="J104">
        <v>138000</v>
      </c>
      <c r="K104" s="261" t="s">
        <v>1087</v>
      </c>
      <c r="L104">
        <v>35075</v>
      </c>
      <c r="M104">
        <v>1</v>
      </c>
      <c r="N104">
        <v>2</v>
      </c>
      <c r="O104">
        <v>35075</v>
      </c>
      <c r="P104" s="261" t="s">
        <v>2193</v>
      </c>
      <c r="Q104">
        <v>55116.855000000003</v>
      </c>
      <c r="R104">
        <v>158700</v>
      </c>
      <c r="S104">
        <v>844284</v>
      </c>
      <c r="T104">
        <v>293221.66860000003</v>
      </c>
      <c r="U104">
        <v>551062.33140000002</v>
      </c>
      <c r="V104">
        <v>0.65269782608695659</v>
      </c>
      <c r="W104" s="261" t="s">
        <v>1575</v>
      </c>
      <c r="X104">
        <v>4</v>
      </c>
      <c r="Y104">
        <v>0.67161869565217391</v>
      </c>
    </row>
    <row r="105" spans="1:25" x14ac:dyDescent="0.25">
      <c r="A105" s="261" t="s">
        <v>1196</v>
      </c>
      <c r="B105" s="261" t="s">
        <v>1771</v>
      </c>
      <c r="C105" s="261" t="s">
        <v>1068</v>
      </c>
      <c r="D105" s="261" t="s">
        <v>1727</v>
      </c>
      <c r="E105" s="261" t="s">
        <v>1110</v>
      </c>
      <c r="F105">
        <v>12</v>
      </c>
      <c r="G105" s="215">
        <v>46084</v>
      </c>
      <c r="H105" s="261" t="s">
        <v>987</v>
      </c>
      <c r="I105" s="261" t="s">
        <v>1032</v>
      </c>
      <c r="J105">
        <v>138000</v>
      </c>
      <c r="K105" s="261" t="s">
        <v>1087</v>
      </c>
      <c r="L105">
        <v>35075</v>
      </c>
      <c r="M105">
        <v>1</v>
      </c>
      <c r="N105">
        <v>2</v>
      </c>
      <c r="O105">
        <v>35075</v>
      </c>
      <c r="P105" s="261" t="s">
        <v>2193</v>
      </c>
      <c r="Q105">
        <v>55116.855000000003</v>
      </c>
      <c r="R105">
        <v>158700</v>
      </c>
      <c r="S105">
        <v>1904400</v>
      </c>
      <c r="T105">
        <v>661402.26</v>
      </c>
      <c r="U105">
        <v>1242997.74</v>
      </c>
      <c r="V105">
        <v>0.65269782608695648</v>
      </c>
      <c r="W105" s="261" t="s">
        <v>1575</v>
      </c>
      <c r="X105">
        <v>4</v>
      </c>
      <c r="Y105">
        <v>0.6716186956521738</v>
      </c>
    </row>
    <row r="106" spans="1:25" x14ac:dyDescent="0.25">
      <c r="A106" s="261" t="s">
        <v>1196</v>
      </c>
      <c r="B106" s="261" t="s">
        <v>1772</v>
      </c>
      <c r="C106" s="261" t="s">
        <v>1068</v>
      </c>
      <c r="D106" s="261" t="s">
        <v>1727</v>
      </c>
      <c r="E106" s="261" t="s">
        <v>1110</v>
      </c>
      <c r="F106">
        <v>3.36</v>
      </c>
      <c r="G106" s="215">
        <v>46084</v>
      </c>
      <c r="H106" s="261" t="s">
        <v>987</v>
      </c>
      <c r="I106" s="261" t="s">
        <v>1032</v>
      </c>
      <c r="J106">
        <v>138000</v>
      </c>
      <c r="K106" s="261" t="s">
        <v>1087</v>
      </c>
      <c r="L106">
        <v>35075</v>
      </c>
      <c r="M106">
        <v>1</v>
      </c>
      <c r="N106">
        <v>2</v>
      </c>
      <c r="O106">
        <v>35075</v>
      </c>
      <c r="P106" s="261" t="s">
        <v>2193</v>
      </c>
      <c r="Q106">
        <v>55116.855000000003</v>
      </c>
      <c r="R106">
        <v>158700</v>
      </c>
      <c r="S106">
        <v>533232</v>
      </c>
      <c r="T106">
        <v>185192.63279999999</v>
      </c>
      <c r="U106">
        <v>348039.36719999998</v>
      </c>
      <c r="V106">
        <v>0.65269782608695648</v>
      </c>
      <c r="W106" s="261" t="s">
        <v>1575</v>
      </c>
      <c r="X106">
        <v>4</v>
      </c>
      <c r="Y106">
        <v>0.6716186956521738</v>
      </c>
    </row>
    <row r="107" spans="1:25" x14ac:dyDescent="0.25">
      <c r="A107" s="261" t="s">
        <v>1196</v>
      </c>
      <c r="B107" s="261" t="s">
        <v>1773</v>
      </c>
      <c r="C107" s="261" t="s">
        <v>1068</v>
      </c>
      <c r="D107" s="261" t="s">
        <v>1727</v>
      </c>
      <c r="E107" s="261" t="s">
        <v>1110</v>
      </c>
      <c r="F107">
        <v>1.92</v>
      </c>
      <c r="G107" s="215">
        <v>46084</v>
      </c>
      <c r="H107" s="261" t="s">
        <v>987</v>
      </c>
      <c r="I107" s="261" t="s">
        <v>1032</v>
      </c>
      <c r="J107">
        <v>138000</v>
      </c>
      <c r="K107" s="261" t="s">
        <v>1087</v>
      </c>
      <c r="L107">
        <v>35075</v>
      </c>
      <c r="M107">
        <v>1</v>
      </c>
      <c r="N107">
        <v>2</v>
      </c>
      <c r="O107">
        <v>35075</v>
      </c>
      <c r="P107" s="261" t="s">
        <v>2193</v>
      </c>
      <c r="Q107">
        <v>55116.855000000003</v>
      </c>
      <c r="R107">
        <v>158700</v>
      </c>
      <c r="S107">
        <v>304704</v>
      </c>
      <c r="T107">
        <v>105824.3616</v>
      </c>
      <c r="U107">
        <v>198879.6384</v>
      </c>
      <c r="V107">
        <v>0.65269782608695648</v>
      </c>
      <c r="W107" s="261" t="s">
        <v>1575</v>
      </c>
      <c r="X107">
        <v>4</v>
      </c>
      <c r="Y107">
        <v>0.6716186956521738</v>
      </c>
    </row>
    <row r="108" spans="1:25" x14ac:dyDescent="0.25">
      <c r="A108" s="261" t="s">
        <v>1196</v>
      </c>
      <c r="B108" s="261" t="s">
        <v>1774</v>
      </c>
      <c r="C108" s="261" t="s">
        <v>1068</v>
      </c>
      <c r="D108" s="261" t="s">
        <v>1727</v>
      </c>
      <c r="E108" s="261" t="s">
        <v>1110</v>
      </c>
      <c r="F108">
        <v>1.2</v>
      </c>
      <c r="G108" s="215">
        <v>46084</v>
      </c>
      <c r="H108" s="261" t="s">
        <v>987</v>
      </c>
      <c r="I108" s="261" t="s">
        <v>1032</v>
      </c>
      <c r="J108">
        <v>138000</v>
      </c>
      <c r="K108" s="261" t="s">
        <v>1087</v>
      </c>
      <c r="L108">
        <v>35075</v>
      </c>
      <c r="M108">
        <v>1</v>
      </c>
      <c r="N108">
        <v>2</v>
      </c>
      <c r="O108">
        <v>35075</v>
      </c>
      <c r="P108" s="261" t="s">
        <v>2193</v>
      </c>
      <c r="Q108">
        <v>55116.855000000003</v>
      </c>
      <c r="R108">
        <v>158700</v>
      </c>
      <c r="S108">
        <v>190440</v>
      </c>
      <c r="T108">
        <v>66140.225999999995</v>
      </c>
      <c r="U108">
        <v>124299.774</v>
      </c>
      <c r="V108">
        <v>0.65269782608695659</v>
      </c>
      <c r="W108" s="261" t="s">
        <v>1575</v>
      </c>
      <c r="X108">
        <v>4</v>
      </c>
      <c r="Y108">
        <v>0.67161869565217391</v>
      </c>
    </row>
    <row r="109" spans="1:25" x14ac:dyDescent="0.25">
      <c r="A109" s="261" t="s">
        <v>1196</v>
      </c>
      <c r="B109" s="261" t="s">
        <v>1775</v>
      </c>
      <c r="C109" s="261" t="s">
        <v>1068</v>
      </c>
      <c r="D109" s="261" t="s">
        <v>1727</v>
      </c>
      <c r="E109" s="261" t="s">
        <v>1110</v>
      </c>
      <c r="F109">
        <v>1.44</v>
      </c>
      <c r="G109" s="215">
        <v>46084</v>
      </c>
      <c r="H109" s="261" t="s">
        <v>987</v>
      </c>
      <c r="I109" s="261" t="s">
        <v>1032</v>
      </c>
      <c r="J109">
        <v>138000</v>
      </c>
      <c r="K109" s="261" t="s">
        <v>1087</v>
      </c>
      <c r="L109">
        <v>35075</v>
      </c>
      <c r="M109">
        <v>1</v>
      </c>
      <c r="N109">
        <v>2</v>
      </c>
      <c r="O109">
        <v>35075</v>
      </c>
      <c r="P109" s="261" t="s">
        <v>2193</v>
      </c>
      <c r="Q109">
        <v>55116.855000000003</v>
      </c>
      <c r="R109">
        <v>158700</v>
      </c>
      <c r="S109">
        <v>228528</v>
      </c>
      <c r="T109">
        <v>79368.271200000003</v>
      </c>
      <c r="U109">
        <v>149159.72879999998</v>
      </c>
      <c r="V109">
        <v>0.65269782608695648</v>
      </c>
      <c r="W109" s="261" t="s">
        <v>1575</v>
      </c>
      <c r="X109">
        <v>4</v>
      </c>
      <c r="Y109">
        <v>0.6716186956521738</v>
      </c>
    </row>
    <row r="110" spans="1:25" x14ac:dyDescent="0.25">
      <c r="A110" s="261" t="s">
        <v>1196</v>
      </c>
      <c r="B110" s="261" t="s">
        <v>1776</v>
      </c>
      <c r="C110" s="261" t="s">
        <v>1068</v>
      </c>
      <c r="D110" s="261" t="s">
        <v>1727</v>
      </c>
      <c r="E110" s="261" t="s">
        <v>1110</v>
      </c>
      <c r="F110">
        <v>5.39</v>
      </c>
      <c r="G110" s="215">
        <v>46084</v>
      </c>
      <c r="H110" s="261" t="s">
        <v>987</v>
      </c>
      <c r="I110" s="261" t="s">
        <v>1032</v>
      </c>
      <c r="J110">
        <v>138000</v>
      </c>
      <c r="K110" s="261" t="s">
        <v>1087</v>
      </c>
      <c r="L110">
        <v>35075</v>
      </c>
      <c r="M110">
        <v>1</v>
      </c>
      <c r="N110">
        <v>2</v>
      </c>
      <c r="O110">
        <v>35075</v>
      </c>
      <c r="P110" s="261" t="s">
        <v>2193</v>
      </c>
      <c r="Q110">
        <v>55116.855000000003</v>
      </c>
      <c r="R110">
        <v>158700</v>
      </c>
      <c r="S110">
        <v>855393</v>
      </c>
      <c r="T110">
        <v>297079.84844999999</v>
      </c>
      <c r="U110">
        <v>558313.15155000007</v>
      </c>
      <c r="V110">
        <v>0.65269782608695659</v>
      </c>
      <c r="W110" s="261" t="s">
        <v>1575</v>
      </c>
      <c r="X110">
        <v>4</v>
      </c>
      <c r="Y110">
        <v>0.67161869565217391</v>
      </c>
    </row>
    <row r="111" spans="1:25" x14ac:dyDescent="0.25">
      <c r="A111" s="261" t="s">
        <v>1196</v>
      </c>
      <c r="B111" s="261" t="s">
        <v>1777</v>
      </c>
      <c r="C111" s="261" t="s">
        <v>1068</v>
      </c>
      <c r="D111" s="261" t="s">
        <v>1727</v>
      </c>
      <c r="E111" s="261" t="s">
        <v>1110</v>
      </c>
      <c r="F111">
        <v>9.9</v>
      </c>
      <c r="G111" s="215">
        <v>46084</v>
      </c>
      <c r="H111" s="261" t="s">
        <v>987</v>
      </c>
      <c r="I111" s="261" t="s">
        <v>1032</v>
      </c>
      <c r="J111">
        <v>138000</v>
      </c>
      <c r="K111" s="261" t="s">
        <v>1087</v>
      </c>
      <c r="L111">
        <v>35075</v>
      </c>
      <c r="M111">
        <v>1</v>
      </c>
      <c r="N111">
        <v>2</v>
      </c>
      <c r="O111">
        <v>35075</v>
      </c>
      <c r="P111" s="261" t="s">
        <v>2193</v>
      </c>
      <c r="Q111">
        <v>55116.855000000003</v>
      </c>
      <c r="R111">
        <v>158700</v>
      </c>
      <c r="S111">
        <v>1571130</v>
      </c>
      <c r="T111">
        <v>545656.86450000003</v>
      </c>
      <c r="U111">
        <v>1025473.1355</v>
      </c>
      <c r="V111">
        <v>0.65269782608695648</v>
      </c>
      <c r="W111" s="261" t="s">
        <v>1575</v>
      </c>
      <c r="X111">
        <v>4</v>
      </c>
      <c r="Y111">
        <v>0.6716186956521738</v>
      </c>
    </row>
    <row r="112" spans="1:25" x14ac:dyDescent="0.25">
      <c r="A112" s="261" t="s">
        <v>1196</v>
      </c>
      <c r="B112" s="261" t="s">
        <v>1778</v>
      </c>
      <c r="C112" s="261" t="s">
        <v>1068</v>
      </c>
      <c r="D112" s="261" t="s">
        <v>1727</v>
      </c>
      <c r="E112" s="261" t="s">
        <v>1110</v>
      </c>
      <c r="F112">
        <v>5.28</v>
      </c>
      <c r="G112" s="215">
        <v>46084</v>
      </c>
      <c r="H112" s="261" t="s">
        <v>987</v>
      </c>
      <c r="I112" s="261" t="s">
        <v>1032</v>
      </c>
      <c r="J112">
        <v>138000</v>
      </c>
      <c r="K112" s="261" t="s">
        <v>1087</v>
      </c>
      <c r="L112">
        <v>35075</v>
      </c>
      <c r="M112">
        <v>1</v>
      </c>
      <c r="N112">
        <v>2</v>
      </c>
      <c r="O112">
        <v>35075</v>
      </c>
      <c r="P112" s="261" t="s">
        <v>2193</v>
      </c>
      <c r="Q112">
        <v>55116.855000000003</v>
      </c>
      <c r="R112">
        <v>158700</v>
      </c>
      <c r="S112">
        <v>837936</v>
      </c>
      <c r="T112">
        <v>291016.99440000003</v>
      </c>
      <c r="U112">
        <v>546919.00560000003</v>
      </c>
      <c r="V112">
        <v>0.65269782608695659</v>
      </c>
      <c r="W112" s="261" t="s">
        <v>1575</v>
      </c>
      <c r="X112">
        <v>4</v>
      </c>
      <c r="Y112">
        <v>0.67161869565217391</v>
      </c>
    </row>
    <row r="113" spans="1:25" x14ac:dyDescent="0.25">
      <c r="A113" s="261" t="s">
        <v>1196</v>
      </c>
      <c r="B113" s="261" t="s">
        <v>1779</v>
      </c>
      <c r="C113" s="261" t="s">
        <v>1068</v>
      </c>
      <c r="D113" s="261" t="s">
        <v>1727</v>
      </c>
      <c r="E113" s="261" t="s">
        <v>1110</v>
      </c>
      <c r="F113">
        <v>31.68</v>
      </c>
      <c r="G113" s="215">
        <v>46084</v>
      </c>
      <c r="H113" s="261" t="s">
        <v>987</v>
      </c>
      <c r="I113" s="261" t="s">
        <v>1032</v>
      </c>
      <c r="J113">
        <v>138000</v>
      </c>
      <c r="K113" s="261" t="s">
        <v>1087</v>
      </c>
      <c r="L113">
        <v>35075</v>
      </c>
      <c r="M113">
        <v>1</v>
      </c>
      <c r="N113">
        <v>2</v>
      </c>
      <c r="O113">
        <v>35075</v>
      </c>
      <c r="P113" s="261" t="s">
        <v>2193</v>
      </c>
      <c r="Q113">
        <v>55116.855000000003</v>
      </c>
      <c r="R113">
        <v>158700</v>
      </c>
      <c r="S113">
        <v>5027616</v>
      </c>
      <c r="T113">
        <v>1746101.9664</v>
      </c>
      <c r="U113">
        <v>3281514.0335999997</v>
      </c>
      <c r="V113">
        <v>0.65269782608695648</v>
      </c>
      <c r="W113" s="261" t="s">
        <v>1575</v>
      </c>
      <c r="X113">
        <v>4</v>
      </c>
      <c r="Y113">
        <v>0.6716186956521738</v>
      </c>
    </row>
    <row r="114" spans="1:25" x14ac:dyDescent="0.25">
      <c r="A114" s="261" t="s">
        <v>1196</v>
      </c>
      <c r="B114" s="261" t="s">
        <v>1780</v>
      </c>
      <c r="C114" s="261" t="s">
        <v>1068</v>
      </c>
      <c r="D114" s="261" t="s">
        <v>1727</v>
      </c>
      <c r="E114" s="261" t="s">
        <v>1110</v>
      </c>
      <c r="F114">
        <v>19.36</v>
      </c>
      <c r="G114" s="215">
        <v>46084</v>
      </c>
      <c r="H114" s="261" t="s">
        <v>987</v>
      </c>
      <c r="I114" s="261" t="s">
        <v>1032</v>
      </c>
      <c r="J114">
        <v>138000</v>
      </c>
      <c r="K114" s="261" t="s">
        <v>1087</v>
      </c>
      <c r="L114">
        <v>35075</v>
      </c>
      <c r="M114">
        <v>1</v>
      </c>
      <c r="N114">
        <v>2</v>
      </c>
      <c r="O114">
        <v>35075</v>
      </c>
      <c r="P114" s="261" t="s">
        <v>2193</v>
      </c>
      <c r="Q114">
        <v>55116.855000000003</v>
      </c>
      <c r="R114">
        <v>158700</v>
      </c>
      <c r="S114">
        <v>3072432</v>
      </c>
      <c r="T114">
        <v>1067062.3128</v>
      </c>
      <c r="U114">
        <v>2005369.6872</v>
      </c>
      <c r="V114">
        <v>0.65269782608695659</v>
      </c>
      <c r="W114" s="261" t="s">
        <v>1575</v>
      </c>
      <c r="X114">
        <v>4</v>
      </c>
      <c r="Y114">
        <v>0.67161869565217391</v>
      </c>
    </row>
    <row r="115" spans="1:25" x14ac:dyDescent="0.25">
      <c r="A115" s="261" t="s">
        <v>1196</v>
      </c>
      <c r="B115" s="261" t="s">
        <v>1781</v>
      </c>
      <c r="C115" s="261" t="s">
        <v>1068</v>
      </c>
      <c r="D115" s="261" t="s">
        <v>1729</v>
      </c>
      <c r="E115" s="261" t="s">
        <v>1110</v>
      </c>
      <c r="F115">
        <v>1.44</v>
      </c>
      <c r="G115" s="215">
        <v>46084</v>
      </c>
      <c r="H115" s="261" t="s">
        <v>987</v>
      </c>
      <c r="I115" s="261" t="s">
        <v>1032</v>
      </c>
      <c r="J115">
        <v>138000</v>
      </c>
      <c r="K115" s="261" t="s">
        <v>1087</v>
      </c>
      <c r="L115">
        <v>35075</v>
      </c>
      <c r="M115">
        <v>1</v>
      </c>
      <c r="N115">
        <v>2</v>
      </c>
      <c r="O115">
        <v>35075</v>
      </c>
      <c r="P115" s="261" t="s">
        <v>2193</v>
      </c>
      <c r="Q115">
        <v>55116.855000000003</v>
      </c>
      <c r="R115">
        <v>158700</v>
      </c>
      <c r="S115">
        <v>228528</v>
      </c>
      <c r="T115">
        <v>79368.271200000003</v>
      </c>
      <c r="U115">
        <v>149159.72879999998</v>
      </c>
      <c r="V115">
        <v>0.65269782608695648</v>
      </c>
      <c r="W115" s="261" t="s">
        <v>1575</v>
      </c>
      <c r="X115">
        <v>4</v>
      </c>
      <c r="Y115">
        <v>0.6716186956521738</v>
      </c>
    </row>
    <row r="116" spans="1:25" x14ac:dyDescent="0.25">
      <c r="A116" s="261" t="s">
        <v>1196</v>
      </c>
      <c r="B116" s="261" t="s">
        <v>1782</v>
      </c>
      <c r="C116" s="261" t="s">
        <v>1068</v>
      </c>
      <c r="D116" s="261" t="s">
        <v>1729</v>
      </c>
      <c r="E116" s="261" t="s">
        <v>1110</v>
      </c>
      <c r="F116">
        <v>8.94</v>
      </c>
      <c r="G116" s="215">
        <v>46084</v>
      </c>
      <c r="H116" s="261" t="s">
        <v>987</v>
      </c>
      <c r="I116" s="261" t="s">
        <v>1032</v>
      </c>
      <c r="J116">
        <v>138000</v>
      </c>
      <c r="K116" s="261" t="s">
        <v>1087</v>
      </c>
      <c r="L116">
        <v>35075</v>
      </c>
      <c r="M116">
        <v>1</v>
      </c>
      <c r="N116">
        <v>2</v>
      </c>
      <c r="O116">
        <v>35075</v>
      </c>
      <c r="P116" s="261" t="s">
        <v>2193</v>
      </c>
      <c r="Q116">
        <v>55116.855000000003</v>
      </c>
      <c r="R116">
        <v>158700</v>
      </c>
      <c r="S116">
        <v>1418778</v>
      </c>
      <c r="T116">
        <v>492744.68369999999</v>
      </c>
      <c r="U116">
        <v>926033.31630000006</v>
      </c>
      <c r="V116">
        <v>0.65269782608695659</v>
      </c>
      <c r="W116" s="261" t="s">
        <v>1575</v>
      </c>
      <c r="X116">
        <v>4</v>
      </c>
      <c r="Y116">
        <v>0.67161869565217391</v>
      </c>
    </row>
    <row r="117" spans="1:25" x14ac:dyDescent="0.25">
      <c r="A117" s="261" t="s">
        <v>1196</v>
      </c>
      <c r="B117" s="261" t="s">
        <v>1783</v>
      </c>
      <c r="C117" s="261" t="s">
        <v>1068</v>
      </c>
      <c r="D117" s="261" t="s">
        <v>1729</v>
      </c>
      <c r="E117" s="261" t="s">
        <v>1110</v>
      </c>
      <c r="F117">
        <v>7.92</v>
      </c>
      <c r="G117" s="215">
        <v>46084</v>
      </c>
      <c r="H117" s="261" t="s">
        <v>987</v>
      </c>
      <c r="I117" s="261" t="s">
        <v>1032</v>
      </c>
      <c r="J117">
        <v>138000</v>
      </c>
      <c r="K117" s="261" t="s">
        <v>1087</v>
      </c>
      <c r="L117">
        <v>35075</v>
      </c>
      <c r="M117">
        <v>1</v>
      </c>
      <c r="N117">
        <v>2</v>
      </c>
      <c r="O117">
        <v>35075</v>
      </c>
      <c r="P117" s="261" t="s">
        <v>2193</v>
      </c>
      <c r="Q117">
        <v>55116.855000000003</v>
      </c>
      <c r="R117">
        <v>158700</v>
      </c>
      <c r="S117">
        <v>1256904</v>
      </c>
      <c r="T117">
        <v>436525.49160000001</v>
      </c>
      <c r="U117">
        <v>820378.50839999993</v>
      </c>
      <c r="V117">
        <v>0.65269782608695648</v>
      </c>
      <c r="W117" s="261" t="s">
        <v>1575</v>
      </c>
      <c r="X117">
        <v>4</v>
      </c>
      <c r="Y117">
        <v>0.6716186956521738</v>
      </c>
    </row>
    <row r="118" spans="1:25" x14ac:dyDescent="0.25">
      <c r="A118" s="261" t="s">
        <v>1196</v>
      </c>
      <c r="B118" s="261" t="s">
        <v>1773</v>
      </c>
      <c r="C118" s="261" t="s">
        <v>1068</v>
      </c>
      <c r="D118" s="261" t="s">
        <v>1729</v>
      </c>
      <c r="E118" s="261" t="s">
        <v>1110</v>
      </c>
      <c r="F118">
        <v>17.28</v>
      </c>
      <c r="G118" s="215">
        <v>46084</v>
      </c>
      <c r="H118" s="261" t="s">
        <v>987</v>
      </c>
      <c r="I118" s="261" t="s">
        <v>1032</v>
      </c>
      <c r="J118">
        <v>138000</v>
      </c>
      <c r="K118" s="261" t="s">
        <v>1087</v>
      </c>
      <c r="L118">
        <v>35075</v>
      </c>
      <c r="M118">
        <v>1</v>
      </c>
      <c r="N118">
        <v>2</v>
      </c>
      <c r="O118">
        <v>35075</v>
      </c>
      <c r="P118" s="261" t="s">
        <v>2193</v>
      </c>
      <c r="Q118">
        <v>55116.855000000003</v>
      </c>
      <c r="R118">
        <v>158700</v>
      </c>
      <c r="S118">
        <v>2742336</v>
      </c>
      <c r="T118">
        <v>952419.25440000009</v>
      </c>
      <c r="U118">
        <v>1789916.7456</v>
      </c>
      <c r="V118">
        <v>0.65269782608695648</v>
      </c>
      <c r="W118" s="261" t="s">
        <v>1575</v>
      </c>
      <c r="X118">
        <v>4</v>
      </c>
      <c r="Y118">
        <v>0.6716186956521738</v>
      </c>
    </row>
    <row r="119" spans="1:25" x14ac:dyDescent="0.25">
      <c r="A119" s="261" t="s">
        <v>1196</v>
      </c>
      <c r="B119" s="261" t="s">
        <v>1774</v>
      </c>
      <c r="C119" s="261" t="s">
        <v>1068</v>
      </c>
      <c r="D119" s="261" t="s">
        <v>1729</v>
      </c>
      <c r="E119" s="261" t="s">
        <v>1110</v>
      </c>
      <c r="F119">
        <v>1.2</v>
      </c>
      <c r="G119" s="215">
        <v>46084</v>
      </c>
      <c r="H119" s="261" t="s">
        <v>987</v>
      </c>
      <c r="I119" s="261" t="s">
        <v>1032</v>
      </c>
      <c r="J119">
        <v>138000</v>
      </c>
      <c r="K119" s="261" t="s">
        <v>1087</v>
      </c>
      <c r="L119">
        <v>35075</v>
      </c>
      <c r="M119">
        <v>1</v>
      </c>
      <c r="N119">
        <v>2</v>
      </c>
      <c r="O119">
        <v>35075</v>
      </c>
      <c r="P119" s="261" t="s">
        <v>2193</v>
      </c>
      <c r="Q119">
        <v>55116.855000000003</v>
      </c>
      <c r="R119">
        <v>158700</v>
      </c>
      <c r="S119">
        <v>190440</v>
      </c>
      <c r="T119">
        <v>66140.225999999995</v>
      </c>
      <c r="U119">
        <v>124299.774</v>
      </c>
      <c r="V119">
        <v>0.65269782608695659</v>
      </c>
      <c r="W119" s="261" t="s">
        <v>1575</v>
      </c>
      <c r="X119">
        <v>4</v>
      </c>
      <c r="Y119">
        <v>0.67161869565217391</v>
      </c>
    </row>
    <row r="120" spans="1:25" x14ac:dyDescent="0.25">
      <c r="A120" s="261" t="s">
        <v>1196</v>
      </c>
      <c r="B120" s="261" t="s">
        <v>1775</v>
      </c>
      <c r="C120" s="261" t="s">
        <v>1068</v>
      </c>
      <c r="D120" s="261" t="s">
        <v>1729</v>
      </c>
      <c r="E120" s="261" t="s">
        <v>1110</v>
      </c>
      <c r="F120">
        <v>2.52</v>
      </c>
      <c r="G120" s="215">
        <v>46084</v>
      </c>
      <c r="H120" s="261" t="s">
        <v>987</v>
      </c>
      <c r="I120" s="261" t="s">
        <v>1032</v>
      </c>
      <c r="J120">
        <v>138000</v>
      </c>
      <c r="K120" s="261" t="s">
        <v>1087</v>
      </c>
      <c r="L120">
        <v>35075</v>
      </c>
      <c r="M120">
        <v>1</v>
      </c>
      <c r="N120">
        <v>2</v>
      </c>
      <c r="O120">
        <v>35075</v>
      </c>
      <c r="P120" s="261" t="s">
        <v>2193</v>
      </c>
      <c r="Q120">
        <v>55116.855000000003</v>
      </c>
      <c r="R120">
        <v>158700</v>
      </c>
      <c r="S120">
        <v>399924</v>
      </c>
      <c r="T120">
        <v>138894.47460000002</v>
      </c>
      <c r="U120">
        <v>261029.52539999998</v>
      </c>
      <c r="V120">
        <v>0.65269782608695648</v>
      </c>
      <c r="W120" s="261" t="s">
        <v>1575</v>
      </c>
      <c r="X120">
        <v>4</v>
      </c>
      <c r="Y120">
        <v>0.6716186956521738</v>
      </c>
    </row>
    <row r="121" spans="1:25" x14ac:dyDescent="0.25">
      <c r="A121" s="261" t="s">
        <v>1196</v>
      </c>
      <c r="B121" s="261" t="s">
        <v>1784</v>
      </c>
      <c r="C121" s="261" t="s">
        <v>1068</v>
      </c>
      <c r="D121" s="261" t="s">
        <v>1729</v>
      </c>
      <c r="E121" s="261" t="s">
        <v>1110</v>
      </c>
      <c r="F121">
        <v>33</v>
      </c>
      <c r="G121" s="215">
        <v>46084</v>
      </c>
      <c r="H121" s="261" t="s">
        <v>987</v>
      </c>
      <c r="I121" s="261" t="s">
        <v>1032</v>
      </c>
      <c r="J121">
        <v>138000</v>
      </c>
      <c r="K121" s="261" t="s">
        <v>1087</v>
      </c>
      <c r="L121">
        <v>35075</v>
      </c>
      <c r="M121">
        <v>1</v>
      </c>
      <c r="N121">
        <v>2</v>
      </c>
      <c r="O121">
        <v>35075</v>
      </c>
      <c r="P121" s="261" t="s">
        <v>2193</v>
      </c>
      <c r="Q121">
        <v>55116.855000000003</v>
      </c>
      <c r="R121">
        <v>158700</v>
      </c>
      <c r="S121">
        <v>5237100</v>
      </c>
      <c r="T121">
        <v>1818856.2150000001</v>
      </c>
      <c r="U121">
        <v>3418243.7850000001</v>
      </c>
      <c r="V121">
        <v>0.65269782608695659</v>
      </c>
      <c r="W121" s="261" t="s">
        <v>1575</v>
      </c>
      <c r="X121">
        <v>4</v>
      </c>
      <c r="Y121">
        <v>0.67161869565217391</v>
      </c>
    </row>
    <row r="122" spans="1:25" x14ac:dyDescent="0.25">
      <c r="A122" s="261" t="s">
        <v>1196</v>
      </c>
      <c r="B122" s="261" t="s">
        <v>1779</v>
      </c>
      <c r="C122" s="261" t="s">
        <v>1068</v>
      </c>
      <c r="D122" s="261" t="s">
        <v>1729</v>
      </c>
      <c r="E122" s="261" t="s">
        <v>1110</v>
      </c>
      <c r="F122">
        <v>39.6</v>
      </c>
      <c r="G122" s="215">
        <v>46084</v>
      </c>
      <c r="H122" s="261" t="s">
        <v>987</v>
      </c>
      <c r="I122" s="261" t="s">
        <v>1032</v>
      </c>
      <c r="J122">
        <v>138000</v>
      </c>
      <c r="K122" s="261" t="s">
        <v>1087</v>
      </c>
      <c r="L122">
        <v>35075</v>
      </c>
      <c r="M122">
        <v>1</v>
      </c>
      <c r="N122">
        <v>2</v>
      </c>
      <c r="O122">
        <v>35075</v>
      </c>
      <c r="P122" s="261" t="s">
        <v>2193</v>
      </c>
      <c r="Q122">
        <v>55116.855000000003</v>
      </c>
      <c r="R122">
        <v>158700</v>
      </c>
      <c r="S122">
        <v>6284520</v>
      </c>
      <c r="T122">
        <v>2182627.4580000001</v>
      </c>
      <c r="U122">
        <v>4101892.5419999999</v>
      </c>
      <c r="V122">
        <v>0.65269782608695648</v>
      </c>
      <c r="W122" s="261" t="s">
        <v>1575</v>
      </c>
      <c r="X122">
        <v>4</v>
      </c>
      <c r="Y122">
        <v>0.6716186956521738</v>
      </c>
    </row>
    <row r="123" spans="1:25" x14ac:dyDescent="0.25">
      <c r="A123" s="261" t="s">
        <v>1196</v>
      </c>
      <c r="B123" s="261" t="s">
        <v>1780</v>
      </c>
      <c r="C123" s="261" t="s">
        <v>1068</v>
      </c>
      <c r="D123" s="261" t="s">
        <v>1729</v>
      </c>
      <c r="E123" s="261" t="s">
        <v>1110</v>
      </c>
      <c r="F123">
        <v>28.16</v>
      </c>
      <c r="G123" s="215">
        <v>46084</v>
      </c>
      <c r="H123" s="261" t="s">
        <v>987</v>
      </c>
      <c r="I123" s="261" t="s">
        <v>1032</v>
      </c>
      <c r="J123">
        <v>138000</v>
      </c>
      <c r="K123" s="261" t="s">
        <v>1087</v>
      </c>
      <c r="L123">
        <v>35075</v>
      </c>
      <c r="M123">
        <v>1</v>
      </c>
      <c r="N123">
        <v>2</v>
      </c>
      <c r="O123">
        <v>35075</v>
      </c>
      <c r="P123" s="261" t="s">
        <v>2193</v>
      </c>
      <c r="Q123">
        <v>55116.855000000003</v>
      </c>
      <c r="R123">
        <v>158700</v>
      </c>
      <c r="S123">
        <v>4468992</v>
      </c>
      <c r="T123">
        <v>1552090.6368000002</v>
      </c>
      <c r="U123">
        <v>2916901.3631999996</v>
      </c>
      <c r="V123">
        <v>0.65269782608695637</v>
      </c>
      <c r="W123" s="261" t="s">
        <v>1575</v>
      </c>
      <c r="X123">
        <v>4</v>
      </c>
      <c r="Y123">
        <v>0.6716186956521738</v>
      </c>
    </row>
    <row r="124" spans="1:25" x14ac:dyDescent="0.25">
      <c r="A124" s="261" t="s">
        <v>1196</v>
      </c>
      <c r="B124" s="261" t="s">
        <v>1785</v>
      </c>
      <c r="C124" s="261" t="s">
        <v>1068</v>
      </c>
      <c r="D124" s="261" t="s">
        <v>1730</v>
      </c>
      <c r="E124" s="261" t="s">
        <v>1110</v>
      </c>
      <c r="F124">
        <v>1.8</v>
      </c>
      <c r="G124" s="215">
        <v>46084</v>
      </c>
      <c r="H124" s="261" t="s">
        <v>987</v>
      </c>
      <c r="I124" s="261" t="s">
        <v>1032</v>
      </c>
      <c r="J124">
        <v>138000</v>
      </c>
      <c r="K124" s="261" t="s">
        <v>1087</v>
      </c>
      <c r="L124">
        <v>35075</v>
      </c>
      <c r="M124">
        <v>1</v>
      </c>
      <c r="N124">
        <v>2</v>
      </c>
      <c r="O124">
        <v>35075</v>
      </c>
      <c r="P124" s="261" t="s">
        <v>2193</v>
      </c>
      <c r="Q124">
        <v>55116.855000000003</v>
      </c>
      <c r="R124">
        <v>158700</v>
      </c>
      <c r="S124">
        <v>285660</v>
      </c>
      <c r="T124">
        <v>99210.339000000007</v>
      </c>
      <c r="U124">
        <v>186449.66099999999</v>
      </c>
      <c r="V124">
        <v>0.65269782608695648</v>
      </c>
      <c r="W124" s="261" t="s">
        <v>1575</v>
      </c>
      <c r="X124">
        <v>4</v>
      </c>
      <c r="Y124">
        <v>0.6716186956521738</v>
      </c>
    </row>
    <row r="125" spans="1:25" x14ac:dyDescent="0.25">
      <c r="A125" s="261" t="s">
        <v>1196</v>
      </c>
      <c r="B125" s="261" t="s">
        <v>1773</v>
      </c>
      <c r="C125" s="261" t="s">
        <v>1068</v>
      </c>
      <c r="D125" s="261" t="s">
        <v>1730</v>
      </c>
      <c r="E125" s="261" t="s">
        <v>1110</v>
      </c>
      <c r="F125">
        <v>17.28</v>
      </c>
      <c r="G125" s="215">
        <v>46084</v>
      </c>
      <c r="H125" s="261" t="s">
        <v>987</v>
      </c>
      <c r="I125" s="261" t="s">
        <v>1032</v>
      </c>
      <c r="J125">
        <v>138000</v>
      </c>
      <c r="K125" s="261" t="s">
        <v>1087</v>
      </c>
      <c r="L125">
        <v>35075</v>
      </c>
      <c r="M125">
        <v>1</v>
      </c>
      <c r="N125">
        <v>2</v>
      </c>
      <c r="O125">
        <v>35075</v>
      </c>
      <c r="P125" s="261" t="s">
        <v>2193</v>
      </c>
      <c r="Q125">
        <v>55116.855000000003</v>
      </c>
      <c r="R125">
        <v>158700</v>
      </c>
      <c r="S125">
        <v>2742336</v>
      </c>
      <c r="T125">
        <v>952419.25440000009</v>
      </c>
      <c r="U125">
        <v>1789916.7456</v>
      </c>
      <c r="V125">
        <v>0.65269782608695648</v>
      </c>
      <c r="W125" s="261" t="s">
        <v>1575</v>
      </c>
      <c r="X125">
        <v>4</v>
      </c>
      <c r="Y125">
        <v>0.6716186956521738</v>
      </c>
    </row>
    <row r="126" spans="1:25" x14ac:dyDescent="0.25">
      <c r="A126" s="261" t="s">
        <v>1196</v>
      </c>
      <c r="B126" s="261" t="s">
        <v>1774</v>
      </c>
      <c r="C126" s="261" t="s">
        <v>1068</v>
      </c>
      <c r="D126" s="261" t="s">
        <v>1730</v>
      </c>
      <c r="E126" s="261" t="s">
        <v>1110</v>
      </c>
      <c r="F126">
        <v>3.6</v>
      </c>
      <c r="G126" s="215">
        <v>46084</v>
      </c>
      <c r="H126" s="261" t="s">
        <v>987</v>
      </c>
      <c r="I126" s="261" t="s">
        <v>1032</v>
      </c>
      <c r="J126">
        <v>138000</v>
      </c>
      <c r="K126" s="261" t="s">
        <v>1087</v>
      </c>
      <c r="L126">
        <v>35075</v>
      </c>
      <c r="M126">
        <v>1</v>
      </c>
      <c r="N126">
        <v>2</v>
      </c>
      <c r="O126">
        <v>35075</v>
      </c>
      <c r="P126" s="261" t="s">
        <v>2193</v>
      </c>
      <c r="Q126">
        <v>55116.855000000003</v>
      </c>
      <c r="R126">
        <v>158700</v>
      </c>
      <c r="S126">
        <v>571320</v>
      </c>
      <c r="T126">
        <v>198420.67800000001</v>
      </c>
      <c r="U126">
        <v>372899.32199999999</v>
      </c>
      <c r="V126">
        <v>0.65269782608695648</v>
      </c>
      <c r="W126" s="261" t="s">
        <v>1575</v>
      </c>
      <c r="X126">
        <v>4</v>
      </c>
      <c r="Y126">
        <v>0.6716186956521738</v>
      </c>
    </row>
    <row r="127" spans="1:25" x14ac:dyDescent="0.25">
      <c r="A127" s="261" t="s">
        <v>1196</v>
      </c>
      <c r="B127" s="261" t="s">
        <v>1775</v>
      </c>
      <c r="C127" s="261" t="s">
        <v>1068</v>
      </c>
      <c r="D127" s="261" t="s">
        <v>1730</v>
      </c>
      <c r="E127" s="261" t="s">
        <v>1110</v>
      </c>
      <c r="F127">
        <v>2.52</v>
      </c>
      <c r="G127" s="215">
        <v>46084</v>
      </c>
      <c r="H127" s="261" t="s">
        <v>987</v>
      </c>
      <c r="I127" s="261" t="s">
        <v>1032</v>
      </c>
      <c r="J127">
        <v>138000</v>
      </c>
      <c r="K127" s="261" t="s">
        <v>1087</v>
      </c>
      <c r="L127">
        <v>35075</v>
      </c>
      <c r="M127">
        <v>1</v>
      </c>
      <c r="N127">
        <v>2</v>
      </c>
      <c r="O127">
        <v>35075</v>
      </c>
      <c r="P127" s="261" t="s">
        <v>2193</v>
      </c>
      <c r="Q127">
        <v>55116.855000000003</v>
      </c>
      <c r="R127">
        <v>158700</v>
      </c>
      <c r="S127">
        <v>399924</v>
      </c>
      <c r="T127">
        <v>138894.47460000002</v>
      </c>
      <c r="U127">
        <v>261029.52539999998</v>
      </c>
      <c r="V127">
        <v>0.65269782608695648</v>
      </c>
      <c r="W127" s="261" t="s">
        <v>1575</v>
      </c>
      <c r="X127">
        <v>4</v>
      </c>
      <c r="Y127">
        <v>0.6716186956521738</v>
      </c>
    </row>
    <row r="128" spans="1:25" x14ac:dyDescent="0.25">
      <c r="A128" s="261" t="s">
        <v>1196</v>
      </c>
      <c r="B128" s="261" t="s">
        <v>1784</v>
      </c>
      <c r="C128" s="261" t="s">
        <v>1068</v>
      </c>
      <c r="D128" s="261" t="s">
        <v>1730</v>
      </c>
      <c r="E128" s="261" t="s">
        <v>1110</v>
      </c>
      <c r="F128">
        <v>27.5</v>
      </c>
      <c r="G128" s="215">
        <v>46084</v>
      </c>
      <c r="H128" s="261" t="s">
        <v>987</v>
      </c>
      <c r="I128" s="261" t="s">
        <v>1032</v>
      </c>
      <c r="J128">
        <v>138000</v>
      </c>
      <c r="K128" s="261" t="s">
        <v>1087</v>
      </c>
      <c r="L128">
        <v>35075</v>
      </c>
      <c r="M128">
        <v>1</v>
      </c>
      <c r="N128">
        <v>2</v>
      </c>
      <c r="O128">
        <v>35075</v>
      </c>
      <c r="P128" s="261" t="s">
        <v>2193</v>
      </c>
      <c r="Q128">
        <v>55116.855000000003</v>
      </c>
      <c r="R128">
        <v>158700</v>
      </c>
      <c r="S128">
        <v>4364250</v>
      </c>
      <c r="T128">
        <v>1515713.5125000002</v>
      </c>
      <c r="U128">
        <v>2848536.4874999998</v>
      </c>
      <c r="V128">
        <v>0.65269782608695648</v>
      </c>
      <c r="W128" s="261" t="s">
        <v>1575</v>
      </c>
      <c r="X128">
        <v>4</v>
      </c>
      <c r="Y128">
        <v>0.6716186956521738</v>
      </c>
    </row>
    <row r="129" spans="1:25" x14ac:dyDescent="0.25">
      <c r="A129" s="261" t="s">
        <v>1196</v>
      </c>
      <c r="B129" s="261" t="s">
        <v>1777</v>
      </c>
      <c r="C129" s="261" t="s">
        <v>1068</v>
      </c>
      <c r="D129" s="261" t="s">
        <v>1730</v>
      </c>
      <c r="E129" s="261" t="s">
        <v>1110</v>
      </c>
      <c r="F129">
        <v>39.6</v>
      </c>
      <c r="G129" s="215">
        <v>46084</v>
      </c>
      <c r="H129" s="261" t="s">
        <v>987</v>
      </c>
      <c r="I129" s="261" t="s">
        <v>1032</v>
      </c>
      <c r="J129">
        <v>138000</v>
      </c>
      <c r="K129" s="261" t="s">
        <v>1087</v>
      </c>
      <c r="L129">
        <v>35075</v>
      </c>
      <c r="M129">
        <v>1</v>
      </c>
      <c r="N129">
        <v>2</v>
      </c>
      <c r="O129">
        <v>35075</v>
      </c>
      <c r="P129" s="261" t="s">
        <v>2193</v>
      </c>
      <c r="Q129">
        <v>55116.855000000003</v>
      </c>
      <c r="R129">
        <v>158700</v>
      </c>
      <c r="S129">
        <v>6284520</v>
      </c>
      <c r="T129">
        <v>2182627.4580000001</v>
      </c>
      <c r="U129">
        <v>4101892.5419999999</v>
      </c>
      <c r="V129">
        <v>0.65269782608695648</v>
      </c>
      <c r="W129" s="261" t="s">
        <v>1575</v>
      </c>
      <c r="X129">
        <v>4</v>
      </c>
      <c r="Y129">
        <v>0.6716186956521738</v>
      </c>
    </row>
    <row r="130" spans="1:25" x14ac:dyDescent="0.25">
      <c r="A130" s="261" t="s">
        <v>1196</v>
      </c>
      <c r="B130" s="261" t="s">
        <v>1778</v>
      </c>
      <c r="C130" s="261" t="s">
        <v>1068</v>
      </c>
      <c r="D130" s="261" t="s">
        <v>1730</v>
      </c>
      <c r="E130" s="261" t="s">
        <v>1110</v>
      </c>
      <c r="F130">
        <v>10.56</v>
      </c>
      <c r="G130" s="215">
        <v>46084</v>
      </c>
      <c r="H130" s="261" t="s">
        <v>987</v>
      </c>
      <c r="I130" s="261" t="s">
        <v>1032</v>
      </c>
      <c r="J130">
        <v>138000</v>
      </c>
      <c r="K130" s="261" t="s">
        <v>1087</v>
      </c>
      <c r="L130">
        <v>35075</v>
      </c>
      <c r="M130">
        <v>1</v>
      </c>
      <c r="N130">
        <v>2</v>
      </c>
      <c r="O130">
        <v>35075</v>
      </c>
      <c r="P130" s="261" t="s">
        <v>2193</v>
      </c>
      <c r="Q130">
        <v>55116.855000000003</v>
      </c>
      <c r="R130">
        <v>158700</v>
      </c>
      <c r="S130">
        <v>1675872</v>
      </c>
      <c r="T130">
        <v>582033.98880000005</v>
      </c>
      <c r="U130">
        <v>1093838.0112000001</v>
      </c>
      <c r="V130">
        <v>0.65269782608695659</v>
      </c>
      <c r="W130" s="261" t="s">
        <v>1575</v>
      </c>
      <c r="X130">
        <v>4</v>
      </c>
      <c r="Y130">
        <v>0.67161869565217391</v>
      </c>
    </row>
    <row r="131" spans="1:25" x14ac:dyDescent="0.25">
      <c r="A131" s="261" t="s">
        <v>1196</v>
      </c>
      <c r="B131" s="261" t="s">
        <v>1779</v>
      </c>
      <c r="C131" s="261" t="s">
        <v>1068</v>
      </c>
      <c r="D131" s="261" t="s">
        <v>1730</v>
      </c>
      <c r="E131" s="261" t="s">
        <v>1110</v>
      </c>
      <c r="F131">
        <v>35.64</v>
      </c>
      <c r="G131" s="215">
        <v>46084</v>
      </c>
      <c r="H131" s="261" t="s">
        <v>987</v>
      </c>
      <c r="I131" s="261" t="s">
        <v>1032</v>
      </c>
      <c r="J131">
        <v>138000</v>
      </c>
      <c r="K131" s="261" t="s">
        <v>1087</v>
      </c>
      <c r="L131">
        <v>35075</v>
      </c>
      <c r="M131">
        <v>1</v>
      </c>
      <c r="N131">
        <v>2</v>
      </c>
      <c r="O131">
        <v>35075</v>
      </c>
      <c r="P131" s="261" t="s">
        <v>2193</v>
      </c>
      <c r="Q131">
        <v>55116.855000000003</v>
      </c>
      <c r="R131">
        <v>158700</v>
      </c>
      <c r="S131">
        <v>5656068</v>
      </c>
      <c r="T131">
        <v>1964364.7122000002</v>
      </c>
      <c r="U131">
        <v>3691703.2878</v>
      </c>
      <c r="V131">
        <v>0.65269782608695648</v>
      </c>
      <c r="W131" s="261" t="s">
        <v>1575</v>
      </c>
      <c r="X131">
        <v>4</v>
      </c>
      <c r="Y131">
        <v>0.6716186956521738</v>
      </c>
    </row>
    <row r="132" spans="1:25" x14ac:dyDescent="0.25">
      <c r="A132" s="261" t="s">
        <v>1196</v>
      </c>
      <c r="B132" s="261" t="s">
        <v>1780</v>
      </c>
      <c r="C132" s="261" t="s">
        <v>1068</v>
      </c>
      <c r="D132" s="261" t="s">
        <v>1730</v>
      </c>
      <c r="E132" s="261" t="s">
        <v>1110</v>
      </c>
      <c r="F132">
        <v>12.32</v>
      </c>
      <c r="G132" s="215">
        <v>46084</v>
      </c>
      <c r="H132" s="261" t="s">
        <v>987</v>
      </c>
      <c r="I132" s="261" t="s">
        <v>1032</v>
      </c>
      <c r="J132">
        <v>138000</v>
      </c>
      <c r="K132" s="261" t="s">
        <v>1087</v>
      </c>
      <c r="L132">
        <v>35075</v>
      </c>
      <c r="M132">
        <v>1</v>
      </c>
      <c r="N132">
        <v>2</v>
      </c>
      <c r="O132">
        <v>35075</v>
      </c>
      <c r="P132" s="261" t="s">
        <v>2193</v>
      </c>
      <c r="Q132">
        <v>55116.855000000003</v>
      </c>
      <c r="R132">
        <v>158700</v>
      </c>
      <c r="S132">
        <v>1955184</v>
      </c>
      <c r="T132">
        <v>679039.65360000008</v>
      </c>
      <c r="U132">
        <v>1276144.3463999999</v>
      </c>
      <c r="V132">
        <v>0.65269782608695648</v>
      </c>
      <c r="W132" s="261" t="s">
        <v>1575</v>
      </c>
      <c r="X132">
        <v>4</v>
      </c>
      <c r="Y132">
        <v>0.6716186956521738</v>
      </c>
    </row>
    <row r="133" spans="1:25" x14ac:dyDescent="0.25">
      <c r="A133" s="261" t="s">
        <v>1196</v>
      </c>
      <c r="B133" s="261" t="s">
        <v>1786</v>
      </c>
      <c r="C133" s="261" t="s">
        <v>1068</v>
      </c>
      <c r="D133" s="261" t="s">
        <v>1762</v>
      </c>
      <c r="E133" s="261" t="s">
        <v>1110</v>
      </c>
      <c r="F133">
        <v>14.4</v>
      </c>
      <c r="G133" s="215">
        <v>46084</v>
      </c>
      <c r="H133" s="261" t="s">
        <v>987</v>
      </c>
      <c r="I133" s="261" t="s">
        <v>1032</v>
      </c>
      <c r="J133">
        <v>138000</v>
      </c>
      <c r="K133" s="261" t="s">
        <v>1087</v>
      </c>
      <c r="L133">
        <v>35075</v>
      </c>
      <c r="M133">
        <v>1</v>
      </c>
      <c r="N133">
        <v>2</v>
      </c>
      <c r="O133">
        <v>35075</v>
      </c>
      <c r="P133" s="261" t="s">
        <v>2193</v>
      </c>
      <c r="Q133">
        <v>55116.855000000003</v>
      </c>
      <c r="R133">
        <v>158700</v>
      </c>
      <c r="S133">
        <v>2285280</v>
      </c>
      <c r="T133">
        <v>793682.71200000006</v>
      </c>
      <c r="U133">
        <v>1491597.2879999999</v>
      </c>
      <c r="V133">
        <v>0.65269782608695648</v>
      </c>
      <c r="W133" s="261" t="s">
        <v>1575</v>
      </c>
      <c r="X133">
        <v>4</v>
      </c>
      <c r="Y133">
        <v>0.6716186956521738</v>
      </c>
    </row>
    <row r="134" spans="1:25" x14ac:dyDescent="0.25">
      <c r="A134" s="261" t="s">
        <v>1196</v>
      </c>
      <c r="B134" s="261" t="s">
        <v>1787</v>
      </c>
      <c r="C134" s="261" t="s">
        <v>1068</v>
      </c>
      <c r="D134" s="261" t="s">
        <v>1762</v>
      </c>
      <c r="E134" s="261" t="s">
        <v>1110</v>
      </c>
      <c r="F134">
        <v>13.2</v>
      </c>
      <c r="G134" s="215">
        <v>46084</v>
      </c>
      <c r="H134" s="261" t="s">
        <v>987</v>
      </c>
      <c r="I134" s="261" t="s">
        <v>1032</v>
      </c>
      <c r="J134">
        <v>138000</v>
      </c>
      <c r="K134" s="261" t="s">
        <v>1087</v>
      </c>
      <c r="L134">
        <v>35075</v>
      </c>
      <c r="M134">
        <v>1</v>
      </c>
      <c r="N134">
        <v>2</v>
      </c>
      <c r="O134">
        <v>35075</v>
      </c>
      <c r="P134" s="261" t="s">
        <v>2193</v>
      </c>
      <c r="Q134">
        <v>55116.855000000003</v>
      </c>
      <c r="R134">
        <v>158700</v>
      </c>
      <c r="S134">
        <v>2094840</v>
      </c>
      <c r="T134">
        <v>727542.48600000003</v>
      </c>
      <c r="U134">
        <v>1367297.514</v>
      </c>
      <c r="V134">
        <v>0.65269782608695648</v>
      </c>
      <c r="W134" s="261" t="s">
        <v>1575</v>
      </c>
      <c r="X134">
        <v>4</v>
      </c>
      <c r="Y134">
        <v>0.6716186956521738</v>
      </c>
    </row>
    <row r="135" spans="1:25" x14ac:dyDescent="0.25">
      <c r="A135" s="261" t="s">
        <v>1196</v>
      </c>
      <c r="B135" s="261" t="s">
        <v>1785</v>
      </c>
      <c r="C135" s="261" t="s">
        <v>1068</v>
      </c>
      <c r="D135" s="261" t="s">
        <v>1762</v>
      </c>
      <c r="E135" s="261" t="s">
        <v>1110</v>
      </c>
      <c r="F135">
        <v>9</v>
      </c>
      <c r="G135" s="215">
        <v>46084</v>
      </c>
      <c r="H135" s="261" t="s">
        <v>987</v>
      </c>
      <c r="I135" s="261" t="s">
        <v>1032</v>
      </c>
      <c r="J135">
        <v>138000</v>
      </c>
      <c r="K135" s="261" t="s">
        <v>1087</v>
      </c>
      <c r="L135">
        <v>35075</v>
      </c>
      <c r="M135">
        <v>1</v>
      </c>
      <c r="N135">
        <v>2</v>
      </c>
      <c r="O135">
        <v>35075</v>
      </c>
      <c r="P135" s="261" t="s">
        <v>2193</v>
      </c>
      <c r="Q135">
        <v>55116.855000000003</v>
      </c>
      <c r="R135">
        <v>158700</v>
      </c>
      <c r="S135">
        <v>1428300</v>
      </c>
      <c r="T135">
        <v>496051.69500000001</v>
      </c>
      <c r="U135">
        <v>932248.30499999993</v>
      </c>
      <c r="V135">
        <v>0.65269782608695648</v>
      </c>
      <c r="W135" s="261" t="s">
        <v>1575</v>
      </c>
      <c r="X135">
        <v>4</v>
      </c>
      <c r="Y135">
        <v>0.6716186956521738</v>
      </c>
    </row>
    <row r="136" spans="1:25" x14ac:dyDescent="0.25">
      <c r="A136" s="261" t="s">
        <v>1196</v>
      </c>
      <c r="B136" s="261" t="s">
        <v>1774</v>
      </c>
      <c r="C136" s="261" t="s">
        <v>1068</v>
      </c>
      <c r="D136" s="261" t="s">
        <v>1762</v>
      </c>
      <c r="E136" s="261" t="s">
        <v>1110</v>
      </c>
      <c r="F136">
        <v>1.2</v>
      </c>
      <c r="G136" s="215">
        <v>46084</v>
      </c>
      <c r="H136" s="261" t="s">
        <v>987</v>
      </c>
      <c r="I136" s="261" t="s">
        <v>1032</v>
      </c>
      <c r="J136">
        <v>138000</v>
      </c>
      <c r="K136" s="261" t="s">
        <v>1087</v>
      </c>
      <c r="L136">
        <v>35075</v>
      </c>
      <c r="M136">
        <v>1</v>
      </c>
      <c r="N136">
        <v>2</v>
      </c>
      <c r="O136">
        <v>35075</v>
      </c>
      <c r="P136" s="261" t="s">
        <v>2193</v>
      </c>
      <c r="Q136">
        <v>55116.855000000003</v>
      </c>
      <c r="R136">
        <v>158700</v>
      </c>
      <c r="S136">
        <v>190440</v>
      </c>
      <c r="T136">
        <v>66140.225999999995</v>
      </c>
      <c r="U136">
        <v>124299.774</v>
      </c>
      <c r="V136">
        <v>0.65269782608695659</v>
      </c>
      <c r="W136" s="261" t="s">
        <v>1575</v>
      </c>
      <c r="X136">
        <v>4</v>
      </c>
      <c r="Y136">
        <v>0.67161869565217391</v>
      </c>
    </row>
    <row r="137" spans="1:25" x14ac:dyDescent="0.25">
      <c r="A137" s="261" t="s">
        <v>1196</v>
      </c>
      <c r="B137" s="261" t="s">
        <v>1775</v>
      </c>
      <c r="C137" s="261" t="s">
        <v>1068</v>
      </c>
      <c r="D137" s="261" t="s">
        <v>1762</v>
      </c>
      <c r="E137" s="261" t="s">
        <v>1110</v>
      </c>
      <c r="F137">
        <v>2.16</v>
      </c>
      <c r="G137" s="215">
        <v>46084</v>
      </c>
      <c r="H137" s="261" t="s">
        <v>987</v>
      </c>
      <c r="I137" s="261" t="s">
        <v>1032</v>
      </c>
      <c r="J137">
        <v>138000</v>
      </c>
      <c r="K137" s="261" t="s">
        <v>1087</v>
      </c>
      <c r="L137">
        <v>35075</v>
      </c>
      <c r="M137">
        <v>1</v>
      </c>
      <c r="N137">
        <v>2</v>
      </c>
      <c r="O137">
        <v>35075</v>
      </c>
      <c r="P137" s="261" t="s">
        <v>2193</v>
      </c>
      <c r="Q137">
        <v>55116.855000000003</v>
      </c>
      <c r="R137">
        <v>158700</v>
      </c>
      <c r="S137">
        <v>342792</v>
      </c>
      <c r="T137">
        <v>119052.40680000001</v>
      </c>
      <c r="U137">
        <v>223739.5932</v>
      </c>
      <c r="V137">
        <v>0.65269782608695648</v>
      </c>
      <c r="W137" s="261" t="s">
        <v>1575</v>
      </c>
      <c r="X137">
        <v>4</v>
      </c>
      <c r="Y137">
        <v>0.6716186956521738</v>
      </c>
    </row>
    <row r="138" spans="1:25" x14ac:dyDescent="0.25">
      <c r="A138" s="261" t="s">
        <v>1196</v>
      </c>
      <c r="B138" s="261" t="s">
        <v>1777</v>
      </c>
      <c r="C138" s="261" t="s">
        <v>1068</v>
      </c>
      <c r="D138" s="261" t="s">
        <v>1762</v>
      </c>
      <c r="E138" s="261" t="s">
        <v>1110</v>
      </c>
      <c r="F138">
        <v>13.2</v>
      </c>
      <c r="G138" s="215">
        <v>46084</v>
      </c>
      <c r="H138" s="261" t="s">
        <v>987</v>
      </c>
      <c r="I138" s="261" t="s">
        <v>1032</v>
      </c>
      <c r="J138">
        <v>138000</v>
      </c>
      <c r="K138" s="261" t="s">
        <v>1087</v>
      </c>
      <c r="L138">
        <v>35075</v>
      </c>
      <c r="M138">
        <v>1</v>
      </c>
      <c r="N138">
        <v>2</v>
      </c>
      <c r="O138">
        <v>35075</v>
      </c>
      <c r="P138" s="261" t="s">
        <v>2193</v>
      </c>
      <c r="Q138">
        <v>55116.855000000003</v>
      </c>
      <c r="R138">
        <v>158700</v>
      </c>
      <c r="S138">
        <v>2094840</v>
      </c>
      <c r="T138">
        <v>727542.48600000003</v>
      </c>
      <c r="U138">
        <v>1367297.514</v>
      </c>
      <c r="V138">
        <v>0.65269782608695648</v>
      </c>
      <c r="W138" s="261" t="s">
        <v>1575</v>
      </c>
      <c r="X138">
        <v>4</v>
      </c>
      <c r="Y138">
        <v>0.6716186956521738</v>
      </c>
    </row>
    <row r="139" spans="1:25" x14ac:dyDescent="0.25">
      <c r="A139" s="261" t="s">
        <v>1196</v>
      </c>
      <c r="B139" s="261" t="s">
        <v>1786</v>
      </c>
      <c r="C139" s="261" t="s">
        <v>1068</v>
      </c>
      <c r="D139" s="261" t="s">
        <v>1765</v>
      </c>
      <c r="E139" s="261" t="s">
        <v>1110</v>
      </c>
      <c r="F139">
        <v>9.6</v>
      </c>
      <c r="G139" s="215">
        <v>46084</v>
      </c>
      <c r="H139" s="261" t="s">
        <v>987</v>
      </c>
      <c r="I139" s="261" t="s">
        <v>1032</v>
      </c>
      <c r="J139">
        <v>138000</v>
      </c>
      <c r="K139" s="261" t="s">
        <v>1087</v>
      </c>
      <c r="L139">
        <v>35075</v>
      </c>
      <c r="M139">
        <v>1</v>
      </c>
      <c r="N139">
        <v>2</v>
      </c>
      <c r="O139">
        <v>35075</v>
      </c>
      <c r="P139" s="261" t="s">
        <v>2193</v>
      </c>
      <c r="Q139">
        <v>55116.855000000003</v>
      </c>
      <c r="R139">
        <v>158700</v>
      </c>
      <c r="S139">
        <v>1523520</v>
      </c>
      <c r="T139">
        <v>529121.80799999996</v>
      </c>
      <c r="U139">
        <v>994398.19200000004</v>
      </c>
      <c r="V139">
        <v>0.65269782608695659</v>
      </c>
      <c r="W139" s="261" t="s">
        <v>1575</v>
      </c>
      <c r="X139">
        <v>4</v>
      </c>
      <c r="Y139">
        <v>0.67161869565217391</v>
      </c>
    </row>
    <row r="140" spans="1:25" x14ac:dyDescent="0.25">
      <c r="A140" s="261" t="s">
        <v>1196</v>
      </c>
      <c r="B140" s="261" t="s">
        <v>1787</v>
      </c>
      <c r="C140" s="261" t="s">
        <v>1068</v>
      </c>
      <c r="D140" s="261" t="s">
        <v>1765</v>
      </c>
      <c r="E140" s="261" t="s">
        <v>1110</v>
      </c>
      <c r="F140">
        <v>7.2</v>
      </c>
      <c r="G140" s="215">
        <v>46084</v>
      </c>
      <c r="H140" s="261" t="s">
        <v>987</v>
      </c>
      <c r="I140" s="261" t="s">
        <v>1032</v>
      </c>
      <c r="J140">
        <v>138000</v>
      </c>
      <c r="K140" s="261" t="s">
        <v>1087</v>
      </c>
      <c r="L140">
        <v>35075</v>
      </c>
      <c r="M140">
        <v>1</v>
      </c>
      <c r="N140">
        <v>2</v>
      </c>
      <c r="O140">
        <v>35075</v>
      </c>
      <c r="P140" s="261" t="s">
        <v>2193</v>
      </c>
      <c r="Q140">
        <v>55116.855000000003</v>
      </c>
      <c r="R140">
        <v>158700</v>
      </c>
      <c r="S140">
        <v>1142640</v>
      </c>
      <c r="T140">
        <v>396841.35600000003</v>
      </c>
      <c r="U140">
        <v>745798.64399999997</v>
      </c>
      <c r="V140">
        <v>0.65269782608695648</v>
      </c>
      <c r="W140" s="261" t="s">
        <v>1575</v>
      </c>
      <c r="X140">
        <v>4</v>
      </c>
      <c r="Y140">
        <v>0.6716186956521738</v>
      </c>
    </row>
    <row r="141" spans="1:25" x14ac:dyDescent="0.25">
      <c r="A141" s="261" t="s">
        <v>1196</v>
      </c>
      <c r="B141" s="261" t="s">
        <v>1785</v>
      </c>
      <c r="C141" s="261" t="s">
        <v>1068</v>
      </c>
      <c r="D141" s="261" t="s">
        <v>1765</v>
      </c>
      <c r="E141" s="261" t="s">
        <v>1110</v>
      </c>
      <c r="F141">
        <v>5.4</v>
      </c>
      <c r="G141" s="215">
        <v>46084</v>
      </c>
      <c r="H141" s="261" t="s">
        <v>987</v>
      </c>
      <c r="I141" s="261" t="s">
        <v>1032</v>
      </c>
      <c r="J141">
        <v>138000</v>
      </c>
      <c r="K141" s="261" t="s">
        <v>1087</v>
      </c>
      <c r="L141">
        <v>35075</v>
      </c>
      <c r="M141">
        <v>1</v>
      </c>
      <c r="N141">
        <v>2</v>
      </c>
      <c r="O141">
        <v>35075</v>
      </c>
      <c r="P141" s="261" t="s">
        <v>2193</v>
      </c>
      <c r="Q141">
        <v>55116.855000000003</v>
      </c>
      <c r="R141">
        <v>158700</v>
      </c>
      <c r="S141">
        <v>856980</v>
      </c>
      <c r="T141">
        <v>297631.01700000005</v>
      </c>
      <c r="U141">
        <v>559348.98300000001</v>
      </c>
      <c r="V141">
        <v>0.65269782608695648</v>
      </c>
      <c r="W141" s="261" t="s">
        <v>1575</v>
      </c>
      <c r="X141">
        <v>4</v>
      </c>
      <c r="Y141">
        <v>0.6716186956521738</v>
      </c>
    </row>
    <row r="142" spans="1:25" x14ac:dyDescent="0.25">
      <c r="A142" s="261" t="s">
        <v>1196</v>
      </c>
      <c r="B142" s="261" t="s">
        <v>1774</v>
      </c>
      <c r="C142" s="261" t="s">
        <v>1068</v>
      </c>
      <c r="D142" s="261" t="s">
        <v>1765</v>
      </c>
      <c r="E142" s="261" t="s">
        <v>1110</v>
      </c>
      <c r="F142">
        <v>1.08</v>
      </c>
      <c r="G142" s="215">
        <v>46084</v>
      </c>
      <c r="H142" s="261" t="s">
        <v>987</v>
      </c>
      <c r="I142" s="261" t="s">
        <v>1032</v>
      </c>
      <c r="J142">
        <v>138000</v>
      </c>
      <c r="K142" s="261" t="s">
        <v>1087</v>
      </c>
      <c r="L142">
        <v>35075</v>
      </c>
      <c r="M142">
        <v>1</v>
      </c>
      <c r="N142">
        <v>2</v>
      </c>
      <c r="O142">
        <v>35075</v>
      </c>
      <c r="P142" s="261" t="s">
        <v>2193</v>
      </c>
      <c r="Q142">
        <v>55116.855000000003</v>
      </c>
      <c r="R142">
        <v>158700</v>
      </c>
      <c r="S142">
        <v>171396</v>
      </c>
      <c r="T142">
        <v>59526.203400000006</v>
      </c>
      <c r="U142">
        <v>111869.7966</v>
      </c>
      <c r="V142">
        <v>0.65269782608695648</v>
      </c>
      <c r="W142" s="261" t="s">
        <v>1575</v>
      </c>
      <c r="X142">
        <v>4</v>
      </c>
      <c r="Y142">
        <v>0.6716186956521738</v>
      </c>
    </row>
    <row r="143" spans="1:25" x14ac:dyDescent="0.25">
      <c r="A143" s="261" t="s">
        <v>1196</v>
      </c>
      <c r="B143" s="261" t="s">
        <v>1775</v>
      </c>
      <c r="C143" s="261" t="s">
        <v>1068</v>
      </c>
      <c r="D143" s="261" t="s">
        <v>1765</v>
      </c>
      <c r="E143" s="261" t="s">
        <v>1110</v>
      </c>
      <c r="F143">
        <v>0.72</v>
      </c>
      <c r="G143" s="215">
        <v>46084</v>
      </c>
      <c r="H143" s="261" t="s">
        <v>987</v>
      </c>
      <c r="I143" s="261" t="s">
        <v>1032</v>
      </c>
      <c r="J143">
        <v>138000</v>
      </c>
      <c r="K143" s="261" t="s">
        <v>1087</v>
      </c>
      <c r="L143">
        <v>35075</v>
      </c>
      <c r="M143">
        <v>1</v>
      </c>
      <c r="N143">
        <v>2</v>
      </c>
      <c r="O143">
        <v>35075</v>
      </c>
      <c r="P143" s="261" t="s">
        <v>2193</v>
      </c>
      <c r="Q143">
        <v>55116.855000000003</v>
      </c>
      <c r="R143">
        <v>158700</v>
      </c>
      <c r="S143">
        <v>114264</v>
      </c>
      <c r="T143">
        <v>39684.135600000001</v>
      </c>
      <c r="U143">
        <v>74579.864399999991</v>
      </c>
      <c r="V143">
        <v>0.65269782608695648</v>
      </c>
      <c r="W143" s="261" t="s">
        <v>1575</v>
      </c>
      <c r="X143">
        <v>4</v>
      </c>
      <c r="Y143">
        <v>0.6716186956521738</v>
      </c>
    </row>
    <row r="144" spans="1:25" x14ac:dyDescent="0.25">
      <c r="A144" s="261" t="s">
        <v>1196</v>
      </c>
      <c r="B144" s="261" t="s">
        <v>1777</v>
      </c>
      <c r="C144" s="261" t="s">
        <v>1068</v>
      </c>
      <c r="D144" s="261" t="s">
        <v>1765</v>
      </c>
      <c r="E144" s="261" t="s">
        <v>1110</v>
      </c>
      <c r="F144">
        <v>13.2</v>
      </c>
      <c r="G144" s="215">
        <v>46084</v>
      </c>
      <c r="H144" s="261" t="s">
        <v>987</v>
      </c>
      <c r="I144" s="261" t="s">
        <v>1032</v>
      </c>
      <c r="J144">
        <v>138000</v>
      </c>
      <c r="K144" s="261" t="s">
        <v>1087</v>
      </c>
      <c r="L144">
        <v>35075</v>
      </c>
      <c r="M144">
        <v>1</v>
      </c>
      <c r="N144">
        <v>2</v>
      </c>
      <c r="O144">
        <v>35075</v>
      </c>
      <c r="P144" s="261" t="s">
        <v>2193</v>
      </c>
      <c r="Q144">
        <v>55116.855000000003</v>
      </c>
      <c r="R144">
        <v>158700</v>
      </c>
      <c r="S144">
        <v>2094840</v>
      </c>
      <c r="T144">
        <v>727542.48600000003</v>
      </c>
      <c r="U144">
        <v>1367297.514</v>
      </c>
      <c r="V144">
        <v>0.65269782608695648</v>
      </c>
      <c r="W144" s="261" t="s">
        <v>1575</v>
      </c>
      <c r="X144">
        <v>4</v>
      </c>
      <c r="Y144">
        <v>0.6716186956521738</v>
      </c>
    </row>
    <row r="145" spans="1:25" x14ac:dyDescent="0.25">
      <c r="A145" s="261" t="s">
        <v>1196</v>
      </c>
      <c r="B145" s="261" t="s">
        <v>1781</v>
      </c>
      <c r="C145" s="261" t="s">
        <v>1070</v>
      </c>
      <c r="D145" s="261" t="s">
        <v>1727</v>
      </c>
      <c r="E145" s="261" t="s">
        <v>1110</v>
      </c>
      <c r="F145">
        <v>1.44</v>
      </c>
      <c r="G145" s="215">
        <v>46084</v>
      </c>
      <c r="H145" s="261" t="s">
        <v>987</v>
      </c>
      <c r="I145" s="261" t="s">
        <v>1032</v>
      </c>
      <c r="J145">
        <v>138000</v>
      </c>
      <c r="K145" s="261" t="s">
        <v>1087</v>
      </c>
      <c r="L145">
        <v>35075</v>
      </c>
      <c r="M145">
        <v>1</v>
      </c>
      <c r="N145">
        <v>2</v>
      </c>
      <c r="O145">
        <v>35075</v>
      </c>
      <c r="P145" s="261" t="s">
        <v>2193</v>
      </c>
      <c r="Q145">
        <v>55116.855000000003</v>
      </c>
      <c r="R145">
        <v>158700</v>
      </c>
      <c r="S145">
        <v>228528</v>
      </c>
      <c r="T145">
        <v>79368.271200000003</v>
      </c>
      <c r="U145">
        <v>149159.72879999998</v>
      </c>
      <c r="V145">
        <v>0.65269782608695648</v>
      </c>
      <c r="W145" s="261" t="s">
        <v>1575</v>
      </c>
      <c r="X145">
        <v>4</v>
      </c>
      <c r="Y145">
        <v>0.6716186956521738</v>
      </c>
    </row>
    <row r="146" spans="1:25" x14ac:dyDescent="0.25">
      <c r="A146" s="261" t="s">
        <v>1196</v>
      </c>
      <c r="B146" s="261" t="s">
        <v>1788</v>
      </c>
      <c r="C146" s="261" t="s">
        <v>1070</v>
      </c>
      <c r="D146" s="261" t="s">
        <v>1727</v>
      </c>
      <c r="E146" s="261" t="s">
        <v>1110</v>
      </c>
      <c r="F146">
        <v>0.96</v>
      </c>
      <c r="G146" s="215">
        <v>46084</v>
      </c>
      <c r="H146" s="261" t="s">
        <v>987</v>
      </c>
      <c r="I146" s="261" t="s">
        <v>1032</v>
      </c>
      <c r="J146">
        <v>138000</v>
      </c>
      <c r="K146" s="261" t="s">
        <v>1087</v>
      </c>
      <c r="L146">
        <v>35075</v>
      </c>
      <c r="M146">
        <v>1</v>
      </c>
      <c r="N146">
        <v>2</v>
      </c>
      <c r="O146">
        <v>35075</v>
      </c>
      <c r="P146" s="261" t="s">
        <v>2193</v>
      </c>
      <c r="Q146">
        <v>55116.855000000003</v>
      </c>
      <c r="R146">
        <v>158700</v>
      </c>
      <c r="S146">
        <v>152352</v>
      </c>
      <c r="T146">
        <v>52912.180800000002</v>
      </c>
      <c r="U146">
        <v>99439.819199999998</v>
      </c>
      <c r="V146">
        <v>0.65269782608695648</v>
      </c>
      <c r="W146" s="261" t="s">
        <v>1575</v>
      </c>
      <c r="X146">
        <v>4</v>
      </c>
      <c r="Y146">
        <v>0.6716186956521738</v>
      </c>
    </row>
    <row r="147" spans="1:25" x14ac:dyDescent="0.25">
      <c r="A147" s="261" t="s">
        <v>1196</v>
      </c>
      <c r="B147" s="261" t="s">
        <v>1775</v>
      </c>
      <c r="C147" s="261" t="s">
        <v>1070</v>
      </c>
      <c r="D147" s="261" t="s">
        <v>1727</v>
      </c>
      <c r="E147" s="261" t="s">
        <v>1110</v>
      </c>
      <c r="F147">
        <v>0.36</v>
      </c>
      <c r="G147" s="215">
        <v>46084</v>
      </c>
      <c r="H147" s="261" t="s">
        <v>987</v>
      </c>
      <c r="I147" s="261" t="s">
        <v>1032</v>
      </c>
      <c r="J147">
        <v>138000</v>
      </c>
      <c r="K147" s="261" t="s">
        <v>1087</v>
      </c>
      <c r="L147">
        <v>35075</v>
      </c>
      <c r="M147">
        <v>1</v>
      </c>
      <c r="N147">
        <v>2</v>
      </c>
      <c r="O147">
        <v>35075</v>
      </c>
      <c r="P147" s="261" t="s">
        <v>2193</v>
      </c>
      <c r="Q147">
        <v>55116.855000000003</v>
      </c>
      <c r="R147">
        <v>158700</v>
      </c>
      <c r="S147">
        <v>57132</v>
      </c>
      <c r="T147">
        <v>19842.067800000001</v>
      </c>
      <c r="U147">
        <v>37289.932199999996</v>
      </c>
      <c r="V147">
        <v>0.65269782608695648</v>
      </c>
      <c r="W147" s="261" t="s">
        <v>1575</v>
      </c>
      <c r="X147">
        <v>4</v>
      </c>
      <c r="Y147">
        <v>0.6716186956521738</v>
      </c>
    </row>
    <row r="148" spans="1:25" x14ac:dyDescent="0.25">
      <c r="A148" s="261" t="s">
        <v>1196</v>
      </c>
      <c r="B148" s="261" t="s">
        <v>1777</v>
      </c>
      <c r="C148" s="261" t="s">
        <v>1070</v>
      </c>
      <c r="D148" s="261" t="s">
        <v>1727</v>
      </c>
      <c r="E148" s="261" t="s">
        <v>1110</v>
      </c>
      <c r="F148">
        <v>6.6</v>
      </c>
      <c r="G148" s="215">
        <v>46084</v>
      </c>
      <c r="H148" s="261" t="s">
        <v>987</v>
      </c>
      <c r="I148" s="261" t="s">
        <v>1032</v>
      </c>
      <c r="J148">
        <v>138000</v>
      </c>
      <c r="K148" s="261" t="s">
        <v>1087</v>
      </c>
      <c r="L148">
        <v>35075</v>
      </c>
      <c r="M148">
        <v>1</v>
      </c>
      <c r="N148">
        <v>2</v>
      </c>
      <c r="O148">
        <v>35075</v>
      </c>
      <c r="P148" s="261" t="s">
        <v>2193</v>
      </c>
      <c r="Q148">
        <v>55116.855000000003</v>
      </c>
      <c r="R148">
        <v>158700</v>
      </c>
      <c r="S148">
        <v>1047420</v>
      </c>
      <c r="T148">
        <v>363771.24300000002</v>
      </c>
      <c r="U148">
        <v>683648.75699999998</v>
      </c>
      <c r="V148">
        <v>0.65269782608695648</v>
      </c>
      <c r="W148" s="261" t="s">
        <v>1575</v>
      </c>
      <c r="X148">
        <v>4</v>
      </c>
      <c r="Y148">
        <v>0.6716186956521738</v>
      </c>
    </row>
    <row r="149" spans="1:25" x14ac:dyDescent="0.25">
      <c r="A149" s="261" t="s">
        <v>1196</v>
      </c>
      <c r="B149" s="261" t="s">
        <v>1779</v>
      </c>
      <c r="C149" s="261" t="s">
        <v>1070</v>
      </c>
      <c r="D149" s="261" t="s">
        <v>1727</v>
      </c>
      <c r="E149" s="261" t="s">
        <v>1110</v>
      </c>
      <c r="F149">
        <v>11.88</v>
      </c>
      <c r="G149" s="215">
        <v>46084</v>
      </c>
      <c r="H149" s="261" t="s">
        <v>987</v>
      </c>
      <c r="I149" s="261" t="s">
        <v>1032</v>
      </c>
      <c r="J149">
        <v>138000</v>
      </c>
      <c r="K149" s="261" t="s">
        <v>1087</v>
      </c>
      <c r="L149">
        <v>35075</v>
      </c>
      <c r="M149">
        <v>1</v>
      </c>
      <c r="N149">
        <v>2</v>
      </c>
      <c r="O149">
        <v>35075</v>
      </c>
      <c r="P149" s="261" t="s">
        <v>2193</v>
      </c>
      <c r="Q149">
        <v>55116.855000000003</v>
      </c>
      <c r="R149">
        <v>158700</v>
      </c>
      <c r="S149">
        <v>1885356.0000000002</v>
      </c>
      <c r="T149">
        <v>654788.2374000001</v>
      </c>
      <c r="U149">
        <v>1230567.7626</v>
      </c>
      <c r="V149">
        <v>0.65269782608695648</v>
      </c>
      <c r="W149" s="261" t="s">
        <v>1575</v>
      </c>
      <c r="X149">
        <v>4</v>
      </c>
      <c r="Y149">
        <v>0.6716186956521738</v>
      </c>
    </row>
    <row r="150" spans="1:25" x14ac:dyDescent="0.25">
      <c r="A150" s="261" t="s">
        <v>1196</v>
      </c>
      <c r="B150" s="261" t="s">
        <v>1780</v>
      </c>
      <c r="C150" s="261" t="s">
        <v>1070</v>
      </c>
      <c r="D150" s="261" t="s">
        <v>1727</v>
      </c>
      <c r="E150" s="261" t="s">
        <v>1110</v>
      </c>
      <c r="F150">
        <v>5.28</v>
      </c>
      <c r="G150" s="215">
        <v>46084</v>
      </c>
      <c r="H150" s="261" t="s">
        <v>987</v>
      </c>
      <c r="I150" s="261" t="s">
        <v>1032</v>
      </c>
      <c r="J150">
        <v>138000</v>
      </c>
      <c r="K150" s="261" t="s">
        <v>1087</v>
      </c>
      <c r="L150">
        <v>35075</v>
      </c>
      <c r="M150">
        <v>1</v>
      </c>
      <c r="N150">
        <v>2</v>
      </c>
      <c r="O150">
        <v>35075</v>
      </c>
      <c r="P150" s="261" t="s">
        <v>2193</v>
      </c>
      <c r="Q150">
        <v>55116.855000000003</v>
      </c>
      <c r="R150">
        <v>158700</v>
      </c>
      <c r="S150">
        <v>837936</v>
      </c>
      <c r="T150">
        <v>291016.99440000003</v>
      </c>
      <c r="U150">
        <v>546919.00560000003</v>
      </c>
      <c r="V150">
        <v>0.65269782608695659</v>
      </c>
      <c r="W150" s="261" t="s">
        <v>1575</v>
      </c>
      <c r="X150">
        <v>4</v>
      </c>
      <c r="Y150">
        <v>0.67161869565217391</v>
      </c>
    </row>
    <row r="151" spans="1:25" x14ac:dyDescent="0.25">
      <c r="A151" s="261" t="s">
        <v>1196</v>
      </c>
      <c r="B151" s="261" t="s">
        <v>1789</v>
      </c>
      <c r="C151" s="261" t="s">
        <v>1070</v>
      </c>
      <c r="D151" s="261" t="s">
        <v>1729</v>
      </c>
      <c r="E151" s="261" t="s">
        <v>1110</v>
      </c>
      <c r="F151">
        <v>19.2</v>
      </c>
      <c r="G151" s="215">
        <v>46084</v>
      </c>
      <c r="H151" s="261" t="s">
        <v>987</v>
      </c>
      <c r="I151" s="261" t="s">
        <v>1032</v>
      </c>
      <c r="J151">
        <v>138000</v>
      </c>
      <c r="K151" s="261" t="s">
        <v>1087</v>
      </c>
      <c r="L151">
        <v>35075</v>
      </c>
      <c r="M151">
        <v>1</v>
      </c>
      <c r="N151">
        <v>2</v>
      </c>
      <c r="O151">
        <v>35075</v>
      </c>
      <c r="P151" s="261" t="s">
        <v>2193</v>
      </c>
      <c r="Q151">
        <v>55116.855000000003</v>
      </c>
      <c r="R151">
        <v>158700</v>
      </c>
      <c r="S151">
        <v>3047040</v>
      </c>
      <c r="T151">
        <v>1058243.6159999999</v>
      </c>
      <c r="U151">
        <v>1988796.3840000001</v>
      </c>
      <c r="V151">
        <v>0.65269782608695659</v>
      </c>
      <c r="W151" s="261" t="s">
        <v>1575</v>
      </c>
      <c r="X151">
        <v>4</v>
      </c>
      <c r="Y151">
        <v>0.67161869565217391</v>
      </c>
    </row>
    <row r="152" spans="1:25" x14ac:dyDescent="0.25">
      <c r="A152" s="261" t="s">
        <v>1196</v>
      </c>
      <c r="B152" s="261" t="s">
        <v>1790</v>
      </c>
      <c r="C152" s="261" t="s">
        <v>1070</v>
      </c>
      <c r="D152" s="261" t="s">
        <v>1729</v>
      </c>
      <c r="E152" s="261" t="s">
        <v>1110</v>
      </c>
      <c r="F152">
        <v>8.89</v>
      </c>
      <c r="G152" s="215">
        <v>46084</v>
      </c>
      <c r="H152" s="261" t="s">
        <v>987</v>
      </c>
      <c r="I152" s="261" t="s">
        <v>1032</v>
      </c>
      <c r="J152">
        <v>138000</v>
      </c>
      <c r="K152" s="261" t="s">
        <v>1087</v>
      </c>
      <c r="L152">
        <v>35075</v>
      </c>
      <c r="M152">
        <v>1</v>
      </c>
      <c r="N152">
        <v>2</v>
      </c>
      <c r="O152">
        <v>35075</v>
      </c>
      <c r="P152" s="261" t="s">
        <v>2193</v>
      </c>
      <c r="Q152">
        <v>55116.855000000003</v>
      </c>
      <c r="R152">
        <v>158700</v>
      </c>
      <c r="S152">
        <v>1410843</v>
      </c>
      <c r="T152">
        <v>489988.84095000004</v>
      </c>
      <c r="U152">
        <v>920854.1590499999</v>
      </c>
      <c r="V152">
        <v>0.65269782608695648</v>
      </c>
      <c r="W152" s="261" t="s">
        <v>1575</v>
      </c>
      <c r="X152">
        <v>4</v>
      </c>
      <c r="Y152">
        <v>0.6716186956521738</v>
      </c>
    </row>
    <row r="153" spans="1:25" x14ac:dyDescent="0.25">
      <c r="A153" s="261" t="s">
        <v>1196</v>
      </c>
      <c r="B153" s="261" t="s">
        <v>1791</v>
      </c>
      <c r="C153" s="261" t="s">
        <v>1070</v>
      </c>
      <c r="D153" s="261" t="s">
        <v>1729</v>
      </c>
      <c r="E153" s="261" t="s">
        <v>1110</v>
      </c>
      <c r="F153">
        <v>24.95</v>
      </c>
      <c r="G153" s="215">
        <v>46084</v>
      </c>
      <c r="H153" s="261" t="s">
        <v>987</v>
      </c>
      <c r="I153" s="261" t="s">
        <v>1032</v>
      </c>
      <c r="J153">
        <v>138000</v>
      </c>
      <c r="K153" s="261" t="s">
        <v>1087</v>
      </c>
      <c r="L153">
        <v>35075</v>
      </c>
      <c r="M153">
        <v>1</v>
      </c>
      <c r="N153">
        <v>2</v>
      </c>
      <c r="O153">
        <v>35075</v>
      </c>
      <c r="P153" s="261" t="s">
        <v>2193</v>
      </c>
      <c r="Q153">
        <v>55116.855000000003</v>
      </c>
      <c r="R153">
        <v>158700</v>
      </c>
      <c r="S153">
        <v>3959565</v>
      </c>
      <c r="T153">
        <v>1375165.5322499999</v>
      </c>
      <c r="U153">
        <v>2584399.4677499998</v>
      </c>
      <c r="V153">
        <v>0.65269782608695648</v>
      </c>
      <c r="W153" s="261" t="s">
        <v>1575</v>
      </c>
      <c r="X153">
        <v>4</v>
      </c>
      <c r="Y153">
        <v>0.6716186956521738</v>
      </c>
    </row>
    <row r="154" spans="1:25" x14ac:dyDescent="0.25">
      <c r="A154" s="261" t="s">
        <v>1196</v>
      </c>
      <c r="B154" s="261" t="s">
        <v>1792</v>
      </c>
      <c r="C154" s="261" t="s">
        <v>1070</v>
      </c>
      <c r="D154" s="261" t="s">
        <v>1729</v>
      </c>
      <c r="E154" s="261" t="s">
        <v>1110</v>
      </c>
      <c r="F154">
        <v>12.47</v>
      </c>
      <c r="G154" s="215">
        <v>46084</v>
      </c>
      <c r="H154" s="261" t="s">
        <v>987</v>
      </c>
      <c r="I154" s="261" t="s">
        <v>1032</v>
      </c>
      <c r="J154">
        <v>138000</v>
      </c>
      <c r="K154" s="261" t="s">
        <v>1087</v>
      </c>
      <c r="L154">
        <v>35075</v>
      </c>
      <c r="M154">
        <v>1</v>
      </c>
      <c r="N154">
        <v>2</v>
      </c>
      <c r="O154">
        <v>35075</v>
      </c>
      <c r="P154" s="261" t="s">
        <v>2193</v>
      </c>
      <c r="Q154">
        <v>55116.855000000003</v>
      </c>
      <c r="R154">
        <v>158700</v>
      </c>
      <c r="S154">
        <v>1978989</v>
      </c>
      <c r="T154">
        <v>687307.18185000005</v>
      </c>
      <c r="U154">
        <v>1291681.8181499999</v>
      </c>
      <c r="V154">
        <v>0.65269782608695648</v>
      </c>
      <c r="W154" s="261" t="s">
        <v>1575</v>
      </c>
      <c r="X154">
        <v>4</v>
      </c>
      <c r="Y154">
        <v>0.6716186956521738</v>
      </c>
    </row>
    <row r="155" spans="1:25" x14ac:dyDescent="0.25">
      <c r="A155" s="261" t="s">
        <v>1196</v>
      </c>
      <c r="B155" s="261" t="s">
        <v>1775</v>
      </c>
      <c r="C155" s="261" t="s">
        <v>1070</v>
      </c>
      <c r="D155" s="261" t="s">
        <v>1729</v>
      </c>
      <c r="E155" s="261" t="s">
        <v>1110</v>
      </c>
      <c r="F155">
        <v>0.36</v>
      </c>
      <c r="G155" s="215">
        <v>46084</v>
      </c>
      <c r="H155" s="261" t="s">
        <v>987</v>
      </c>
      <c r="I155" s="261" t="s">
        <v>1032</v>
      </c>
      <c r="J155">
        <v>138000</v>
      </c>
      <c r="K155" s="261" t="s">
        <v>1087</v>
      </c>
      <c r="L155">
        <v>35075</v>
      </c>
      <c r="M155">
        <v>1</v>
      </c>
      <c r="N155">
        <v>2</v>
      </c>
      <c r="O155">
        <v>35075</v>
      </c>
      <c r="P155" s="261" t="s">
        <v>2193</v>
      </c>
      <c r="Q155">
        <v>55116.855000000003</v>
      </c>
      <c r="R155">
        <v>158700</v>
      </c>
      <c r="S155">
        <v>57132</v>
      </c>
      <c r="T155">
        <v>19842.067800000001</v>
      </c>
      <c r="U155">
        <v>37289.932199999996</v>
      </c>
      <c r="V155">
        <v>0.65269782608695648</v>
      </c>
      <c r="W155" s="261" t="s">
        <v>1575</v>
      </c>
      <c r="X155">
        <v>4</v>
      </c>
      <c r="Y155">
        <v>0.6716186956521738</v>
      </c>
    </row>
    <row r="156" spans="1:25" x14ac:dyDescent="0.25">
      <c r="A156" s="261" t="s">
        <v>1196</v>
      </c>
      <c r="B156" s="261" t="s">
        <v>1777</v>
      </c>
      <c r="C156" s="261" t="s">
        <v>1070</v>
      </c>
      <c r="D156" s="261" t="s">
        <v>1729</v>
      </c>
      <c r="E156" s="261" t="s">
        <v>1110</v>
      </c>
      <c r="F156">
        <v>3.3</v>
      </c>
      <c r="G156" s="215">
        <v>46084</v>
      </c>
      <c r="H156" s="261" t="s">
        <v>987</v>
      </c>
      <c r="I156" s="261" t="s">
        <v>1032</v>
      </c>
      <c r="J156">
        <v>138000</v>
      </c>
      <c r="K156" s="261" t="s">
        <v>1087</v>
      </c>
      <c r="L156">
        <v>35075</v>
      </c>
      <c r="M156">
        <v>1</v>
      </c>
      <c r="N156">
        <v>2</v>
      </c>
      <c r="O156">
        <v>35075</v>
      </c>
      <c r="P156" s="261" t="s">
        <v>2193</v>
      </c>
      <c r="Q156">
        <v>55116.855000000003</v>
      </c>
      <c r="R156">
        <v>158700</v>
      </c>
      <c r="S156">
        <v>523710</v>
      </c>
      <c r="T156">
        <v>181885.62150000001</v>
      </c>
      <c r="U156">
        <v>341824.37849999999</v>
      </c>
      <c r="V156">
        <v>0.65269782608695648</v>
      </c>
      <c r="W156" s="261" t="s">
        <v>1575</v>
      </c>
      <c r="X156">
        <v>4</v>
      </c>
      <c r="Y156">
        <v>0.6716186956521738</v>
      </c>
    </row>
    <row r="157" spans="1:25" x14ac:dyDescent="0.25">
      <c r="A157" s="261" t="s">
        <v>1196</v>
      </c>
      <c r="B157" s="261" t="s">
        <v>1780</v>
      </c>
      <c r="C157" s="261" t="s">
        <v>1070</v>
      </c>
      <c r="D157" s="261" t="s">
        <v>1729</v>
      </c>
      <c r="E157" s="261" t="s">
        <v>1110</v>
      </c>
      <c r="F157">
        <v>5.28</v>
      </c>
      <c r="G157" s="215">
        <v>46084</v>
      </c>
      <c r="H157" s="261" t="s">
        <v>987</v>
      </c>
      <c r="I157" s="261" t="s">
        <v>1032</v>
      </c>
      <c r="J157">
        <v>138000</v>
      </c>
      <c r="K157" s="261" t="s">
        <v>1087</v>
      </c>
      <c r="L157">
        <v>35075</v>
      </c>
      <c r="M157">
        <v>1</v>
      </c>
      <c r="N157">
        <v>2</v>
      </c>
      <c r="O157">
        <v>35075</v>
      </c>
      <c r="P157" s="261" t="s">
        <v>2193</v>
      </c>
      <c r="Q157">
        <v>55116.855000000003</v>
      </c>
      <c r="R157">
        <v>158700</v>
      </c>
      <c r="S157">
        <v>837936</v>
      </c>
      <c r="T157">
        <v>291016.99440000003</v>
      </c>
      <c r="U157">
        <v>546919.00560000003</v>
      </c>
      <c r="V157">
        <v>0.65269782608695659</v>
      </c>
      <c r="W157" s="261" t="s">
        <v>1575</v>
      </c>
      <c r="X157">
        <v>4</v>
      </c>
      <c r="Y157">
        <v>0.67161869565217391</v>
      </c>
    </row>
    <row r="158" spans="1:25" x14ac:dyDescent="0.25">
      <c r="A158" s="261" t="s">
        <v>1199</v>
      </c>
      <c r="B158" s="261" t="s">
        <v>1200</v>
      </c>
      <c r="C158" s="261" t="s">
        <v>1068</v>
      </c>
      <c r="D158" s="261" t="s">
        <v>1729</v>
      </c>
      <c r="E158" s="261" t="s">
        <v>1110</v>
      </c>
      <c r="F158">
        <v>32.4</v>
      </c>
      <c r="G158" s="215">
        <v>46084</v>
      </c>
      <c r="H158" s="261" t="s">
        <v>987</v>
      </c>
      <c r="I158" s="261" t="s">
        <v>1032</v>
      </c>
      <c r="J158">
        <v>138000</v>
      </c>
      <c r="K158" s="261" t="s">
        <v>1087</v>
      </c>
      <c r="L158">
        <v>25925</v>
      </c>
      <c r="M158">
        <v>1</v>
      </c>
      <c r="N158">
        <v>2</v>
      </c>
      <c r="O158">
        <v>25925</v>
      </c>
      <c r="P158" s="261" t="s">
        <v>2193</v>
      </c>
      <c r="Q158">
        <v>40738.545000000006</v>
      </c>
      <c r="R158">
        <v>158700</v>
      </c>
      <c r="S158">
        <v>5141880</v>
      </c>
      <c r="T158">
        <v>1319928.858</v>
      </c>
      <c r="U158">
        <v>3821951.142</v>
      </c>
      <c r="V158">
        <v>0.74329839319470703</v>
      </c>
      <c r="W158" s="261" t="s">
        <v>1575</v>
      </c>
      <c r="X158">
        <v>4</v>
      </c>
      <c r="Y158">
        <v>0.72597903591682422</v>
      </c>
    </row>
    <row r="159" spans="1:25" x14ac:dyDescent="0.25">
      <c r="A159" s="261" t="s">
        <v>1199</v>
      </c>
      <c r="B159" s="261" t="s">
        <v>1200</v>
      </c>
      <c r="C159" s="261" t="s">
        <v>1068</v>
      </c>
      <c r="D159" s="261" t="s">
        <v>1730</v>
      </c>
      <c r="E159" s="261" t="s">
        <v>1110</v>
      </c>
      <c r="F159">
        <v>32.4</v>
      </c>
      <c r="G159" s="215">
        <v>46084</v>
      </c>
      <c r="H159" s="261" t="s">
        <v>987</v>
      </c>
      <c r="I159" s="261" t="s">
        <v>1032</v>
      </c>
      <c r="J159">
        <v>138000</v>
      </c>
      <c r="K159" s="261" t="s">
        <v>1087</v>
      </c>
      <c r="L159">
        <v>25925</v>
      </c>
      <c r="M159">
        <v>1</v>
      </c>
      <c r="N159">
        <v>2</v>
      </c>
      <c r="O159">
        <v>25925</v>
      </c>
      <c r="P159" s="261" t="s">
        <v>2193</v>
      </c>
      <c r="Q159">
        <v>40738.545000000006</v>
      </c>
      <c r="R159">
        <v>158700</v>
      </c>
      <c r="S159">
        <v>5141880</v>
      </c>
      <c r="T159">
        <v>1319928.858</v>
      </c>
      <c r="U159">
        <v>3821951.142</v>
      </c>
      <c r="V159">
        <v>0.74329839319470703</v>
      </c>
      <c r="W159" s="261" t="s">
        <v>1575</v>
      </c>
      <c r="X159">
        <v>4</v>
      </c>
      <c r="Y159">
        <v>0.72597903591682422</v>
      </c>
    </row>
    <row r="160" spans="1:25" x14ac:dyDescent="0.25">
      <c r="A160" s="261" t="s">
        <v>1199</v>
      </c>
      <c r="B160" s="261" t="s">
        <v>1200</v>
      </c>
      <c r="C160" s="261" t="s">
        <v>1068</v>
      </c>
      <c r="D160" s="261" t="s">
        <v>1762</v>
      </c>
      <c r="E160" s="261" t="s">
        <v>1110</v>
      </c>
      <c r="F160">
        <v>45.22</v>
      </c>
      <c r="G160" s="215">
        <v>46084</v>
      </c>
      <c r="H160" s="261" t="s">
        <v>987</v>
      </c>
      <c r="I160" s="261" t="s">
        <v>1032</v>
      </c>
      <c r="J160">
        <v>138000</v>
      </c>
      <c r="K160" s="261" t="s">
        <v>1087</v>
      </c>
      <c r="L160">
        <v>25925</v>
      </c>
      <c r="M160">
        <v>1</v>
      </c>
      <c r="N160">
        <v>2</v>
      </c>
      <c r="O160">
        <v>25925</v>
      </c>
      <c r="P160" s="261" t="s">
        <v>2193</v>
      </c>
      <c r="Q160">
        <v>40738.545000000006</v>
      </c>
      <c r="R160">
        <v>158700</v>
      </c>
      <c r="S160">
        <v>7176414</v>
      </c>
      <c r="T160">
        <v>1842197.0049000003</v>
      </c>
      <c r="U160">
        <v>5334216.9950999999</v>
      </c>
      <c r="V160">
        <v>0.74329839319470703</v>
      </c>
      <c r="W160" s="261" t="s">
        <v>1575</v>
      </c>
      <c r="X160">
        <v>4</v>
      </c>
      <c r="Y160">
        <v>0.72597903591682422</v>
      </c>
    </row>
    <row r="161" spans="1:25" x14ac:dyDescent="0.25">
      <c r="A161" s="261" t="s">
        <v>1199</v>
      </c>
      <c r="B161" s="261" t="s">
        <v>1200</v>
      </c>
      <c r="C161" s="261" t="s">
        <v>1068</v>
      </c>
      <c r="D161" s="261" t="s">
        <v>1765</v>
      </c>
      <c r="E161" s="261" t="s">
        <v>1110</v>
      </c>
      <c r="F161">
        <v>26.88</v>
      </c>
      <c r="G161" s="215">
        <v>46084</v>
      </c>
      <c r="H161" s="261" t="s">
        <v>987</v>
      </c>
      <c r="I161" s="261" t="s">
        <v>1032</v>
      </c>
      <c r="J161">
        <v>138000</v>
      </c>
      <c r="K161" s="261" t="s">
        <v>1087</v>
      </c>
      <c r="L161">
        <v>25925</v>
      </c>
      <c r="M161">
        <v>1</v>
      </c>
      <c r="N161">
        <v>2</v>
      </c>
      <c r="O161">
        <v>25925</v>
      </c>
      <c r="P161" s="261" t="s">
        <v>2193</v>
      </c>
      <c r="Q161">
        <v>40738.545000000006</v>
      </c>
      <c r="R161">
        <v>158700</v>
      </c>
      <c r="S161">
        <v>4265856</v>
      </c>
      <c r="T161">
        <v>1095052.0896000001</v>
      </c>
      <c r="U161">
        <v>3170803.9103999999</v>
      </c>
      <c r="V161">
        <v>0.74329839319470703</v>
      </c>
      <c r="W161" s="261" t="s">
        <v>1575</v>
      </c>
      <c r="X161">
        <v>4</v>
      </c>
      <c r="Y161">
        <v>0.72597903591682422</v>
      </c>
    </row>
    <row r="162" spans="1:25" x14ac:dyDescent="0.25">
      <c r="A162" s="261" t="s">
        <v>1199</v>
      </c>
      <c r="B162" s="261" t="s">
        <v>1200</v>
      </c>
      <c r="C162" s="261" t="s">
        <v>1070</v>
      </c>
      <c r="D162" s="261" t="s">
        <v>1729</v>
      </c>
      <c r="E162" s="261" t="s">
        <v>1110</v>
      </c>
      <c r="F162">
        <v>28.18</v>
      </c>
      <c r="G162" s="215">
        <v>46084</v>
      </c>
      <c r="H162" s="261" t="s">
        <v>987</v>
      </c>
      <c r="I162" s="261" t="s">
        <v>1032</v>
      </c>
      <c r="J162">
        <v>138000</v>
      </c>
      <c r="K162" s="261" t="s">
        <v>1087</v>
      </c>
      <c r="L162">
        <v>25925</v>
      </c>
      <c r="M162">
        <v>1</v>
      </c>
      <c r="N162">
        <v>2</v>
      </c>
      <c r="O162">
        <v>25925</v>
      </c>
      <c r="P162" s="261" t="s">
        <v>2193</v>
      </c>
      <c r="Q162">
        <v>40738.545000000006</v>
      </c>
      <c r="R162">
        <v>158700</v>
      </c>
      <c r="S162">
        <v>4472166</v>
      </c>
      <c r="T162">
        <v>1148012.1981000002</v>
      </c>
      <c r="U162">
        <v>3324153.8018999998</v>
      </c>
      <c r="V162">
        <v>0.74329839319470692</v>
      </c>
      <c r="W162" s="261" t="s">
        <v>1575</v>
      </c>
      <c r="X162">
        <v>4</v>
      </c>
      <c r="Y162">
        <v>0.72597903591682411</v>
      </c>
    </row>
    <row r="163" spans="1:25" x14ac:dyDescent="0.25">
      <c r="A163" s="261" t="s">
        <v>1201</v>
      </c>
      <c r="B163" s="261" t="s">
        <v>1202</v>
      </c>
      <c r="C163" s="261" t="s">
        <v>1068</v>
      </c>
      <c r="D163" s="261" t="s">
        <v>1542</v>
      </c>
      <c r="E163" s="261" t="s">
        <v>1084</v>
      </c>
      <c r="F163">
        <v>1</v>
      </c>
      <c r="G163" s="215">
        <v>46084</v>
      </c>
      <c r="H163" s="261" t="s">
        <v>987</v>
      </c>
      <c r="I163" s="261" t="s">
        <v>1032</v>
      </c>
      <c r="J163">
        <v>345000</v>
      </c>
      <c r="K163" s="261" t="s">
        <v>1087</v>
      </c>
      <c r="L163">
        <v>131150</v>
      </c>
      <c r="M163">
        <v>1</v>
      </c>
      <c r="N163">
        <v>2</v>
      </c>
      <c r="O163">
        <v>131150</v>
      </c>
      <c r="P163" s="261" t="s">
        <v>2193</v>
      </c>
      <c r="Q163">
        <v>206089.11000000002</v>
      </c>
      <c r="R163">
        <v>396749.99999999994</v>
      </c>
      <c r="S163">
        <v>396749.99999999994</v>
      </c>
      <c r="T163">
        <v>206089.11000000002</v>
      </c>
      <c r="U163">
        <v>190660.88999999993</v>
      </c>
      <c r="V163">
        <v>0.48055674858223052</v>
      </c>
      <c r="W163" s="261" t="s">
        <v>1575</v>
      </c>
      <c r="X163">
        <v>5</v>
      </c>
      <c r="Y163">
        <v>0.56833404914933827</v>
      </c>
    </row>
    <row r="164" spans="1:25" x14ac:dyDescent="0.25">
      <c r="A164" s="261" t="s">
        <v>1204</v>
      </c>
      <c r="B164" s="261" t="s">
        <v>1205</v>
      </c>
      <c r="C164" s="261" t="s">
        <v>1068</v>
      </c>
      <c r="D164" s="261" t="s">
        <v>1542</v>
      </c>
      <c r="E164" s="261" t="s">
        <v>1084</v>
      </c>
      <c r="F164">
        <v>1</v>
      </c>
      <c r="G164" s="215">
        <v>46084</v>
      </c>
      <c r="H164" s="261" t="s">
        <v>987</v>
      </c>
      <c r="I164" s="261" t="s">
        <v>1032</v>
      </c>
      <c r="J164">
        <v>230000</v>
      </c>
      <c r="K164" s="261" t="s">
        <v>1087</v>
      </c>
      <c r="L164">
        <v>76250</v>
      </c>
      <c r="M164">
        <v>1</v>
      </c>
      <c r="N164">
        <v>2</v>
      </c>
      <c r="O164">
        <v>76250</v>
      </c>
      <c r="P164" s="261" t="s">
        <v>2193</v>
      </c>
      <c r="Q164">
        <v>119819.25000000001</v>
      </c>
      <c r="R164">
        <v>264500</v>
      </c>
      <c r="S164">
        <v>264500</v>
      </c>
      <c r="T164">
        <v>119819.25000000001</v>
      </c>
      <c r="U164">
        <v>144680.75</v>
      </c>
      <c r="V164">
        <v>0.54699716446124769</v>
      </c>
      <c r="W164" s="261" t="s">
        <v>1575</v>
      </c>
      <c r="X164">
        <v>5</v>
      </c>
      <c r="Y164">
        <v>0.60819829867674857</v>
      </c>
    </row>
    <row r="165" spans="1:25" x14ac:dyDescent="0.25">
      <c r="A165" s="261" t="s">
        <v>1206</v>
      </c>
      <c r="B165" s="261" t="s">
        <v>1207</v>
      </c>
      <c r="C165" s="261" t="s">
        <v>1068</v>
      </c>
      <c r="D165" s="261" t="s">
        <v>1542</v>
      </c>
      <c r="E165" s="261" t="s">
        <v>1110</v>
      </c>
      <c r="F165">
        <v>43.16</v>
      </c>
      <c r="G165" s="215">
        <v>46084</v>
      </c>
      <c r="H165" s="261" t="s">
        <v>987</v>
      </c>
      <c r="I165" s="261" t="s">
        <v>1032</v>
      </c>
      <c r="J165">
        <v>189750</v>
      </c>
      <c r="K165" s="261" t="s">
        <v>1087</v>
      </c>
      <c r="L165">
        <v>39650</v>
      </c>
      <c r="M165">
        <v>1</v>
      </c>
      <c r="N165">
        <v>2</v>
      </c>
      <c r="O165">
        <v>39650</v>
      </c>
      <c r="P165" s="261" t="s">
        <v>2193</v>
      </c>
      <c r="Q165">
        <v>62306.01</v>
      </c>
      <c r="R165">
        <v>218212.49999999997</v>
      </c>
      <c r="S165">
        <v>9418051.4999999981</v>
      </c>
      <c r="T165">
        <v>2689127.3915999997</v>
      </c>
      <c r="U165">
        <v>6728924.1083999984</v>
      </c>
      <c r="V165">
        <v>0.71447094002405909</v>
      </c>
      <c r="W165" s="261" t="s">
        <v>1575</v>
      </c>
      <c r="X165">
        <v>5</v>
      </c>
      <c r="Y165">
        <v>0.70868256401443541</v>
      </c>
    </row>
    <row r="166" spans="1:25" x14ac:dyDescent="0.25">
      <c r="A166" s="261" t="s">
        <v>1208</v>
      </c>
      <c r="B166" s="261" t="s">
        <v>1209</v>
      </c>
      <c r="C166" s="261" t="s">
        <v>1068</v>
      </c>
      <c r="D166" s="261" t="s">
        <v>1542</v>
      </c>
      <c r="E166" s="261" t="s">
        <v>1084</v>
      </c>
      <c r="F166">
        <v>1</v>
      </c>
      <c r="G166" s="215">
        <v>46084</v>
      </c>
      <c r="H166" s="261" t="s">
        <v>987</v>
      </c>
      <c r="I166" s="261" t="s">
        <v>1032</v>
      </c>
      <c r="J166">
        <v>1092500</v>
      </c>
      <c r="K166" s="261" t="s">
        <v>1087</v>
      </c>
      <c r="L166">
        <v>366000</v>
      </c>
      <c r="M166">
        <v>1</v>
      </c>
      <c r="N166">
        <v>2</v>
      </c>
      <c r="O166">
        <v>366000</v>
      </c>
      <c r="P166" s="261" t="s">
        <v>2193</v>
      </c>
      <c r="Q166">
        <v>575132.4</v>
      </c>
      <c r="R166">
        <v>1256375</v>
      </c>
      <c r="S166">
        <v>1256375</v>
      </c>
      <c r="T166">
        <v>575132.4</v>
      </c>
      <c r="U166">
        <v>681242.6</v>
      </c>
      <c r="V166">
        <v>0.54222871356083968</v>
      </c>
      <c r="W166" s="261" t="s">
        <v>1575</v>
      </c>
      <c r="X166">
        <v>5</v>
      </c>
      <c r="Y166">
        <v>0.60533722813650381</v>
      </c>
    </row>
    <row r="167" spans="1:25" x14ac:dyDescent="0.25">
      <c r="A167" s="261" t="s">
        <v>1210</v>
      </c>
      <c r="B167" s="261" t="s">
        <v>1211</v>
      </c>
      <c r="C167" s="261" t="s">
        <v>1068</v>
      </c>
      <c r="D167" s="261" t="s">
        <v>1542</v>
      </c>
      <c r="E167" s="261" t="s">
        <v>1110</v>
      </c>
      <c r="F167">
        <v>6.74</v>
      </c>
      <c r="G167" s="215">
        <v>46084</v>
      </c>
      <c r="H167" s="261" t="s">
        <v>987</v>
      </c>
      <c r="I167" s="261" t="s">
        <v>1032</v>
      </c>
      <c r="J167">
        <v>97750</v>
      </c>
      <c r="K167" s="261" t="s">
        <v>1087</v>
      </c>
      <c r="L167">
        <v>22875</v>
      </c>
      <c r="M167">
        <v>1</v>
      </c>
      <c r="N167">
        <v>2</v>
      </c>
      <c r="O167">
        <v>22875</v>
      </c>
      <c r="P167" s="261" t="s">
        <v>2193</v>
      </c>
      <c r="Q167">
        <v>35945.775000000001</v>
      </c>
      <c r="R167">
        <v>112412.49999999999</v>
      </c>
      <c r="S167">
        <v>757660.24999999988</v>
      </c>
      <c r="T167">
        <v>242274.52350000001</v>
      </c>
      <c r="U167">
        <v>515385.72649999987</v>
      </c>
      <c r="V167">
        <v>0.68023329256088061</v>
      </c>
      <c r="W167" s="261" t="s">
        <v>1575</v>
      </c>
      <c r="X167">
        <v>5</v>
      </c>
      <c r="Y167">
        <v>0.68813997553652839</v>
      </c>
    </row>
    <row r="168" spans="1:25" x14ac:dyDescent="0.25">
      <c r="A168" s="261" t="s">
        <v>1212</v>
      </c>
      <c r="B168" s="261" t="s">
        <v>1213</v>
      </c>
      <c r="C168" s="261" t="s">
        <v>1068</v>
      </c>
      <c r="D168" s="261" t="s">
        <v>1542</v>
      </c>
      <c r="E168" s="261" t="s">
        <v>1110</v>
      </c>
      <c r="F168">
        <v>11.24</v>
      </c>
      <c r="G168" s="215">
        <v>46084</v>
      </c>
      <c r="H168" s="261" t="s">
        <v>987</v>
      </c>
      <c r="I168" s="261" t="s">
        <v>1032</v>
      </c>
      <c r="J168">
        <v>97750</v>
      </c>
      <c r="K168" s="261" t="s">
        <v>1087</v>
      </c>
      <c r="L168">
        <v>12200</v>
      </c>
      <c r="M168">
        <v>1</v>
      </c>
      <c r="N168">
        <v>2</v>
      </c>
      <c r="O168">
        <v>12200</v>
      </c>
      <c r="P168" s="261" t="s">
        <v>2193</v>
      </c>
      <c r="Q168">
        <v>19171.080000000002</v>
      </c>
      <c r="R168">
        <v>112412.49999999999</v>
      </c>
      <c r="S168">
        <v>1263516.4999999998</v>
      </c>
      <c r="T168">
        <v>215482.93920000002</v>
      </c>
      <c r="U168">
        <v>1048033.5607999997</v>
      </c>
      <c r="V168">
        <v>0.82945775603246963</v>
      </c>
      <c r="W168" s="261" t="s">
        <v>1575</v>
      </c>
      <c r="X168">
        <v>5</v>
      </c>
      <c r="Y168">
        <v>0.77767465361948174</v>
      </c>
    </row>
    <row r="169" spans="1:25" x14ac:dyDescent="0.25">
      <c r="A169" s="261" t="s">
        <v>1214</v>
      </c>
      <c r="B169" s="261" t="s">
        <v>1793</v>
      </c>
      <c r="C169" s="261" t="s">
        <v>1068</v>
      </c>
      <c r="D169" s="261" t="s">
        <v>1729</v>
      </c>
      <c r="E169" s="261" t="s">
        <v>1084</v>
      </c>
      <c r="F169">
        <v>1</v>
      </c>
      <c r="G169" s="215">
        <v>46084</v>
      </c>
      <c r="H169" s="261" t="s">
        <v>987</v>
      </c>
      <c r="I169" s="261" t="s">
        <v>1032</v>
      </c>
      <c r="J169">
        <v>759000</v>
      </c>
      <c r="K169" s="261" t="s">
        <v>1087</v>
      </c>
      <c r="L169">
        <v>152500</v>
      </c>
      <c r="M169">
        <v>1</v>
      </c>
      <c r="N169">
        <v>2</v>
      </c>
      <c r="O169">
        <v>152500</v>
      </c>
      <c r="P169" s="261" t="s">
        <v>2193</v>
      </c>
      <c r="Q169">
        <v>239638.50000000003</v>
      </c>
      <c r="R169">
        <v>872849.99999999988</v>
      </c>
      <c r="S169">
        <v>872849.99999999988</v>
      </c>
      <c r="T169">
        <v>239638.50000000003</v>
      </c>
      <c r="U169">
        <v>633211.49999999988</v>
      </c>
      <c r="V169">
        <v>0.7254528269462106</v>
      </c>
      <c r="W169" s="261" t="s">
        <v>1575</v>
      </c>
      <c r="X169">
        <v>6</v>
      </c>
      <c r="Y169">
        <v>0.71527169616772635</v>
      </c>
    </row>
    <row r="170" spans="1:25" x14ac:dyDescent="0.25">
      <c r="A170" s="261" t="s">
        <v>1214</v>
      </c>
      <c r="B170" s="261" t="s">
        <v>1794</v>
      </c>
      <c r="C170" s="261" t="s">
        <v>1068</v>
      </c>
      <c r="D170" s="261" t="s">
        <v>1729</v>
      </c>
      <c r="E170" s="261" t="s">
        <v>1084</v>
      </c>
      <c r="F170">
        <v>1</v>
      </c>
      <c r="G170" s="215">
        <v>46084</v>
      </c>
      <c r="H170" s="261" t="s">
        <v>987</v>
      </c>
      <c r="I170" s="261" t="s">
        <v>1032</v>
      </c>
      <c r="J170">
        <v>759000</v>
      </c>
      <c r="K170" s="261" t="s">
        <v>1087</v>
      </c>
      <c r="L170">
        <v>152500</v>
      </c>
      <c r="M170">
        <v>1</v>
      </c>
      <c r="N170">
        <v>2</v>
      </c>
      <c r="O170">
        <v>152500</v>
      </c>
      <c r="P170" s="261" t="s">
        <v>2193</v>
      </c>
      <c r="Q170">
        <v>239638.50000000003</v>
      </c>
      <c r="R170">
        <v>872849.99999999988</v>
      </c>
      <c r="S170">
        <v>872849.99999999988</v>
      </c>
      <c r="T170">
        <v>239638.50000000003</v>
      </c>
      <c r="U170">
        <v>633211.49999999988</v>
      </c>
      <c r="V170">
        <v>0.7254528269462106</v>
      </c>
      <c r="W170" s="261" t="s">
        <v>1575</v>
      </c>
      <c r="X170">
        <v>6</v>
      </c>
      <c r="Y170">
        <v>0.71527169616772635</v>
      </c>
    </row>
    <row r="171" spans="1:25" x14ac:dyDescent="0.25">
      <c r="A171" s="261" t="s">
        <v>1214</v>
      </c>
      <c r="B171" s="261" t="s">
        <v>1795</v>
      </c>
      <c r="C171" s="261" t="s">
        <v>1068</v>
      </c>
      <c r="D171" s="261" t="s">
        <v>1729</v>
      </c>
      <c r="E171" s="261" t="s">
        <v>1084</v>
      </c>
      <c r="F171">
        <v>1</v>
      </c>
      <c r="G171" s="215">
        <v>46084</v>
      </c>
      <c r="H171" s="261" t="s">
        <v>987</v>
      </c>
      <c r="I171" s="261" t="s">
        <v>1032</v>
      </c>
      <c r="J171">
        <v>759000</v>
      </c>
      <c r="K171" s="261" t="s">
        <v>1087</v>
      </c>
      <c r="L171">
        <v>152500</v>
      </c>
      <c r="M171">
        <v>1</v>
      </c>
      <c r="N171">
        <v>2</v>
      </c>
      <c r="O171">
        <v>152500</v>
      </c>
      <c r="P171" s="261" t="s">
        <v>2193</v>
      </c>
      <c r="Q171">
        <v>239638.50000000003</v>
      </c>
      <c r="R171">
        <v>872849.99999999988</v>
      </c>
      <c r="S171">
        <v>872849.99999999988</v>
      </c>
      <c r="T171">
        <v>239638.50000000003</v>
      </c>
      <c r="U171">
        <v>633211.49999999988</v>
      </c>
      <c r="V171">
        <v>0.7254528269462106</v>
      </c>
      <c r="W171" s="261" t="s">
        <v>1575</v>
      </c>
      <c r="X171">
        <v>6</v>
      </c>
      <c r="Y171">
        <v>0.71527169616772635</v>
      </c>
    </row>
    <row r="172" spans="1:25" x14ac:dyDescent="0.25">
      <c r="A172" s="261" t="s">
        <v>1214</v>
      </c>
      <c r="B172" s="261" t="s">
        <v>1796</v>
      </c>
      <c r="C172" s="261" t="s">
        <v>1068</v>
      </c>
      <c r="D172" s="261" t="s">
        <v>1729</v>
      </c>
      <c r="E172" s="261" t="s">
        <v>1084</v>
      </c>
      <c r="F172">
        <v>1</v>
      </c>
      <c r="G172" s="215">
        <v>46084</v>
      </c>
      <c r="H172" s="261" t="s">
        <v>987</v>
      </c>
      <c r="I172" s="261" t="s">
        <v>1032</v>
      </c>
      <c r="J172">
        <v>759000</v>
      </c>
      <c r="K172" s="261" t="s">
        <v>1087</v>
      </c>
      <c r="L172">
        <v>152500</v>
      </c>
      <c r="M172">
        <v>1</v>
      </c>
      <c r="N172">
        <v>2</v>
      </c>
      <c r="O172">
        <v>152500</v>
      </c>
      <c r="P172" s="261" t="s">
        <v>2193</v>
      </c>
      <c r="Q172">
        <v>239638.50000000003</v>
      </c>
      <c r="R172">
        <v>872849.99999999988</v>
      </c>
      <c r="S172">
        <v>872849.99999999988</v>
      </c>
      <c r="T172">
        <v>239638.50000000003</v>
      </c>
      <c r="U172">
        <v>633211.49999999988</v>
      </c>
      <c r="V172">
        <v>0.7254528269462106</v>
      </c>
      <c r="W172" s="261" t="s">
        <v>1575</v>
      </c>
      <c r="X172">
        <v>6</v>
      </c>
      <c r="Y172">
        <v>0.71527169616772635</v>
      </c>
    </row>
    <row r="173" spans="1:25" x14ac:dyDescent="0.25">
      <c r="A173" s="261" t="s">
        <v>1214</v>
      </c>
      <c r="B173" s="261" t="s">
        <v>1797</v>
      </c>
      <c r="C173" s="261" t="s">
        <v>1068</v>
      </c>
      <c r="D173" s="261" t="s">
        <v>1729</v>
      </c>
      <c r="E173" s="261" t="s">
        <v>1084</v>
      </c>
      <c r="F173">
        <v>1</v>
      </c>
      <c r="G173" s="215">
        <v>46084</v>
      </c>
      <c r="H173" s="261" t="s">
        <v>987</v>
      </c>
      <c r="I173" s="261" t="s">
        <v>1032</v>
      </c>
      <c r="J173">
        <v>759000</v>
      </c>
      <c r="K173" s="261" t="s">
        <v>1087</v>
      </c>
      <c r="L173">
        <v>152500</v>
      </c>
      <c r="M173">
        <v>1</v>
      </c>
      <c r="N173">
        <v>2</v>
      </c>
      <c r="O173">
        <v>152500</v>
      </c>
      <c r="P173" s="261" t="s">
        <v>2193</v>
      </c>
      <c r="Q173">
        <v>239638.50000000003</v>
      </c>
      <c r="R173">
        <v>872849.99999999988</v>
      </c>
      <c r="S173">
        <v>872849.99999999988</v>
      </c>
      <c r="T173">
        <v>239638.50000000003</v>
      </c>
      <c r="U173">
        <v>633211.49999999988</v>
      </c>
      <c r="V173">
        <v>0.7254528269462106</v>
      </c>
      <c r="W173" s="261" t="s">
        <v>1575</v>
      </c>
      <c r="X173">
        <v>6</v>
      </c>
      <c r="Y173">
        <v>0.71527169616772635</v>
      </c>
    </row>
    <row r="174" spans="1:25" x14ac:dyDescent="0.25">
      <c r="A174" s="261" t="s">
        <v>1214</v>
      </c>
      <c r="B174" s="261" t="s">
        <v>1798</v>
      </c>
      <c r="C174" s="261" t="s">
        <v>1068</v>
      </c>
      <c r="D174" s="261" t="s">
        <v>1729</v>
      </c>
      <c r="E174" s="261" t="s">
        <v>1084</v>
      </c>
      <c r="F174">
        <v>1</v>
      </c>
      <c r="G174" s="215">
        <v>46084</v>
      </c>
      <c r="H174" s="261" t="s">
        <v>987</v>
      </c>
      <c r="I174" s="261" t="s">
        <v>1032</v>
      </c>
      <c r="J174">
        <v>759000</v>
      </c>
      <c r="K174" s="261" t="s">
        <v>1087</v>
      </c>
      <c r="L174">
        <v>152500</v>
      </c>
      <c r="M174">
        <v>1</v>
      </c>
      <c r="N174">
        <v>2</v>
      </c>
      <c r="O174">
        <v>152500</v>
      </c>
      <c r="P174" s="261" t="s">
        <v>2193</v>
      </c>
      <c r="Q174">
        <v>239638.50000000003</v>
      </c>
      <c r="R174">
        <v>872849.99999999988</v>
      </c>
      <c r="S174">
        <v>872849.99999999988</v>
      </c>
      <c r="T174">
        <v>239638.50000000003</v>
      </c>
      <c r="U174">
        <v>633211.49999999988</v>
      </c>
      <c r="V174">
        <v>0.7254528269462106</v>
      </c>
      <c r="W174" s="261" t="s">
        <v>1575</v>
      </c>
      <c r="X174">
        <v>6</v>
      </c>
      <c r="Y174">
        <v>0.71527169616772635</v>
      </c>
    </row>
    <row r="175" spans="1:25" x14ac:dyDescent="0.25">
      <c r="A175" s="261" t="s">
        <v>1214</v>
      </c>
      <c r="B175" s="261" t="s">
        <v>1800</v>
      </c>
      <c r="C175" s="261" t="s">
        <v>1068</v>
      </c>
      <c r="D175" s="261" t="s">
        <v>1762</v>
      </c>
      <c r="E175" s="261" t="s">
        <v>1084</v>
      </c>
      <c r="F175">
        <v>2</v>
      </c>
      <c r="G175" s="215">
        <v>46084</v>
      </c>
      <c r="H175" s="261" t="s">
        <v>987</v>
      </c>
      <c r="I175" s="261" t="s">
        <v>1032</v>
      </c>
      <c r="J175">
        <v>759000</v>
      </c>
      <c r="K175" s="261" t="s">
        <v>1087</v>
      </c>
      <c r="L175">
        <v>152500</v>
      </c>
      <c r="M175">
        <v>1</v>
      </c>
      <c r="N175">
        <v>2</v>
      </c>
      <c r="O175">
        <v>152500</v>
      </c>
      <c r="P175" s="261" t="s">
        <v>2193</v>
      </c>
      <c r="Q175">
        <v>239638.50000000003</v>
      </c>
      <c r="R175">
        <v>872849.99999999988</v>
      </c>
      <c r="S175">
        <v>1745699.9999999998</v>
      </c>
      <c r="T175">
        <v>479277.00000000006</v>
      </c>
      <c r="U175">
        <v>1266422.9999999998</v>
      </c>
      <c r="V175">
        <v>0.7254528269462106</v>
      </c>
      <c r="W175" s="261" t="s">
        <v>1575</v>
      </c>
      <c r="X175">
        <v>6</v>
      </c>
      <c r="Y175">
        <v>0.71527169616772635</v>
      </c>
    </row>
    <row r="176" spans="1:25" x14ac:dyDescent="0.25">
      <c r="A176" s="261" t="s">
        <v>1214</v>
      </c>
      <c r="B176" s="261" t="s">
        <v>1801</v>
      </c>
      <c r="C176" s="261" t="s">
        <v>1068</v>
      </c>
      <c r="D176" s="261" t="s">
        <v>1762</v>
      </c>
      <c r="E176" s="261" t="s">
        <v>1084</v>
      </c>
      <c r="F176">
        <v>1</v>
      </c>
      <c r="G176" s="215">
        <v>46084</v>
      </c>
      <c r="H176" s="261" t="s">
        <v>987</v>
      </c>
      <c r="I176" s="261" t="s">
        <v>1032</v>
      </c>
      <c r="J176">
        <v>759000</v>
      </c>
      <c r="K176" s="261" t="s">
        <v>1087</v>
      </c>
      <c r="L176">
        <v>152500</v>
      </c>
      <c r="M176">
        <v>1</v>
      </c>
      <c r="N176">
        <v>2</v>
      </c>
      <c r="O176">
        <v>152500</v>
      </c>
      <c r="P176" s="261" t="s">
        <v>2193</v>
      </c>
      <c r="Q176">
        <v>239638.50000000003</v>
      </c>
      <c r="R176">
        <v>872849.99999999988</v>
      </c>
      <c r="S176">
        <v>872849.99999999988</v>
      </c>
      <c r="T176">
        <v>239638.50000000003</v>
      </c>
      <c r="U176">
        <v>633211.49999999988</v>
      </c>
      <c r="V176">
        <v>0.7254528269462106</v>
      </c>
      <c r="W176" s="261" t="s">
        <v>1575</v>
      </c>
      <c r="X176">
        <v>6</v>
      </c>
      <c r="Y176">
        <v>0.71527169616772635</v>
      </c>
    </row>
    <row r="177" spans="1:25" x14ac:dyDescent="0.25">
      <c r="A177" s="261" t="s">
        <v>1214</v>
      </c>
      <c r="B177" s="261" t="s">
        <v>1802</v>
      </c>
      <c r="C177" s="261" t="s">
        <v>1068</v>
      </c>
      <c r="D177" s="261" t="s">
        <v>1765</v>
      </c>
      <c r="E177" s="261" t="s">
        <v>1084</v>
      </c>
      <c r="F177">
        <v>2</v>
      </c>
      <c r="G177" s="215">
        <v>46084</v>
      </c>
      <c r="H177" s="261" t="s">
        <v>987</v>
      </c>
      <c r="I177" s="261" t="s">
        <v>1032</v>
      </c>
      <c r="J177">
        <v>759000</v>
      </c>
      <c r="K177" s="261" t="s">
        <v>1087</v>
      </c>
      <c r="L177">
        <v>152500</v>
      </c>
      <c r="M177">
        <v>1</v>
      </c>
      <c r="N177">
        <v>2</v>
      </c>
      <c r="O177">
        <v>152500</v>
      </c>
      <c r="P177" s="261" t="s">
        <v>2193</v>
      </c>
      <c r="Q177">
        <v>239638.50000000003</v>
      </c>
      <c r="R177">
        <v>872849.99999999988</v>
      </c>
      <c r="S177">
        <v>1745699.9999999998</v>
      </c>
      <c r="T177">
        <v>479277.00000000006</v>
      </c>
      <c r="U177">
        <v>1266422.9999999998</v>
      </c>
      <c r="V177">
        <v>0.7254528269462106</v>
      </c>
      <c r="W177" s="261" t="s">
        <v>1575</v>
      </c>
      <c r="X177">
        <v>6</v>
      </c>
      <c r="Y177">
        <v>0.71527169616772635</v>
      </c>
    </row>
    <row r="178" spans="1:25" x14ac:dyDescent="0.25">
      <c r="A178" s="261" t="s">
        <v>1214</v>
      </c>
      <c r="B178" s="261" t="s">
        <v>1803</v>
      </c>
      <c r="C178" s="261" t="s">
        <v>1068</v>
      </c>
      <c r="D178" s="261" t="s">
        <v>1765</v>
      </c>
      <c r="E178" s="261" t="s">
        <v>1084</v>
      </c>
      <c r="F178">
        <v>2</v>
      </c>
      <c r="G178" s="215">
        <v>46084</v>
      </c>
      <c r="H178" s="261" t="s">
        <v>987</v>
      </c>
      <c r="I178" s="261" t="s">
        <v>1032</v>
      </c>
      <c r="J178">
        <v>759000</v>
      </c>
      <c r="K178" s="261" t="s">
        <v>1087</v>
      </c>
      <c r="L178">
        <v>152500</v>
      </c>
      <c r="M178">
        <v>1</v>
      </c>
      <c r="N178">
        <v>2</v>
      </c>
      <c r="O178">
        <v>152500</v>
      </c>
      <c r="P178" s="261" t="s">
        <v>2193</v>
      </c>
      <c r="Q178">
        <v>239638.50000000003</v>
      </c>
      <c r="R178">
        <v>872849.99999999988</v>
      </c>
      <c r="S178">
        <v>1745699.9999999998</v>
      </c>
      <c r="T178">
        <v>479277.00000000006</v>
      </c>
      <c r="U178">
        <v>1266422.9999999998</v>
      </c>
      <c r="V178">
        <v>0.7254528269462106</v>
      </c>
      <c r="W178" s="261" t="s">
        <v>1575</v>
      </c>
      <c r="X178">
        <v>6</v>
      </c>
      <c r="Y178">
        <v>0.71527169616772635</v>
      </c>
    </row>
    <row r="179" spans="1:25" x14ac:dyDescent="0.25">
      <c r="A179" s="261" t="s">
        <v>1217</v>
      </c>
      <c r="B179" s="261" t="s">
        <v>1799</v>
      </c>
      <c r="C179" s="261" t="s">
        <v>1068</v>
      </c>
      <c r="D179" s="261" t="s">
        <v>1762</v>
      </c>
      <c r="E179" s="261" t="s">
        <v>1084</v>
      </c>
      <c r="F179">
        <v>7</v>
      </c>
      <c r="G179" s="215">
        <v>46084</v>
      </c>
      <c r="H179" s="261" t="s">
        <v>987</v>
      </c>
      <c r="I179" s="261" t="s">
        <v>1032</v>
      </c>
      <c r="J179">
        <v>341550</v>
      </c>
      <c r="K179" s="261" t="s">
        <v>1087</v>
      </c>
      <c r="L179">
        <v>35075</v>
      </c>
      <c r="M179">
        <v>1</v>
      </c>
      <c r="N179">
        <v>2</v>
      </c>
      <c r="O179">
        <v>35075</v>
      </c>
      <c r="P179" s="261" t="s">
        <v>2193</v>
      </c>
      <c r="Q179">
        <v>55116.855000000003</v>
      </c>
      <c r="R179">
        <v>392782.49999999994</v>
      </c>
      <c r="S179">
        <v>2749477.4999999995</v>
      </c>
      <c r="T179">
        <v>385817.98500000004</v>
      </c>
      <c r="U179">
        <v>2363659.5149999997</v>
      </c>
      <c r="V179">
        <v>0.85967588932806327</v>
      </c>
      <c r="W179" s="261" t="s">
        <v>1575</v>
      </c>
      <c r="X179">
        <v>6</v>
      </c>
      <c r="Y179">
        <v>0.79580553359683781</v>
      </c>
    </row>
    <row r="180" spans="1:25" x14ac:dyDescent="0.25">
      <c r="A180" s="261" t="s">
        <v>1217</v>
      </c>
      <c r="B180" s="261" t="s">
        <v>1799</v>
      </c>
      <c r="C180" s="261" t="s">
        <v>1068</v>
      </c>
      <c r="D180" s="261" t="s">
        <v>1765</v>
      </c>
      <c r="E180" s="261" t="s">
        <v>1084</v>
      </c>
      <c r="F180">
        <v>4</v>
      </c>
      <c r="G180" s="215">
        <v>46084</v>
      </c>
      <c r="H180" s="261" t="s">
        <v>987</v>
      </c>
      <c r="I180" s="261" t="s">
        <v>1032</v>
      </c>
      <c r="J180">
        <v>341550</v>
      </c>
      <c r="K180" s="261" t="s">
        <v>1087</v>
      </c>
      <c r="L180">
        <v>35075</v>
      </c>
      <c r="M180">
        <v>1</v>
      </c>
      <c r="N180">
        <v>2</v>
      </c>
      <c r="O180">
        <v>35075</v>
      </c>
      <c r="P180" s="261" t="s">
        <v>2193</v>
      </c>
      <c r="Q180">
        <v>55116.855000000003</v>
      </c>
      <c r="R180">
        <v>392782.49999999994</v>
      </c>
      <c r="S180">
        <v>1571129.9999999998</v>
      </c>
      <c r="T180">
        <v>220467.42</v>
      </c>
      <c r="U180">
        <v>1350662.5799999998</v>
      </c>
      <c r="V180">
        <v>0.85967588932806327</v>
      </c>
      <c r="W180" s="261" t="s">
        <v>1575</v>
      </c>
      <c r="X180">
        <v>6</v>
      </c>
      <c r="Y180">
        <v>0.79580553359683781</v>
      </c>
    </row>
    <row r="181" spans="1:25" x14ac:dyDescent="0.25">
      <c r="A181" s="261" t="s">
        <v>1219</v>
      </c>
      <c r="B181" s="261" t="s">
        <v>1220</v>
      </c>
      <c r="C181" s="261" t="s">
        <v>1068</v>
      </c>
      <c r="D181" s="261" t="s">
        <v>1762</v>
      </c>
      <c r="E181" s="261" t="s">
        <v>1177</v>
      </c>
      <c r="F181">
        <v>3.36</v>
      </c>
      <c r="G181" s="215">
        <v>46084</v>
      </c>
      <c r="H181" s="261" t="s">
        <v>987</v>
      </c>
      <c r="I181" s="261" t="s">
        <v>1032</v>
      </c>
      <c r="J181">
        <v>345000</v>
      </c>
      <c r="K181" s="261" t="s">
        <v>1087</v>
      </c>
      <c r="L181">
        <v>41175</v>
      </c>
      <c r="M181">
        <v>1</v>
      </c>
      <c r="N181">
        <v>2</v>
      </c>
      <c r="O181">
        <v>41175</v>
      </c>
      <c r="P181" s="261" t="s">
        <v>2193</v>
      </c>
      <c r="Q181">
        <v>64702.395000000004</v>
      </c>
      <c r="R181">
        <v>396749.99999999994</v>
      </c>
      <c r="S181">
        <v>1333079.9999999998</v>
      </c>
      <c r="T181">
        <v>217400.0472</v>
      </c>
      <c r="U181">
        <v>1115679.9527999999</v>
      </c>
      <c r="V181">
        <v>0.83691897920604919</v>
      </c>
      <c r="W181" s="261" t="s">
        <v>1575</v>
      </c>
      <c r="X181">
        <v>6</v>
      </c>
      <c r="Y181">
        <v>0.78215138752362956</v>
      </c>
    </row>
    <row r="182" spans="1:25" x14ac:dyDescent="0.25">
      <c r="A182" s="261" t="s">
        <v>1219</v>
      </c>
      <c r="B182" s="261" t="s">
        <v>1220</v>
      </c>
      <c r="C182" s="261" t="s">
        <v>1070</v>
      </c>
      <c r="D182" s="261" t="s">
        <v>1727</v>
      </c>
      <c r="E182" s="261" t="s">
        <v>1177</v>
      </c>
      <c r="F182">
        <v>2.94</v>
      </c>
      <c r="G182" s="215">
        <v>46084</v>
      </c>
      <c r="H182" s="261" t="s">
        <v>987</v>
      </c>
      <c r="I182" s="261" t="s">
        <v>1032</v>
      </c>
      <c r="J182">
        <v>345000</v>
      </c>
      <c r="K182" s="261" t="s">
        <v>1087</v>
      </c>
      <c r="L182">
        <v>41175</v>
      </c>
      <c r="M182">
        <v>1</v>
      </c>
      <c r="N182">
        <v>2</v>
      </c>
      <c r="O182">
        <v>41175</v>
      </c>
      <c r="P182" s="261" t="s">
        <v>2193</v>
      </c>
      <c r="Q182">
        <v>64702.395000000004</v>
      </c>
      <c r="R182">
        <v>396749.99999999994</v>
      </c>
      <c r="S182">
        <v>1166444.9999999998</v>
      </c>
      <c r="T182">
        <v>190225.04130000001</v>
      </c>
      <c r="U182">
        <v>976219.95869999973</v>
      </c>
      <c r="V182">
        <v>0.83691897920604907</v>
      </c>
      <c r="W182" s="261" t="s">
        <v>1575</v>
      </c>
      <c r="X182">
        <v>6</v>
      </c>
      <c r="Y182">
        <v>0.78215138752362934</v>
      </c>
    </row>
    <row r="183" spans="1:25" x14ac:dyDescent="0.25">
      <c r="A183" s="261" t="s">
        <v>1221</v>
      </c>
      <c r="B183" s="261" t="s">
        <v>1222</v>
      </c>
      <c r="C183" s="261" t="s">
        <v>1068</v>
      </c>
      <c r="D183" s="261" t="s">
        <v>1762</v>
      </c>
      <c r="E183" s="261" t="s">
        <v>1177</v>
      </c>
      <c r="F183">
        <v>3.36</v>
      </c>
      <c r="G183" s="215">
        <v>46084</v>
      </c>
      <c r="H183" s="261" t="s">
        <v>987</v>
      </c>
      <c r="I183" s="261" t="s">
        <v>1032</v>
      </c>
      <c r="J183">
        <v>402500</v>
      </c>
      <c r="K183" s="261" t="s">
        <v>1087</v>
      </c>
      <c r="L183">
        <v>47275</v>
      </c>
      <c r="M183">
        <v>1</v>
      </c>
      <c r="N183">
        <v>2</v>
      </c>
      <c r="O183">
        <v>47275</v>
      </c>
      <c r="P183" s="261" t="s">
        <v>2193</v>
      </c>
      <c r="Q183">
        <v>74287.934999999998</v>
      </c>
      <c r="R183">
        <v>462874.99999999994</v>
      </c>
      <c r="S183">
        <v>1555259.9999999998</v>
      </c>
      <c r="T183">
        <v>249607.46159999998</v>
      </c>
      <c r="U183">
        <v>1305652.5383999997</v>
      </c>
      <c r="V183">
        <v>0.83950756683769912</v>
      </c>
      <c r="W183" s="261" t="s">
        <v>1575</v>
      </c>
      <c r="X183">
        <v>6</v>
      </c>
      <c r="Y183">
        <v>0.78370454010261936</v>
      </c>
    </row>
    <row r="184" spans="1:25" x14ac:dyDescent="0.25">
      <c r="A184" s="261" t="s">
        <v>1221</v>
      </c>
      <c r="B184" s="261" t="s">
        <v>1222</v>
      </c>
      <c r="C184" s="261" t="s">
        <v>1070</v>
      </c>
      <c r="D184" s="261" t="s">
        <v>1727</v>
      </c>
      <c r="E184" s="261" t="s">
        <v>1177</v>
      </c>
      <c r="F184">
        <v>2.94</v>
      </c>
      <c r="G184" s="215">
        <v>46084</v>
      </c>
      <c r="H184" s="261" t="s">
        <v>987</v>
      </c>
      <c r="I184" s="261" t="s">
        <v>1032</v>
      </c>
      <c r="J184">
        <v>402500</v>
      </c>
      <c r="K184" s="261" t="s">
        <v>1087</v>
      </c>
      <c r="L184">
        <v>47275</v>
      </c>
      <c r="M184">
        <v>1</v>
      </c>
      <c r="N184">
        <v>2</v>
      </c>
      <c r="O184">
        <v>47275</v>
      </c>
      <c r="P184" s="261" t="s">
        <v>2193</v>
      </c>
      <c r="Q184">
        <v>74287.934999999998</v>
      </c>
      <c r="R184">
        <v>462874.99999999994</v>
      </c>
      <c r="S184">
        <v>1360852.4999999998</v>
      </c>
      <c r="T184">
        <v>218406.52889999998</v>
      </c>
      <c r="U184">
        <v>1142445.9710999997</v>
      </c>
      <c r="V184">
        <v>0.83950756683769912</v>
      </c>
      <c r="W184" s="261" t="s">
        <v>1575</v>
      </c>
      <c r="X184">
        <v>6</v>
      </c>
      <c r="Y184">
        <v>0.78370454010261936</v>
      </c>
    </row>
    <row r="185" spans="1:25" x14ac:dyDescent="0.25">
      <c r="A185" s="261" t="s">
        <v>1223</v>
      </c>
      <c r="B185" s="261" t="s">
        <v>1224</v>
      </c>
      <c r="C185" s="261" t="s">
        <v>1070</v>
      </c>
      <c r="D185" s="261" t="s">
        <v>1727</v>
      </c>
      <c r="E185" s="261" t="s">
        <v>1177</v>
      </c>
      <c r="F185">
        <v>2.25</v>
      </c>
      <c r="G185" s="215">
        <v>46084</v>
      </c>
      <c r="H185" s="261" t="s">
        <v>987</v>
      </c>
      <c r="I185" s="261" t="s">
        <v>1032</v>
      </c>
      <c r="J185">
        <v>402500</v>
      </c>
      <c r="K185" s="261" t="s">
        <v>1087</v>
      </c>
      <c r="L185">
        <v>47275</v>
      </c>
      <c r="M185">
        <v>1</v>
      </c>
      <c r="N185">
        <v>2</v>
      </c>
      <c r="O185">
        <v>47275</v>
      </c>
      <c r="P185" s="261" t="s">
        <v>2193</v>
      </c>
      <c r="Q185">
        <v>74287.934999999998</v>
      </c>
      <c r="R185">
        <v>462874.99999999994</v>
      </c>
      <c r="S185">
        <v>1041468.7499999999</v>
      </c>
      <c r="T185">
        <v>167147.85375000001</v>
      </c>
      <c r="U185">
        <v>874320.89624999987</v>
      </c>
      <c r="V185">
        <v>0.83950756683769912</v>
      </c>
      <c r="W185" s="261" t="s">
        <v>1575</v>
      </c>
      <c r="X185">
        <v>6</v>
      </c>
      <c r="Y185">
        <v>0.78370454010261936</v>
      </c>
    </row>
    <row r="186" spans="1:25" x14ac:dyDescent="0.25">
      <c r="A186" s="261" t="s">
        <v>1225</v>
      </c>
      <c r="B186" s="261" t="s">
        <v>1226</v>
      </c>
      <c r="C186" s="261" t="s">
        <v>1070</v>
      </c>
      <c r="D186" s="261" t="s">
        <v>1727</v>
      </c>
      <c r="E186" s="261" t="s">
        <v>1177</v>
      </c>
      <c r="F186">
        <v>2.25</v>
      </c>
      <c r="G186" s="215">
        <v>46084</v>
      </c>
      <c r="H186" s="261" t="s">
        <v>987</v>
      </c>
      <c r="I186" s="261" t="s">
        <v>1032</v>
      </c>
      <c r="J186">
        <v>402500</v>
      </c>
      <c r="K186" s="261" t="s">
        <v>1087</v>
      </c>
      <c r="L186">
        <v>47275</v>
      </c>
      <c r="M186">
        <v>1</v>
      </c>
      <c r="N186">
        <v>2</v>
      </c>
      <c r="O186">
        <v>47275</v>
      </c>
      <c r="P186" s="261" t="s">
        <v>2193</v>
      </c>
      <c r="Q186">
        <v>74287.934999999998</v>
      </c>
      <c r="R186">
        <v>462874.99999999994</v>
      </c>
      <c r="S186">
        <v>1041468.7499999999</v>
      </c>
      <c r="T186">
        <v>167147.85375000001</v>
      </c>
      <c r="U186">
        <v>874320.89624999987</v>
      </c>
      <c r="V186">
        <v>0.83950756683769912</v>
      </c>
      <c r="W186" s="261" t="s">
        <v>1575</v>
      </c>
      <c r="X186">
        <v>6</v>
      </c>
      <c r="Y186">
        <v>0.78370454010261936</v>
      </c>
    </row>
    <row r="187" spans="1:25" x14ac:dyDescent="0.25">
      <c r="A187" s="261" t="s">
        <v>1227</v>
      </c>
      <c r="B187" s="261" t="s">
        <v>1228</v>
      </c>
      <c r="C187" s="261" t="s">
        <v>1068</v>
      </c>
      <c r="D187" s="261" t="s">
        <v>1542</v>
      </c>
      <c r="E187" s="261" t="s">
        <v>1084</v>
      </c>
      <c r="F187">
        <v>135</v>
      </c>
      <c r="G187" s="215">
        <v>46084</v>
      </c>
      <c r="H187" s="261" t="s">
        <v>987</v>
      </c>
      <c r="I187" s="261" t="s">
        <v>1023</v>
      </c>
      <c r="J187">
        <v>40250</v>
      </c>
      <c r="K187" s="261" t="s">
        <v>1087</v>
      </c>
      <c r="L187">
        <v>7320</v>
      </c>
      <c r="M187">
        <v>1</v>
      </c>
      <c r="N187">
        <v>3</v>
      </c>
      <c r="O187">
        <v>7320</v>
      </c>
      <c r="P187" s="261" t="s">
        <v>2193</v>
      </c>
      <c r="Q187">
        <v>11502.648000000001</v>
      </c>
      <c r="R187">
        <v>46287.5</v>
      </c>
      <c r="S187">
        <v>6248812.5</v>
      </c>
      <c r="T187">
        <v>1552857.4800000002</v>
      </c>
      <c r="U187">
        <v>4695955.0199999996</v>
      </c>
      <c r="V187">
        <v>0.7514955873615986</v>
      </c>
      <c r="W187" s="261" t="s">
        <v>1575</v>
      </c>
      <c r="X187">
        <v>7</v>
      </c>
      <c r="Y187">
        <v>0.67089735241695914</v>
      </c>
    </row>
    <row r="188" spans="1:25" x14ac:dyDescent="0.25">
      <c r="A188" s="261" t="s">
        <v>1230</v>
      </c>
      <c r="B188" s="261" t="s">
        <v>1231</v>
      </c>
      <c r="C188" s="261" t="s">
        <v>1068</v>
      </c>
      <c r="D188" s="261" t="s">
        <v>1542</v>
      </c>
      <c r="E188" s="261" t="s">
        <v>1084</v>
      </c>
      <c r="F188">
        <v>257</v>
      </c>
      <c r="G188" s="215">
        <v>46084</v>
      </c>
      <c r="H188" s="261" t="s">
        <v>987</v>
      </c>
      <c r="I188" s="261" t="s">
        <v>1023</v>
      </c>
      <c r="J188">
        <v>4750</v>
      </c>
      <c r="K188" s="261" t="s">
        <v>1087</v>
      </c>
      <c r="L188">
        <v>5185</v>
      </c>
      <c r="M188">
        <v>1</v>
      </c>
      <c r="N188">
        <v>3</v>
      </c>
      <c r="O188">
        <v>5185</v>
      </c>
      <c r="P188" s="261" t="s">
        <v>2193</v>
      </c>
      <c r="Q188">
        <v>8147.7090000000007</v>
      </c>
      <c r="R188">
        <v>5462.5</v>
      </c>
      <c r="S188">
        <v>1403862.5</v>
      </c>
      <c r="T188">
        <v>2093961.2130000002</v>
      </c>
      <c r="U188">
        <v>-690098.71300000022</v>
      </c>
      <c r="V188">
        <v>-0.49157144164759742</v>
      </c>
      <c r="W188" s="261" t="s">
        <v>1574</v>
      </c>
      <c r="X188">
        <v>7</v>
      </c>
      <c r="Y188">
        <v>-7.4942864988558427E-2</v>
      </c>
    </row>
    <row r="189" spans="1:25" x14ac:dyDescent="0.25">
      <c r="A189" s="261" t="s">
        <v>1232</v>
      </c>
      <c r="B189" s="261" t="s">
        <v>1233</v>
      </c>
      <c r="C189" s="261" t="s">
        <v>1068</v>
      </c>
      <c r="D189" s="261" t="s">
        <v>1542</v>
      </c>
      <c r="E189" s="261" t="s">
        <v>1084</v>
      </c>
      <c r="F189">
        <v>20</v>
      </c>
      <c r="G189" s="215">
        <v>46084</v>
      </c>
      <c r="H189" s="261" t="s">
        <v>987</v>
      </c>
      <c r="I189" s="261" t="s">
        <v>1023</v>
      </c>
      <c r="J189">
        <v>40250</v>
      </c>
      <c r="K189" s="261" t="s">
        <v>1087</v>
      </c>
      <c r="L189">
        <v>6100</v>
      </c>
      <c r="M189">
        <v>1</v>
      </c>
      <c r="N189">
        <v>3</v>
      </c>
      <c r="O189">
        <v>6100</v>
      </c>
      <c r="P189" s="261" t="s">
        <v>2193</v>
      </c>
      <c r="Q189">
        <v>9585.5400000000009</v>
      </c>
      <c r="R189">
        <v>46287.5</v>
      </c>
      <c r="S189">
        <v>925750</v>
      </c>
      <c r="T189">
        <v>191710.80000000002</v>
      </c>
      <c r="U189">
        <v>734039.2</v>
      </c>
      <c r="V189">
        <v>0.79291298946799882</v>
      </c>
      <c r="W189" s="261" t="s">
        <v>1575</v>
      </c>
      <c r="X189">
        <v>7</v>
      </c>
      <c r="Y189">
        <v>0.69574779368079931</v>
      </c>
    </row>
    <row r="190" spans="1:25" x14ac:dyDescent="0.25">
      <c r="A190" s="261" t="s">
        <v>1234</v>
      </c>
      <c r="B190" s="261" t="s">
        <v>1235</v>
      </c>
      <c r="C190" s="261" t="s">
        <v>1068</v>
      </c>
      <c r="D190" s="261" t="s">
        <v>1542</v>
      </c>
      <c r="E190" s="261" t="s">
        <v>1084</v>
      </c>
      <c r="F190">
        <v>36</v>
      </c>
      <c r="G190" s="215">
        <v>46084</v>
      </c>
      <c r="H190" s="261" t="s">
        <v>987</v>
      </c>
      <c r="I190" s="261" t="s">
        <v>1023</v>
      </c>
      <c r="J190">
        <v>4750</v>
      </c>
      <c r="K190" s="261" t="s">
        <v>1087</v>
      </c>
      <c r="L190">
        <v>7625</v>
      </c>
      <c r="M190">
        <v>1</v>
      </c>
      <c r="N190">
        <v>3</v>
      </c>
      <c r="O190">
        <v>7625</v>
      </c>
      <c r="P190" s="261" t="s">
        <v>2193</v>
      </c>
      <c r="Q190">
        <v>11981.925000000001</v>
      </c>
      <c r="R190">
        <v>5462.5</v>
      </c>
      <c r="S190">
        <v>196650</v>
      </c>
      <c r="T190">
        <v>431349.30000000005</v>
      </c>
      <c r="U190">
        <v>-234699.30000000005</v>
      </c>
      <c r="V190">
        <v>-1.1934874141876433</v>
      </c>
      <c r="W190" s="261" t="s">
        <v>1574</v>
      </c>
      <c r="X190">
        <v>7</v>
      </c>
      <c r="Y190">
        <v>-0.49609244851258594</v>
      </c>
    </row>
    <row r="191" spans="1:25" x14ac:dyDescent="0.25">
      <c r="A191" s="261" t="s">
        <v>1236</v>
      </c>
      <c r="B191" s="261" t="s">
        <v>1237</v>
      </c>
      <c r="C191" s="261" t="s">
        <v>1068</v>
      </c>
      <c r="D191" s="261" t="s">
        <v>1542</v>
      </c>
      <c r="E191" s="261" t="s">
        <v>1084</v>
      </c>
      <c r="F191">
        <v>32</v>
      </c>
      <c r="G191" s="215">
        <v>46084</v>
      </c>
      <c r="H191" s="261" t="s">
        <v>987</v>
      </c>
      <c r="I191" s="261" t="s">
        <v>1023</v>
      </c>
      <c r="J191">
        <v>10350</v>
      </c>
      <c r="K191" s="261" t="s">
        <v>1087</v>
      </c>
      <c r="L191">
        <v>2440</v>
      </c>
      <c r="M191">
        <v>1</v>
      </c>
      <c r="N191">
        <v>3</v>
      </c>
      <c r="O191">
        <v>2440</v>
      </c>
      <c r="P191" s="261" t="s">
        <v>2193</v>
      </c>
      <c r="Q191">
        <v>3834.2160000000003</v>
      </c>
      <c r="R191">
        <v>11902.499999999998</v>
      </c>
      <c r="S191">
        <v>380879.99999999994</v>
      </c>
      <c r="T191">
        <v>122694.91200000001</v>
      </c>
      <c r="U191">
        <v>258185.08799999993</v>
      </c>
      <c r="V191">
        <v>0.6778646502835538</v>
      </c>
      <c r="W191" s="261" t="s">
        <v>1575</v>
      </c>
      <c r="X191">
        <v>7</v>
      </c>
      <c r="Y191">
        <v>0.62671879017013221</v>
      </c>
    </row>
    <row r="192" spans="1:25" x14ac:dyDescent="0.25">
      <c r="A192" s="261" t="s">
        <v>1238</v>
      </c>
      <c r="B192" s="261" t="s">
        <v>1239</v>
      </c>
      <c r="C192" s="261" t="s">
        <v>1068</v>
      </c>
      <c r="D192" s="261" t="s">
        <v>1542</v>
      </c>
      <c r="E192" s="261" t="s">
        <v>1084</v>
      </c>
      <c r="F192">
        <v>8</v>
      </c>
      <c r="G192" s="215">
        <v>46084</v>
      </c>
      <c r="H192" s="261" t="s">
        <v>987</v>
      </c>
      <c r="I192" s="261" t="s">
        <v>1023</v>
      </c>
      <c r="J192">
        <v>13800</v>
      </c>
      <c r="K192" s="261" t="s">
        <v>1087</v>
      </c>
      <c r="L192">
        <v>3355</v>
      </c>
      <c r="M192">
        <v>1</v>
      </c>
      <c r="N192">
        <v>3</v>
      </c>
      <c r="O192">
        <v>3355</v>
      </c>
      <c r="P192" s="261" t="s">
        <v>2193</v>
      </c>
      <c r="Q192">
        <v>5272.0470000000014</v>
      </c>
      <c r="R192">
        <v>15869.999999999998</v>
      </c>
      <c r="S192">
        <v>126959.99999999999</v>
      </c>
      <c r="T192">
        <v>42176.376000000011</v>
      </c>
      <c r="U192">
        <v>84783.623999999982</v>
      </c>
      <c r="V192">
        <v>0.66779792060491483</v>
      </c>
      <c r="W192" s="261" t="s">
        <v>1575</v>
      </c>
      <c r="X192">
        <v>7</v>
      </c>
      <c r="Y192">
        <v>0.62067875236294878</v>
      </c>
    </row>
    <row r="193" spans="1:25" x14ac:dyDescent="0.25">
      <c r="A193" s="261" t="s">
        <v>1240</v>
      </c>
      <c r="B193" s="261" t="s">
        <v>1241</v>
      </c>
      <c r="C193" s="261" t="s">
        <v>1068</v>
      </c>
      <c r="D193" s="261" t="s">
        <v>1542</v>
      </c>
      <c r="E193" s="261" t="s">
        <v>1084</v>
      </c>
      <c r="F193">
        <v>12</v>
      </c>
      <c r="G193" s="215">
        <v>46084</v>
      </c>
      <c r="H193" s="261" t="s">
        <v>987</v>
      </c>
      <c r="I193" s="261" t="s">
        <v>1023</v>
      </c>
      <c r="J193">
        <v>20700</v>
      </c>
      <c r="K193" s="261" t="s">
        <v>1087</v>
      </c>
      <c r="L193">
        <v>4880</v>
      </c>
      <c r="M193">
        <v>1</v>
      </c>
      <c r="N193">
        <v>3</v>
      </c>
      <c r="O193">
        <v>4880</v>
      </c>
      <c r="P193" s="261" t="s">
        <v>2193</v>
      </c>
      <c r="Q193">
        <v>7668.4320000000007</v>
      </c>
      <c r="R193">
        <v>23804.999999999996</v>
      </c>
      <c r="S193">
        <v>285659.99999999994</v>
      </c>
      <c r="T193">
        <v>92021.184000000008</v>
      </c>
      <c r="U193">
        <v>193638.81599999993</v>
      </c>
      <c r="V193">
        <v>0.6778646502835538</v>
      </c>
      <c r="W193" s="261" t="s">
        <v>1575</v>
      </c>
      <c r="X193">
        <v>7</v>
      </c>
      <c r="Y193">
        <v>0.62671879017013221</v>
      </c>
    </row>
    <row r="194" spans="1:25" x14ac:dyDescent="0.25">
      <c r="A194" s="261" t="s">
        <v>1242</v>
      </c>
      <c r="B194" s="261" t="s">
        <v>1243</v>
      </c>
      <c r="C194" s="261" t="s">
        <v>1068</v>
      </c>
      <c r="D194" s="261" t="s">
        <v>1542</v>
      </c>
      <c r="E194" s="261" t="s">
        <v>1084</v>
      </c>
      <c r="F194">
        <v>76</v>
      </c>
      <c r="G194" s="215">
        <v>46084</v>
      </c>
      <c r="H194" s="261" t="s">
        <v>987</v>
      </c>
      <c r="I194" s="261" t="s">
        <v>1023</v>
      </c>
      <c r="J194">
        <v>34500</v>
      </c>
      <c r="K194" s="261" t="s">
        <v>1087</v>
      </c>
      <c r="L194">
        <v>2745</v>
      </c>
      <c r="M194">
        <v>1</v>
      </c>
      <c r="N194">
        <v>3</v>
      </c>
      <c r="O194">
        <v>2745</v>
      </c>
      <c r="P194" s="261" t="s">
        <v>2193</v>
      </c>
      <c r="Q194">
        <v>4313.4930000000004</v>
      </c>
      <c r="R194">
        <v>39675</v>
      </c>
      <c r="S194">
        <v>3015300</v>
      </c>
      <c r="T194">
        <v>327825.46800000005</v>
      </c>
      <c r="U194">
        <v>2687474.5320000001</v>
      </c>
      <c r="V194">
        <v>0.89127931947069949</v>
      </c>
      <c r="W194" s="261" t="s">
        <v>1575</v>
      </c>
      <c r="X194">
        <v>7</v>
      </c>
      <c r="Y194">
        <v>0.75476759168241969</v>
      </c>
    </row>
    <row r="195" spans="1:25" x14ac:dyDescent="0.25">
      <c r="A195" s="261" t="s">
        <v>1244</v>
      </c>
      <c r="B195" s="261" t="s">
        <v>1245</v>
      </c>
      <c r="C195" s="261" t="s">
        <v>1068</v>
      </c>
      <c r="D195" s="261" t="s">
        <v>1542</v>
      </c>
      <c r="E195" s="261" t="s">
        <v>1084</v>
      </c>
      <c r="F195">
        <v>40</v>
      </c>
      <c r="G195" s="215">
        <v>46084</v>
      </c>
      <c r="H195" s="261" t="s">
        <v>987</v>
      </c>
      <c r="I195" s="261" t="s">
        <v>1023</v>
      </c>
      <c r="J195">
        <v>18400</v>
      </c>
      <c r="K195" s="261" t="s">
        <v>1087</v>
      </c>
      <c r="L195">
        <v>2440</v>
      </c>
      <c r="M195">
        <v>1</v>
      </c>
      <c r="N195">
        <v>3</v>
      </c>
      <c r="O195">
        <v>2440</v>
      </c>
      <c r="P195" s="261" t="s">
        <v>2193</v>
      </c>
      <c r="Q195">
        <v>3834.2160000000003</v>
      </c>
      <c r="R195">
        <v>21160</v>
      </c>
      <c r="S195">
        <v>846400</v>
      </c>
      <c r="T195">
        <v>153368.64000000001</v>
      </c>
      <c r="U195">
        <v>693031.36</v>
      </c>
      <c r="V195">
        <v>0.81879886578449901</v>
      </c>
      <c r="W195" s="261" t="s">
        <v>1575</v>
      </c>
      <c r="X195">
        <v>7</v>
      </c>
      <c r="Y195">
        <v>0.71127931947069933</v>
      </c>
    </row>
    <row r="196" spans="1:25" x14ac:dyDescent="0.25">
      <c r="A196" s="261" t="s">
        <v>1246</v>
      </c>
      <c r="B196" s="261" t="s">
        <v>1247</v>
      </c>
      <c r="C196" s="261" t="s">
        <v>1068</v>
      </c>
      <c r="D196" s="261" t="s">
        <v>1542</v>
      </c>
      <c r="E196" s="261" t="s">
        <v>1084</v>
      </c>
      <c r="F196">
        <v>24</v>
      </c>
      <c r="G196" s="215">
        <v>46084</v>
      </c>
      <c r="H196" s="261" t="s">
        <v>987</v>
      </c>
      <c r="I196" s="261" t="s">
        <v>1023</v>
      </c>
      <c r="J196">
        <v>20700</v>
      </c>
      <c r="K196" s="261" t="s">
        <v>1087</v>
      </c>
      <c r="L196">
        <v>3050</v>
      </c>
      <c r="M196">
        <v>1</v>
      </c>
      <c r="N196">
        <v>3</v>
      </c>
      <c r="O196">
        <v>3050</v>
      </c>
      <c r="P196" s="261" t="s">
        <v>2193</v>
      </c>
      <c r="Q196">
        <v>4792.7700000000004</v>
      </c>
      <c r="R196">
        <v>23804.999999999996</v>
      </c>
      <c r="S196">
        <v>571319.99999999988</v>
      </c>
      <c r="T196">
        <v>115026.48000000001</v>
      </c>
      <c r="U196">
        <v>456293.5199999999</v>
      </c>
      <c r="V196">
        <v>0.79866540642722117</v>
      </c>
      <c r="W196" s="261" t="s">
        <v>1575</v>
      </c>
      <c r="X196">
        <v>7</v>
      </c>
      <c r="Y196">
        <v>0.6991992438563327</v>
      </c>
    </row>
    <row r="197" spans="1:25" x14ac:dyDescent="0.25">
      <c r="A197" s="261" t="s">
        <v>1248</v>
      </c>
      <c r="B197" s="261" t="s">
        <v>1249</v>
      </c>
      <c r="C197" s="261" t="s">
        <v>1068</v>
      </c>
      <c r="D197" s="261" t="s">
        <v>1542</v>
      </c>
      <c r="E197" s="261" t="s">
        <v>1084</v>
      </c>
      <c r="F197">
        <v>20</v>
      </c>
      <c r="G197" s="215">
        <v>46084</v>
      </c>
      <c r="H197" s="261" t="s">
        <v>987</v>
      </c>
      <c r="I197" s="261" t="s">
        <v>1023</v>
      </c>
      <c r="J197">
        <v>6900</v>
      </c>
      <c r="K197" s="261" t="s">
        <v>1087</v>
      </c>
      <c r="L197">
        <v>1680</v>
      </c>
      <c r="M197">
        <v>1</v>
      </c>
      <c r="N197">
        <v>3</v>
      </c>
      <c r="O197">
        <v>1680</v>
      </c>
      <c r="P197" s="261" t="s">
        <v>2193</v>
      </c>
      <c r="Q197">
        <v>2639.9520000000002</v>
      </c>
      <c r="R197">
        <v>7934.9999999999991</v>
      </c>
      <c r="S197">
        <v>158699.99999999997</v>
      </c>
      <c r="T197">
        <v>52799.040000000008</v>
      </c>
      <c r="U197">
        <v>105900.95999999996</v>
      </c>
      <c r="V197">
        <v>0.66730283553875225</v>
      </c>
      <c r="W197" s="261" t="s">
        <v>1575</v>
      </c>
      <c r="X197">
        <v>7</v>
      </c>
      <c r="Y197">
        <v>0.62038170132325132</v>
      </c>
    </row>
    <row r="198" spans="1:25" x14ac:dyDescent="0.25">
      <c r="A198" s="261" t="s">
        <v>1250</v>
      </c>
      <c r="B198" s="261" t="s">
        <v>1251</v>
      </c>
      <c r="C198" s="261" t="s">
        <v>1068</v>
      </c>
      <c r="D198" s="261" t="s">
        <v>1542</v>
      </c>
      <c r="E198" s="261" t="s">
        <v>1084</v>
      </c>
      <c r="F198">
        <v>64</v>
      </c>
      <c r="G198" s="215">
        <v>46084</v>
      </c>
      <c r="H198" s="261" t="s">
        <v>987</v>
      </c>
      <c r="I198" s="261" t="s">
        <v>1023</v>
      </c>
      <c r="J198">
        <v>67275</v>
      </c>
      <c r="K198" s="261" t="s">
        <v>1087</v>
      </c>
      <c r="L198">
        <v>14030</v>
      </c>
      <c r="M198">
        <v>1</v>
      </c>
      <c r="N198">
        <v>3</v>
      </c>
      <c r="O198">
        <v>14030</v>
      </c>
      <c r="P198" s="261" t="s">
        <v>2193</v>
      </c>
      <c r="Q198">
        <v>22046.742000000002</v>
      </c>
      <c r="R198">
        <v>77366.25</v>
      </c>
      <c r="S198">
        <v>4951440</v>
      </c>
      <c r="T198">
        <v>1410991.4880000001</v>
      </c>
      <c r="U198">
        <v>3540448.5120000001</v>
      </c>
      <c r="V198">
        <v>0.71503411371237457</v>
      </c>
      <c r="W198" s="261" t="s">
        <v>1575</v>
      </c>
      <c r="X198">
        <v>7</v>
      </c>
      <c r="Y198">
        <v>0.64902046822742465</v>
      </c>
    </row>
    <row r="199" spans="1:25" x14ac:dyDescent="0.25">
      <c r="A199" s="261" t="s">
        <v>1252</v>
      </c>
      <c r="B199" s="261" t="s">
        <v>1253</v>
      </c>
      <c r="C199" s="261" t="s">
        <v>1068</v>
      </c>
      <c r="D199" s="261" t="s">
        <v>1542</v>
      </c>
      <c r="E199" s="261" t="s">
        <v>1084</v>
      </c>
      <c r="F199">
        <v>76</v>
      </c>
      <c r="G199" s="215">
        <v>46084</v>
      </c>
      <c r="H199" s="261" t="s">
        <v>987</v>
      </c>
      <c r="I199" s="261" t="s">
        <v>1023</v>
      </c>
      <c r="J199">
        <v>43125</v>
      </c>
      <c r="K199" s="261" t="s">
        <v>1087</v>
      </c>
      <c r="L199">
        <v>9760</v>
      </c>
      <c r="M199">
        <v>1</v>
      </c>
      <c r="N199">
        <v>3</v>
      </c>
      <c r="O199">
        <v>9760</v>
      </c>
      <c r="P199" s="261" t="s">
        <v>2193</v>
      </c>
      <c r="Q199">
        <v>15336.864000000001</v>
      </c>
      <c r="R199">
        <v>49593.749999999993</v>
      </c>
      <c r="S199">
        <v>3769124.9999999995</v>
      </c>
      <c r="T199">
        <v>1165601.6640000001</v>
      </c>
      <c r="U199">
        <v>2603523.3359999992</v>
      </c>
      <c r="V199">
        <v>0.69075006427221164</v>
      </c>
      <c r="W199" s="261" t="s">
        <v>1575</v>
      </c>
      <c r="X199">
        <v>7</v>
      </c>
      <c r="Y199">
        <v>0.63445003856332693</v>
      </c>
    </row>
    <row r="200" spans="1:25" x14ac:dyDescent="0.25">
      <c r="A200" s="261" t="s">
        <v>1254</v>
      </c>
      <c r="B200" s="261" t="s">
        <v>1255</v>
      </c>
      <c r="C200" s="261" t="s">
        <v>1068</v>
      </c>
      <c r="D200" s="261" t="s">
        <v>1542</v>
      </c>
      <c r="E200" s="261" t="s">
        <v>1084</v>
      </c>
      <c r="F200">
        <v>128</v>
      </c>
      <c r="G200" s="215">
        <v>46084</v>
      </c>
      <c r="H200" s="261" t="s">
        <v>987</v>
      </c>
      <c r="I200" s="261" t="s">
        <v>1023</v>
      </c>
      <c r="J200">
        <v>8050</v>
      </c>
      <c r="K200" s="261" t="s">
        <v>1087</v>
      </c>
      <c r="L200">
        <v>580</v>
      </c>
      <c r="M200">
        <v>1</v>
      </c>
      <c r="N200">
        <v>3</v>
      </c>
      <c r="O200">
        <v>580</v>
      </c>
      <c r="P200" s="261" t="s">
        <v>2193</v>
      </c>
      <c r="Q200">
        <v>911.41200000000015</v>
      </c>
      <c r="R200">
        <v>9257.5</v>
      </c>
      <c r="S200">
        <v>1184960</v>
      </c>
      <c r="T200">
        <v>116660.73600000002</v>
      </c>
      <c r="U200">
        <v>1068299.264</v>
      </c>
      <c r="V200">
        <v>0.90154879827167156</v>
      </c>
      <c r="W200" s="261" t="s">
        <v>1575</v>
      </c>
      <c r="X200">
        <v>7</v>
      </c>
      <c r="Y200">
        <v>0.76092927896300289</v>
      </c>
    </row>
    <row r="201" spans="1:25" x14ac:dyDescent="0.25">
      <c r="A201" s="261" t="s">
        <v>1256</v>
      </c>
      <c r="B201" s="261" t="s">
        <v>1257</v>
      </c>
      <c r="C201" s="261" t="s">
        <v>1068</v>
      </c>
      <c r="D201" s="261" t="s">
        <v>1542</v>
      </c>
      <c r="E201" s="261" t="s">
        <v>1084</v>
      </c>
      <c r="F201">
        <v>90</v>
      </c>
      <c r="G201" s="215">
        <v>46084</v>
      </c>
      <c r="H201" s="261" t="s">
        <v>987</v>
      </c>
      <c r="I201" s="261" t="s">
        <v>1023</v>
      </c>
      <c r="J201">
        <v>8050</v>
      </c>
      <c r="K201" s="261" t="s">
        <v>1087</v>
      </c>
      <c r="L201">
        <v>640</v>
      </c>
      <c r="M201">
        <v>1</v>
      </c>
      <c r="N201">
        <v>3</v>
      </c>
      <c r="O201">
        <v>640</v>
      </c>
      <c r="P201" s="261" t="s">
        <v>2193</v>
      </c>
      <c r="Q201">
        <v>1005.6960000000001</v>
      </c>
      <c r="R201">
        <v>9257.5</v>
      </c>
      <c r="S201">
        <v>833175</v>
      </c>
      <c r="T201">
        <v>90512.640000000014</v>
      </c>
      <c r="U201">
        <v>742662.36</v>
      </c>
      <c r="V201">
        <v>0.89136419119632726</v>
      </c>
      <c r="W201" s="261" t="s">
        <v>1575</v>
      </c>
      <c r="X201">
        <v>7</v>
      </c>
      <c r="Y201">
        <v>0.75481851471779626</v>
      </c>
    </row>
    <row r="202" spans="1:25" x14ac:dyDescent="0.25">
      <c r="A202" s="261" t="s">
        <v>1258</v>
      </c>
      <c r="B202" s="261" t="s">
        <v>1259</v>
      </c>
      <c r="C202" s="261" t="s">
        <v>1068</v>
      </c>
      <c r="D202" s="261" t="s">
        <v>1542</v>
      </c>
      <c r="E202" s="261" t="s">
        <v>1084</v>
      </c>
      <c r="F202">
        <v>20</v>
      </c>
      <c r="G202" s="215">
        <v>46084</v>
      </c>
      <c r="H202" s="261" t="s">
        <v>987</v>
      </c>
      <c r="I202" s="261" t="s">
        <v>1023</v>
      </c>
      <c r="J202">
        <v>10350</v>
      </c>
      <c r="K202" s="261" t="s">
        <v>1087</v>
      </c>
      <c r="L202">
        <v>855</v>
      </c>
      <c r="M202">
        <v>1</v>
      </c>
      <c r="N202">
        <v>3</v>
      </c>
      <c r="O202">
        <v>855</v>
      </c>
      <c r="P202" s="261" t="s">
        <v>2193</v>
      </c>
      <c r="Q202">
        <v>1343.5470000000003</v>
      </c>
      <c r="R202">
        <v>11902.499999999998</v>
      </c>
      <c r="S202">
        <v>238049.99999999997</v>
      </c>
      <c r="T202">
        <v>26870.940000000006</v>
      </c>
      <c r="U202">
        <v>211179.05999999997</v>
      </c>
      <c r="V202">
        <v>0.88712060491493383</v>
      </c>
      <c r="W202" s="261" t="s">
        <v>1575</v>
      </c>
      <c r="X202">
        <v>7</v>
      </c>
      <c r="Y202">
        <v>0.75227236294896027</v>
      </c>
    </row>
    <row r="203" spans="1:25" x14ac:dyDescent="0.25">
      <c r="A203" s="261" t="s">
        <v>1260</v>
      </c>
      <c r="B203" s="261" t="s">
        <v>1261</v>
      </c>
      <c r="C203" s="261" t="s">
        <v>1068</v>
      </c>
      <c r="D203" s="261" t="s">
        <v>1542</v>
      </c>
      <c r="E203" s="261" t="s">
        <v>1084</v>
      </c>
      <c r="F203">
        <v>15</v>
      </c>
      <c r="G203" s="215">
        <v>46084</v>
      </c>
      <c r="H203" s="261" t="s">
        <v>987</v>
      </c>
      <c r="I203" s="261" t="s">
        <v>1023</v>
      </c>
      <c r="J203">
        <v>46000</v>
      </c>
      <c r="K203" s="261" t="s">
        <v>1087</v>
      </c>
      <c r="L203">
        <v>4270</v>
      </c>
      <c r="M203">
        <v>1</v>
      </c>
      <c r="N203">
        <v>3</v>
      </c>
      <c r="O203">
        <v>4270</v>
      </c>
      <c r="P203" s="261" t="s">
        <v>2193</v>
      </c>
      <c r="Q203">
        <v>6709.8780000000006</v>
      </c>
      <c r="R203">
        <v>52899.999999999993</v>
      </c>
      <c r="S203">
        <v>793499.99999999988</v>
      </c>
      <c r="T203">
        <v>100648.17000000001</v>
      </c>
      <c r="U203">
        <v>692851.82999999984</v>
      </c>
      <c r="V203">
        <v>0.87315920604914932</v>
      </c>
      <c r="W203" s="261" t="s">
        <v>1575</v>
      </c>
      <c r="X203">
        <v>7</v>
      </c>
      <c r="Y203">
        <v>0.74389552362948952</v>
      </c>
    </row>
    <row r="204" spans="1:25" x14ac:dyDescent="0.25">
      <c r="A204" s="261" t="s">
        <v>1262</v>
      </c>
      <c r="B204" s="261" t="s">
        <v>1263</v>
      </c>
      <c r="C204" s="261" t="s">
        <v>1068</v>
      </c>
      <c r="D204" s="261" t="s">
        <v>1542</v>
      </c>
      <c r="E204" s="261" t="s">
        <v>1084</v>
      </c>
      <c r="F204">
        <v>1</v>
      </c>
      <c r="G204" s="215">
        <v>46084</v>
      </c>
      <c r="H204" s="261" t="s">
        <v>987</v>
      </c>
      <c r="I204" s="261" t="s">
        <v>1023</v>
      </c>
      <c r="J204">
        <v>4197500</v>
      </c>
      <c r="K204" s="261" t="s">
        <v>1087</v>
      </c>
      <c r="L204">
        <v>610000</v>
      </c>
      <c r="M204">
        <v>1</v>
      </c>
      <c r="N204">
        <v>3</v>
      </c>
      <c r="O204">
        <v>610000</v>
      </c>
      <c r="P204" s="261" t="s">
        <v>2193</v>
      </c>
      <c r="Q204">
        <v>958554.00000000012</v>
      </c>
      <c r="R204">
        <v>4827125</v>
      </c>
      <c r="S204">
        <v>4827125</v>
      </c>
      <c r="T204">
        <v>958554.00000000012</v>
      </c>
      <c r="U204">
        <v>3868571</v>
      </c>
      <c r="V204">
        <v>0.80142341455835509</v>
      </c>
      <c r="W204" s="261" t="s">
        <v>1575</v>
      </c>
      <c r="X204">
        <v>7</v>
      </c>
      <c r="Y204">
        <v>0.700854048735013</v>
      </c>
    </row>
    <row r="205" spans="1:25" x14ac:dyDescent="0.25">
      <c r="A205" s="261" t="s">
        <v>1264</v>
      </c>
      <c r="B205" s="261" t="s">
        <v>1265</v>
      </c>
      <c r="C205" s="261" t="s">
        <v>1068</v>
      </c>
      <c r="D205" s="261" t="s">
        <v>1542</v>
      </c>
      <c r="E205" s="261" t="s">
        <v>1084</v>
      </c>
      <c r="F205">
        <v>324</v>
      </c>
      <c r="G205" s="215">
        <v>46084</v>
      </c>
      <c r="H205" s="261" t="s">
        <v>987</v>
      </c>
      <c r="I205" s="261" t="s">
        <v>1023</v>
      </c>
      <c r="J205">
        <v>5750</v>
      </c>
      <c r="K205" s="261" t="s">
        <v>1087</v>
      </c>
      <c r="L205">
        <v>490</v>
      </c>
      <c r="M205">
        <v>1</v>
      </c>
      <c r="N205">
        <v>3</v>
      </c>
      <c r="O205">
        <v>490</v>
      </c>
      <c r="P205" s="261" t="s">
        <v>2193</v>
      </c>
      <c r="Q205">
        <v>769.9860000000001</v>
      </c>
      <c r="R205">
        <v>6612.4999999999991</v>
      </c>
      <c r="S205">
        <v>2142449.9999999995</v>
      </c>
      <c r="T205">
        <v>249475.46400000004</v>
      </c>
      <c r="U205">
        <v>1892974.5359999994</v>
      </c>
      <c r="V205">
        <v>0.8835559924385632</v>
      </c>
      <c r="W205" s="261" t="s">
        <v>1575</v>
      </c>
      <c r="X205">
        <v>7</v>
      </c>
      <c r="Y205">
        <v>0.75013359546313785</v>
      </c>
    </row>
    <row r="206" spans="1:25" x14ac:dyDescent="0.25">
      <c r="A206" s="261" t="s">
        <v>1266</v>
      </c>
      <c r="B206" s="261" t="s">
        <v>1267</v>
      </c>
      <c r="C206" s="261" t="s">
        <v>1068</v>
      </c>
      <c r="D206" s="261" t="s">
        <v>1542</v>
      </c>
      <c r="E206" s="261" t="s">
        <v>1084</v>
      </c>
      <c r="F206">
        <v>100</v>
      </c>
      <c r="G206" s="215">
        <v>46084</v>
      </c>
      <c r="H206" s="261" t="s">
        <v>987</v>
      </c>
      <c r="I206" s="261" t="s">
        <v>1023</v>
      </c>
      <c r="J206">
        <v>8050</v>
      </c>
      <c r="K206" s="261" t="s">
        <v>1087</v>
      </c>
      <c r="L206">
        <v>640</v>
      </c>
      <c r="M206">
        <v>1</v>
      </c>
      <c r="N206">
        <v>3</v>
      </c>
      <c r="O206">
        <v>640</v>
      </c>
      <c r="P206" s="261" t="s">
        <v>2193</v>
      </c>
      <c r="Q206">
        <v>1005.6960000000001</v>
      </c>
      <c r="R206">
        <v>9257.5</v>
      </c>
      <c r="S206">
        <v>925750</v>
      </c>
      <c r="T206">
        <v>100569.60000000002</v>
      </c>
      <c r="U206">
        <v>825180.4</v>
      </c>
      <c r="V206">
        <v>0.89136419119632737</v>
      </c>
      <c r="W206" s="261" t="s">
        <v>1575</v>
      </c>
      <c r="X206">
        <v>7</v>
      </c>
      <c r="Y206">
        <v>0.75481851471779637</v>
      </c>
    </row>
    <row r="207" spans="1:25" x14ac:dyDescent="0.25">
      <c r="A207" s="261" t="s">
        <v>1268</v>
      </c>
      <c r="B207" s="261" t="s">
        <v>1269</v>
      </c>
      <c r="C207" s="261" t="s">
        <v>1068</v>
      </c>
      <c r="D207" s="261" t="s">
        <v>1542</v>
      </c>
      <c r="E207" s="261" t="s">
        <v>1084</v>
      </c>
      <c r="F207">
        <v>50</v>
      </c>
      <c r="G207" s="215">
        <v>46084</v>
      </c>
      <c r="H207" s="261" t="s">
        <v>987</v>
      </c>
      <c r="I207" s="261" t="s">
        <v>1023</v>
      </c>
      <c r="J207">
        <v>5750</v>
      </c>
      <c r="K207" s="261" t="s">
        <v>1087</v>
      </c>
      <c r="L207">
        <v>915</v>
      </c>
      <c r="M207">
        <v>1</v>
      </c>
      <c r="N207">
        <v>3</v>
      </c>
      <c r="O207">
        <v>915</v>
      </c>
      <c r="P207" s="261" t="s">
        <v>2193</v>
      </c>
      <c r="Q207">
        <v>1437.8310000000001</v>
      </c>
      <c r="R207">
        <v>6612.4999999999991</v>
      </c>
      <c r="S207">
        <v>330624.99999999994</v>
      </c>
      <c r="T207">
        <v>71891.55</v>
      </c>
      <c r="U207">
        <v>258733.44999999995</v>
      </c>
      <c r="V207">
        <v>0.78255863894139888</v>
      </c>
      <c r="W207" s="261" t="s">
        <v>1575</v>
      </c>
      <c r="X207">
        <v>7</v>
      </c>
      <c r="Y207">
        <v>0.68953518336483921</v>
      </c>
    </row>
    <row r="208" spans="1:25" x14ac:dyDescent="0.25">
      <c r="A208" s="261" t="s">
        <v>1270</v>
      </c>
      <c r="B208" s="261" t="s">
        <v>1271</v>
      </c>
      <c r="C208" s="261" t="s">
        <v>1068</v>
      </c>
      <c r="D208" s="261" t="s">
        <v>1542</v>
      </c>
      <c r="E208" s="261" t="s">
        <v>1084</v>
      </c>
      <c r="F208">
        <v>46</v>
      </c>
      <c r="G208" s="215">
        <v>46084</v>
      </c>
      <c r="H208" s="261" t="s">
        <v>987</v>
      </c>
      <c r="I208" s="261" t="s">
        <v>1023</v>
      </c>
      <c r="J208">
        <v>5750</v>
      </c>
      <c r="K208" s="261" t="s">
        <v>1087</v>
      </c>
      <c r="L208">
        <v>700</v>
      </c>
      <c r="M208">
        <v>1</v>
      </c>
      <c r="N208">
        <v>3</v>
      </c>
      <c r="O208">
        <v>700</v>
      </c>
      <c r="P208" s="261" t="s">
        <v>2193</v>
      </c>
      <c r="Q208">
        <v>1099.98</v>
      </c>
      <c r="R208">
        <v>6612.4999999999991</v>
      </c>
      <c r="S208">
        <v>304174.99999999994</v>
      </c>
      <c r="T208">
        <v>50599.08</v>
      </c>
      <c r="U208">
        <v>253575.91999999993</v>
      </c>
      <c r="V208">
        <v>0.83365141776937612</v>
      </c>
      <c r="W208" s="261" t="s">
        <v>1575</v>
      </c>
      <c r="X208">
        <v>7</v>
      </c>
      <c r="Y208">
        <v>0.72019085066162558</v>
      </c>
    </row>
    <row r="209" spans="1:25" x14ac:dyDescent="0.25">
      <c r="A209" s="261" t="s">
        <v>1272</v>
      </c>
      <c r="B209" s="261" t="s">
        <v>1273</v>
      </c>
      <c r="C209" s="261" t="s">
        <v>1068</v>
      </c>
      <c r="D209" s="261" t="s">
        <v>1542</v>
      </c>
      <c r="E209" s="261" t="s">
        <v>1084</v>
      </c>
      <c r="F209">
        <v>46</v>
      </c>
      <c r="G209" s="215">
        <v>46084</v>
      </c>
      <c r="H209" s="261" t="s">
        <v>987</v>
      </c>
      <c r="I209" s="261" t="s">
        <v>1023</v>
      </c>
      <c r="J209">
        <v>5750</v>
      </c>
      <c r="K209" s="261" t="s">
        <v>1087</v>
      </c>
      <c r="L209">
        <v>700</v>
      </c>
      <c r="M209">
        <v>1</v>
      </c>
      <c r="N209">
        <v>3</v>
      </c>
      <c r="O209">
        <v>700</v>
      </c>
      <c r="P209" s="261" t="s">
        <v>2193</v>
      </c>
      <c r="Q209">
        <v>1099.98</v>
      </c>
      <c r="R209">
        <v>6612.4999999999991</v>
      </c>
      <c r="S209">
        <v>304174.99999999994</v>
      </c>
      <c r="T209">
        <v>50599.08</v>
      </c>
      <c r="U209">
        <v>253575.91999999993</v>
      </c>
      <c r="V209">
        <v>0.83365141776937612</v>
      </c>
      <c r="W209" s="261" t="s">
        <v>1575</v>
      </c>
      <c r="X209">
        <v>7</v>
      </c>
      <c r="Y209">
        <v>0.72019085066162558</v>
      </c>
    </row>
    <row r="210" spans="1:25" x14ac:dyDescent="0.25">
      <c r="A210" s="261" t="s">
        <v>1274</v>
      </c>
      <c r="B210" s="261" t="s">
        <v>1275</v>
      </c>
      <c r="C210" s="261" t="s">
        <v>1068</v>
      </c>
      <c r="D210" s="261" t="s">
        <v>1542</v>
      </c>
      <c r="E210" s="261" t="s">
        <v>1084</v>
      </c>
      <c r="F210">
        <v>25</v>
      </c>
      <c r="G210" s="215">
        <v>46084</v>
      </c>
      <c r="H210" s="261" t="s">
        <v>987</v>
      </c>
      <c r="I210" s="261" t="s">
        <v>1023</v>
      </c>
      <c r="J210">
        <v>8050</v>
      </c>
      <c r="K210" s="261" t="s">
        <v>1087</v>
      </c>
      <c r="L210">
        <v>975</v>
      </c>
      <c r="M210">
        <v>1</v>
      </c>
      <c r="N210">
        <v>3</v>
      </c>
      <c r="O210">
        <v>975</v>
      </c>
      <c r="P210" s="261" t="s">
        <v>2193</v>
      </c>
      <c r="Q210">
        <v>1532.115</v>
      </c>
      <c r="R210">
        <v>9257.5</v>
      </c>
      <c r="S210">
        <v>231437.5</v>
      </c>
      <c r="T210">
        <v>38302.875</v>
      </c>
      <c r="U210">
        <v>193134.625</v>
      </c>
      <c r="V210">
        <v>0.8345001350256549</v>
      </c>
      <c r="W210" s="261" t="s">
        <v>1575</v>
      </c>
      <c r="X210">
        <v>7</v>
      </c>
      <c r="Y210">
        <v>0.72070008101539285</v>
      </c>
    </row>
    <row r="211" spans="1:25" x14ac:dyDescent="0.25">
      <c r="A211" s="261" t="s">
        <v>1276</v>
      </c>
      <c r="B211" s="261" t="s">
        <v>1277</v>
      </c>
      <c r="C211" s="261" t="s">
        <v>1068</v>
      </c>
      <c r="D211" s="261" t="s">
        <v>1542</v>
      </c>
      <c r="E211" s="261" t="s">
        <v>1084</v>
      </c>
      <c r="F211">
        <v>6</v>
      </c>
      <c r="G211" s="215">
        <v>46084</v>
      </c>
      <c r="H211" s="261" t="s">
        <v>987</v>
      </c>
      <c r="I211" s="261" t="s">
        <v>1020</v>
      </c>
      <c r="J211">
        <v>2300000</v>
      </c>
      <c r="K211" s="261" t="s">
        <v>1087</v>
      </c>
      <c r="L211">
        <v>457500</v>
      </c>
      <c r="M211">
        <v>1</v>
      </c>
      <c r="N211">
        <v>2.5</v>
      </c>
      <c r="O211">
        <v>457500</v>
      </c>
      <c r="P211" s="261" t="s">
        <v>2193</v>
      </c>
      <c r="Q211">
        <v>718915.5</v>
      </c>
      <c r="R211">
        <v>2645000</v>
      </c>
      <c r="S211">
        <v>15870000</v>
      </c>
      <c r="T211">
        <v>4313493</v>
      </c>
      <c r="U211">
        <v>11556507</v>
      </c>
      <c r="V211">
        <v>0.72819829867674857</v>
      </c>
      <c r="W211" s="261" t="s">
        <v>1575</v>
      </c>
      <c r="X211">
        <v>8</v>
      </c>
      <c r="Y211">
        <v>0.68691897920604905</v>
      </c>
    </row>
    <row r="212" spans="1:25" x14ac:dyDescent="0.25">
      <c r="A212" s="261" t="s">
        <v>1279</v>
      </c>
      <c r="B212" s="261" t="s">
        <v>1280</v>
      </c>
      <c r="C212" s="261" t="s">
        <v>1068</v>
      </c>
      <c r="D212" s="261" t="s">
        <v>1542</v>
      </c>
      <c r="E212" s="261" t="s">
        <v>1084</v>
      </c>
      <c r="F212">
        <v>30</v>
      </c>
      <c r="G212" s="215">
        <v>46084</v>
      </c>
      <c r="H212" s="261" t="s">
        <v>987</v>
      </c>
      <c r="I212" s="261" t="s">
        <v>1020</v>
      </c>
      <c r="J212">
        <v>345000</v>
      </c>
      <c r="K212" s="261" t="s">
        <v>1087</v>
      </c>
      <c r="L212">
        <v>91500</v>
      </c>
      <c r="M212">
        <v>1</v>
      </c>
      <c r="N212">
        <v>2.5</v>
      </c>
      <c r="O212">
        <v>91500</v>
      </c>
      <c r="P212" s="261" t="s">
        <v>2193</v>
      </c>
      <c r="Q212">
        <v>143783.1</v>
      </c>
      <c r="R212">
        <v>396749.99999999994</v>
      </c>
      <c r="S212">
        <v>11902499.999999998</v>
      </c>
      <c r="T212">
        <v>4313493</v>
      </c>
      <c r="U212">
        <v>7589006.9999999981</v>
      </c>
      <c r="V212">
        <v>0.63759773156899802</v>
      </c>
      <c r="W212" s="261" t="s">
        <v>1575</v>
      </c>
      <c r="X212">
        <v>8</v>
      </c>
      <c r="Y212">
        <v>0.63255863894139874</v>
      </c>
    </row>
    <row r="213" spans="1:25" x14ac:dyDescent="0.25">
      <c r="A213" s="261" t="s">
        <v>1281</v>
      </c>
      <c r="B213" s="261" t="s">
        <v>1282</v>
      </c>
      <c r="C213" s="261" t="s">
        <v>1068</v>
      </c>
      <c r="D213" s="261" t="s">
        <v>1542</v>
      </c>
      <c r="E213" s="261" t="s">
        <v>1084</v>
      </c>
      <c r="F213">
        <v>20</v>
      </c>
      <c r="G213" s="215">
        <v>46084</v>
      </c>
      <c r="H213" s="261" t="s">
        <v>987</v>
      </c>
      <c r="I213" s="261" t="s">
        <v>1020</v>
      </c>
      <c r="J213">
        <v>460000</v>
      </c>
      <c r="K213" s="261" t="s">
        <v>1087</v>
      </c>
      <c r="L213">
        <v>118950</v>
      </c>
      <c r="M213">
        <v>1</v>
      </c>
      <c r="N213">
        <v>2.5</v>
      </c>
      <c r="O213">
        <v>118950</v>
      </c>
      <c r="P213" s="261" t="s">
        <v>2193</v>
      </c>
      <c r="Q213">
        <v>186918.03</v>
      </c>
      <c r="R213">
        <v>529000</v>
      </c>
      <c r="S213">
        <v>10580000</v>
      </c>
      <c r="T213">
        <v>3738360.6</v>
      </c>
      <c r="U213">
        <v>6841639.4000000004</v>
      </c>
      <c r="V213">
        <v>0.64665778827977316</v>
      </c>
      <c r="W213" s="261" t="s">
        <v>1575</v>
      </c>
      <c r="X213">
        <v>8</v>
      </c>
      <c r="Y213">
        <v>0.63799467296786383</v>
      </c>
    </row>
    <row r="214" spans="1:25" x14ac:dyDescent="0.25">
      <c r="A214" s="261" t="s">
        <v>1283</v>
      </c>
      <c r="B214" s="261" t="s">
        <v>1284</v>
      </c>
      <c r="C214" s="261" t="s">
        <v>1068</v>
      </c>
      <c r="D214" s="261" t="s">
        <v>1542</v>
      </c>
      <c r="E214" s="261" t="s">
        <v>1084</v>
      </c>
      <c r="F214">
        <v>12</v>
      </c>
      <c r="G214" s="215">
        <v>46084</v>
      </c>
      <c r="H214" s="261" t="s">
        <v>987</v>
      </c>
      <c r="I214" s="261" t="s">
        <v>1020</v>
      </c>
      <c r="J214">
        <v>575000</v>
      </c>
      <c r="K214" s="261" t="s">
        <v>1087</v>
      </c>
      <c r="L214">
        <v>152500</v>
      </c>
      <c r="M214">
        <v>1</v>
      </c>
      <c r="N214">
        <v>2.5</v>
      </c>
      <c r="O214">
        <v>152500</v>
      </c>
      <c r="P214" s="261" t="s">
        <v>2193</v>
      </c>
      <c r="Q214">
        <v>239638.50000000003</v>
      </c>
      <c r="R214">
        <v>661250</v>
      </c>
      <c r="S214">
        <v>7935000</v>
      </c>
      <c r="T214">
        <v>2875662.0000000005</v>
      </c>
      <c r="U214">
        <v>5059338</v>
      </c>
      <c r="V214">
        <v>0.63759773156899813</v>
      </c>
      <c r="W214" s="261" t="s">
        <v>1575</v>
      </c>
      <c r="X214">
        <v>8</v>
      </c>
      <c r="Y214">
        <v>0.63255863894139885</v>
      </c>
    </row>
    <row r="215" spans="1:25" x14ac:dyDescent="0.25">
      <c r="A215" s="261" t="s">
        <v>1285</v>
      </c>
      <c r="B215" s="261" t="s">
        <v>1286</v>
      </c>
      <c r="C215" s="261" t="s">
        <v>1068</v>
      </c>
      <c r="D215" s="261" t="s">
        <v>1542</v>
      </c>
      <c r="E215" s="261" t="s">
        <v>1084</v>
      </c>
      <c r="F215">
        <v>1</v>
      </c>
      <c r="G215" s="215">
        <v>46084</v>
      </c>
      <c r="H215" s="261" t="s">
        <v>987</v>
      </c>
      <c r="I215" s="261" t="s">
        <v>1020</v>
      </c>
      <c r="J215">
        <v>690000</v>
      </c>
      <c r="K215" s="261" t="s">
        <v>1087</v>
      </c>
      <c r="M215">
        <v>1</v>
      </c>
      <c r="N215">
        <v>2.5</v>
      </c>
      <c r="P215" s="261" t="s">
        <v>2194</v>
      </c>
      <c r="R215">
        <v>793499.99999999988</v>
      </c>
      <c r="S215">
        <v>793499.99999999988</v>
      </c>
      <c r="W215" s="261" t="s">
        <v>1574</v>
      </c>
      <c r="X215">
        <v>8</v>
      </c>
    </row>
    <row r="216" spans="1:25" x14ac:dyDescent="0.25">
      <c r="A216" s="261" t="s">
        <v>1287</v>
      </c>
      <c r="B216" s="261" t="s">
        <v>1288</v>
      </c>
      <c r="C216" s="261" t="s">
        <v>1068</v>
      </c>
      <c r="D216" s="261" t="s">
        <v>1542</v>
      </c>
      <c r="E216" s="261" t="s">
        <v>1084</v>
      </c>
      <c r="F216">
        <v>62</v>
      </c>
      <c r="G216" s="215">
        <v>46084</v>
      </c>
      <c r="H216" s="261" t="s">
        <v>987</v>
      </c>
      <c r="I216" s="261" t="s">
        <v>1020</v>
      </c>
      <c r="J216">
        <v>126500</v>
      </c>
      <c r="K216" s="261" t="s">
        <v>1087</v>
      </c>
      <c r="L216">
        <v>2745</v>
      </c>
      <c r="M216">
        <v>1</v>
      </c>
      <c r="N216">
        <v>2.5</v>
      </c>
      <c r="O216">
        <v>2745</v>
      </c>
      <c r="P216" s="261" t="s">
        <v>2193</v>
      </c>
      <c r="Q216">
        <v>4313.4930000000004</v>
      </c>
      <c r="R216">
        <v>145475</v>
      </c>
      <c r="S216">
        <v>9019450</v>
      </c>
      <c r="T216">
        <v>267436.56600000005</v>
      </c>
      <c r="U216">
        <v>8752013.4340000004</v>
      </c>
      <c r="V216">
        <v>0.9703489053101908</v>
      </c>
      <c r="W216" s="261" t="s">
        <v>1575</v>
      </c>
      <c r="X216">
        <v>8</v>
      </c>
      <c r="Y216">
        <v>0.8322093431861145</v>
      </c>
    </row>
    <row r="217" spans="1:25" x14ac:dyDescent="0.25">
      <c r="A217" s="261" t="s">
        <v>1289</v>
      </c>
      <c r="B217" s="261" t="s">
        <v>1290</v>
      </c>
      <c r="C217" s="261" t="s">
        <v>1068</v>
      </c>
      <c r="D217" s="261" t="s">
        <v>1542</v>
      </c>
      <c r="E217" s="261" t="s">
        <v>1084</v>
      </c>
      <c r="F217">
        <v>1</v>
      </c>
      <c r="G217" s="215">
        <v>46084</v>
      </c>
      <c r="H217" s="261" t="s">
        <v>987</v>
      </c>
      <c r="I217" s="261" t="s">
        <v>1020</v>
      </c>
      <c r="J217">
        <v>1035000</v>
      </c>
      <c r="K217" s="261" t="s">
        <v>1087</v>
      </c>
      <c r="M217">
        <v>1</v>
      </c>
      <c r="N217">
        <v>2.5</v>
      </c>
      <c r="P217" s="261" t="s">
        <v>2194</v>
      </c>
      <c r="R217">
        <v>1190250</v>
      </c>
      <c r="S217">
        <v>1190250</v>
      </c>
      <c r="W217" s="261" t="s">
        <v>1574</v>
      </c>
      <c r="X217">
        <v>8</v>
      </c>
    </row>
    <row r="218" spans="1:25" x14ac:dyDescent="0.25">
      <c r="A218" s="261" t="s">
        <v>1291</v>
      </c>
      <c r="B218" s="261" t="s">
        <v>1292</v>
      </c>
      <c r="C218" s="261" t="s">
        <v>1068</v>
      </c>
      <c r="D218" s="261" t="s">
        <v>1542</v>
      </c>
      <c r="E218" s="261" t="s">
        <v>1084</v>
      </c>
      <c r="F218">
        <v>1</v>
      </c>
      <c r="G218" s="215">
        <v>46084</v>
      </c>
      <c r="H218" s="261" t="s">
        <v>987</v>
      </c>
      <c r="I218" s="261" t="s">
        <v>1020</v>
      </c>
      <c r="J218">
        <v>1265000</v>
      </c>
      <c r="K218" s="261" t="s">
        <v>1087</v>
      </c>
      <c r="M218">
        <v>1</v>
      </c>
      <c r="N218">
        <v>2.5</v>
      </c>
      <c r="P218" s="261" t="s">
        <v>2194</v>
      </c>
      <c r="R218">
        <v>1454750</v>
      </c>
      <c r="S218">
        <v>1454750</v>
      </c>
      <c r="W218" s="261" t="s">
        <v>1574</v>
      </c>
      <c r="X218">
        <v>8</v>
      </c>
    </row>
    <row r="219" spans="1:25" x14ac:dyDescent="0.25">
      <c r="A219" s="261" t="s">
        <v>1293</v>
      </c>
      <c r="B219" s="261" t="s">
        <v>1294</v>
      </c>
      <c r="C219" s="261" t="s">
        <v>1068</v>
      </c>
      <c r="D219" s="261" t="s">
        <v>1542</v>
      </c>
      <c r="E219" s="261" t="s">
        <v>1084</v>
      </c>
      <c r="F219">
        <v>1</v>
      </c>
      <c r="G219" s="215">
        <v>46084</v>
      </c>
      <c r="H219" s="261" t="s">
        <v>987</v>
      </c>
      <c r="I219" s="261" t="s">
        <v>1020</v>
      </c>
      <c r="J219">
        <v>1437500</v>
      </c>
      <c r="K219" s="261" t="s">
        <v>1087</v>
      </c>
      <c r="M219">
        <v>1</v>
      </c>
      <c r="N219">
        <v>2.5</v>
      </c>
      <c r="P219" s="261" t="s">
        <v>2194</v>
      </c>
      <c r="R219">
        <v>1653124.9999999998</v>
      </c>
      <c r="S219">
        <v>1653124.9999999998</v>
      </c>
      <c r="W219" s="261" t="s">
        <v>1574</v>
      </c>
      <c r="X219">
        <v>8</v>
      </c>
    </row>
    <row r="220" spans="1:25" x14ac:dyDescent="0.25">
      <c r="A220" s="261" t="s">
        <v>1295</v>
      </c>
      <c r="B220" s="261" t="s">
        <v>1296</v>
      </c>
      <c r="C220" s="261" t="s">
        <v>1068</v>
      </c>
      <c r="D220" s="261" t="s">
        <v>1542</v>
      </c>
      <c r="E220" s="261" t="s">
        <v>1084</v>
      </c>
      <c r="F220">
        <v>1</v>
      </c>
      <c r="G220" s="215">
        <v>46084</v>
      </c>
      <c r="H220" s="261" t="s">
        <v>987</v>
      </c>
      <c r="I220" s="261" t="s">
        <v>1020</v>
      </c>
      <c r="J220">
        <v>13800000</v>
      </c>
      <c r="K220" s="261" t="s">
        <v>1087</v>
      </c>
      <c r="M220">
        <v>1</v>
      </c>
      <c r="N220">
        <v>2.5</v>
      </c>
      <c r="P220" s="261" t="s">
        <v>2194</v>
      </c>
      <c r="R220">
        <v>15869999.999999998</v>
      </c>
      <c r="S220">
        <v>15869999.999999998</v>
      </c>
      <c r="W220" s="261" t="s">
        <v>1574</v>
      </c>
      <c r="X220">
        <v>8</v>
      </c>
    </row>
    <row r="221" spans="1:25" x14ac:dyDescent="0.25">
      <c r="A221" s="261" t="s">
        <v>1297</v>
      </c>
      <c r="B221" s="261" t="s">
        <v>1298</v>
      </c>
      <c r="C221" s="261" t="s">
        <v>1068</v>
      </c>
      <c r="D221" s="261" t="s">
        <v>1542</v>
      </c>
      <c r="E221" s="261" t="s">
        <v>1084</v>
      </c>
      <c r="F221">
        <v>10</v>
      </c>
      <c r="G221" s="215">
        <v>46084</v>
      </c>
      <c r="H221" s="261" t="s">
        <v>987</v>
      </c>
      <c r="I221" s="261" t="s">
        <v>1020</v>
      </c>
      <c r="J221">
        <v>80500</v>
      </c>
      <c r="K221" s="261" t="s">
        <v>1087</v>
      </c>
      <c r="L221">
        <v>4880</v>
      </c>
      <c r="M221">
        <v>1</v>
      </c>
      <c r="N221">
        <v>2.5</v>
      </c>
      <c r="O221">
        <v>4880</v>
      </c>
      <c r="P221" s="261" t="s">
        <v>2193</v>
      </c>
      <c r="Q221">
        <v>7668.4320000000007</v>
      </c>
      <c r="R221">
        <v>92575</v>
      </c>
      <c r="S221">
        <v>925750</v>
      </c>
      <c r="T221">
        <v>76684.320000000007</v>
      </c>
      <c r="U221">
        <v>849065.67999999993</v>
      </c>
      <c r="V221">
        <v>0.91716519578719946</v>
      </c>
      <c r="W221" s="261" t="s">
        <v>1575</v>
      </c>
      <c r="X221">
        <v>8</v>
      </c>
      <c r="Y221">
        <v>0.80029911747231963</v>
      </c>
    </row>
    <row r="222" spans="1:25" x14ac:dyDescent="0.25">
      <c r="A222" s="261" t="s">
        <v>1299</v>
      </c>
      <c r="B222" s="261" t="s">
        <v>1300</v>
      </c>
      <c r="C222" s="261" t="s">
        <v>1068</v>
      </c>
      <c r="D222" s="261" t="s">
        <v>1542</v>
      </c>
      <c r="E222" s="261" t="s">
        <v>1084</v>
      </c>
      <c r="F222">
        <v>8</v>
      </c>
      <c r="G222" s="215">
        <v>46084</v>
      </c>
      <c r="H222" s="261" t="s">
        <v>987</v>
      </c>
      <c r="I222" s="261" t="s">
        <v>1020</v>
      </c>
      <c r="J222">
        <v>97750</v>
      </c>
      <c r="K222" s="261" t="s">
        <v>1087</v>
      </c>
      <c r="L222">
        <v>6405</v>
      </c>
      <c r="M222">
        <v>1</v>
      </c>
      <c r="N222">
        <v>2.5</v>
      </c>
      <c r="O222">
        <v>6405</v>
      </c>
      <c r="P222" s="261" t="s">
        <v>2193</v>
      </c>
      <c r="Q222">
        <v>10064.817000000001</v>
      </c>
      <c r="R222">
        <v>112412.49999999999</v>
      </c>
      <c r="S222">
        <v>899299.99999999988</v>
      </c>
      <c r="T222">
        <v>80518.536000000007</v>
      </c>
      <c r="U222">
        <v>818781.46399999992</v>
      </c>
      <c r="V222">
        <v>0.91046532191704665</v>
      </c>
      <c r="W222" s="261" t="s">
        <v>1575</v>
      </c>
      <c r="X222">
        <v>8</v>
      </c>
      <c r="Y222">
        <v>0.79627919315022799</v>
      </c>
    </row>
    <row r="223" spans="1:25" x14ac:dyDescent="0.25">
      <c r="A223" s="261" t="s">
        <v>1301</v>
      </c>
      <c r="B223" s="261" t="s">
        <v>1302</v>
      </c>
      <c r="C223" s="261" t="s">
        <v>1068</v>
      </c>
      <c r="D223" s="261" t="s">
        <v>1542</v>
      </c>
      <c r="E223" s="261" t="s">
        <v>1084</v>
      </c>
      <c r="F223">
        <v>4</v>
      </c>
      <c r="G223" s="215">
        <v>46084</v>
      </c>
      <c r="H223" s="261" t="s">
        <v>987</v>
      </c>
      <c r="I223" s="261" t="s">
        <v>1020</v>
      </c>
      <c r="J223">
        <v>138000</v>
      </c>
      <c r="K223" s="261" t="s">
        <v>1087</v>
      </c>
      <c r="L223">
        <v>7930</v>
      </c>
      <c r="M223">
        <v>1</v>
      </c>
      <c r="N223">
        <v>2.5</v>
      </c>
      <c r="O223">
        <v>7930</v>
      </c>
      <c r="P223" s="261" t="s">
        <v>2193</v>
      </c>
      <c r="Q223">
        <v>12461.202000000003</v>
      </c>
      <c r="R223">
        <v>158700</v>
      </c>
      <c r="S223">
        <v>634800</v>
      </c>
      <c r="T223">
        <v>49844.808000000012</v>
      </c>
      <c r="U223">
        <v>584955.19200000004</v>
      </c>
      <c r="V223">
        <v>0.92147950850661631</v>
      </c>
      <c r="W223" s="261" t="s">
        <v>1575</v>
      </c>
      <c r="X223">
        <v>8</v>
      </c>
      <c r="Y223">
        <v>0.80288770510396978</v>
      </c>
    </row>
    <row r="224" spans="1:25" x14ac:dyDescent="0.25">
      <c r="A224" s="261" t="s">
        <v>1303</v>
      </c>
      <c r="B224" s="261" t="s">
        <v>1304</v>
      </c>
      <c r="C224" s="261" t="s">
        <v>1068</v>
      </c>
      <c r="D224" s="261" t="s">
        <v>1542</v>
      </c>
      <c r="E224" s="261" t="s">
        <v>1084</v>
      </c>
      <c r="F224">
        <v>20</v>
      </c>
      <c r="G224" s="215">
        <v>46084</v>
      </c>
      <c r="H224" s="261" t="s">
        <v>987</v>
      </c>
      <c r="I224" s="261" t="s">
        <v>1017</v>
      </c>
      <c r="J224">
        <v>86250</v>
      </c>
      <c r="K224" s="261" t="s">
        <v>1087</v>
      </c>
      <c r="L224">
        <v>7015</v>
      </c>
      <c r="M224">
        <v>1</v>
      </c>
      <c r="N224">
        <v>2</v>
      </c>
      <c r="O224">
        <v>7015</v>
      </c>
      <c r="P224" s="261" t="s">
        <v>2193</v>
      </c>
      <c r="Q224">
        <v>11023.371000000001</v>
      </c>
      <c r="R224">
        <v>99187.499999999985</v>
      </c>
      <c r="S224">
        <v>1983749.9999999998</v>
      </c>
      <c r="T224">
        <v>220467.42</v>
      </c>
      <c r="U224">
        <v>1763282.5799999998</v>
      </c>
      <c r="V224">
        <v>0.88886330434782612</v>
      </c>
      <c r="W224" s="261" t="s">
        <v>1575</v>
      </c>
      <c r="X224">
        <v>9</v>
      </c>
      <c r="Y224">
        <v>0.8133179826086957</v>
      </c>
    </row>
    <row r="225" spans="1:25" x14ac:dyDescent="0.25">
      <c r="A225" s="261" t="s">
        <v>1306</v>
      </c>
      <c r="B225" s="261" t="s">
        <v>1307</v>
      </c>
      <c r="C225" s="261" t="s">
        <v>1068</v>
      </c>
      <c r="D225" s="261" t="s">
        <v>1542</v>
      </c>
      <c r="E225" s="261" t="s">
        <v>1084</v>
      </c>
      <c r="F225">
        <v>10</v>
      </c>
      <c r="G225" s="215">
        <v>46084</v>
      </c>
      <c r="H225" s="261" t="s">
        <v>987</v>
      </c>
      <c r="I225" s="261" t="s">
        <v>1017</v>
      </c>
      <c r="J225">
        <v>86250</v>
      </c>
      <c r="K225" s="261" t="s">
        <v>1087</v>
      </c>
      <c r="L225">
        <v>8540</v>
      </c>
      <c r="M225">
        <v>1</v>
      </c>
      <c r="N225">
        <v>2</v>
      </c>
      <c r="O225">
        <v>8540</v>
      </c>
      <c r="P225" s="261" t="s">
        <v>2193</v>
      </c>
      <c r="Q225">
        <v>13419.756000000001</v>
      </c>
      <c r="R225">
        <v>99187.499999999985</v>
      </c>
      <c r="S225">
        <v>991874.99999999988</v>
      </c>
      <c r="T225">
        <v>134197.56</v>
      </c>
      <c r="U225">
        <v>857677.44</v>
      </c>
      <c r="V225">
        <v>0.86470315311909263</v>
      </c>
      <c r="W225" s="261" t="s">
        <v>1575</v>
      </c>
      <c r="X225">
        <v>9</v>
      </c>
      <c r="Y225">
        <v>0.79882189187145547</v>
      </c>
    </row>
    <row r="226" spans="1:25" x14ac:dyDescent="0.25">
      <c r="A226" s="261" t="s">
        <v>1308</v>
      </c>
      <c r="B226" s="261" t="s">
        <v>1309</v>
      </c>
      <c r="C226" s="261" t="s">
        <v>1068</v>
      </c>
      <c r="D226" s="261" t="s">
        <v>1542</v>
      </c>
      <c r="E226" s="261" t="s">
        <v>1084</v>
      </c>
      <c r="F226">
        <v>5</v>
      </c>
      <c r="G226" s="215">
        <v>46084</v>
      </c>
      <c r="H226" s="261" t="s">
        <v>987</v>
      </c>
      <c r="I226" s="261" t="s">
        <v>1017</v>
      </c>
      <c r="J226">
        <v>172500</v>
      </c>
      <c r="K226" s="261" t="s">
        <v>1087</v>
      </c>
      <c r="L226">
        <v>21350</v>
      </c>
      <c r="M226">
        <v>1</v>
      </c>
      <c r="N226">
        <v>2</v>
      </c>
      <c r="O226">
        <v>21350</v>
      </c>
      <c r="P226" s="261" t="s">
        <v>2193</v>
      </c>
      <c r="Q226">
        <v>33549.39</v>
      </c>
      <c r="R226">
        <v>198374.99999999997</v>
      </c>
      <c r="S226">
        <v>991874.99999999988</v>
      </c>
      <c r="T226">
        <v>167746.95000000001</v>
      </c>
      <c r="U226">
        <v>824128.04999999981</v>
      </c>
      <c r="V226">
        <v>0.83087894139886564</v>
      </c>
      <c r="W226" s="261" t="s">
        <v>1575</v>
      </c>
      <c r="X226">
        <v>9</v>
      </c>
      <c r="Y226">
        <v>0.77852736483931928</v>
      </c>
    </row>
    <row r="227" spans="1:25" x14ac:dyDescent="0.25">
      <c r="A227" s="261" t="s">
        <v>1310</v>
      </c>
      <c r="B227" s="261" t="s">
        <v>1311</v>
      </c>
      <c r="C227" s="261" t="s">
        <v>1068</v>
      </c>
      <c r="D227" s="261" t="s">
        <v>1542</v>
      </c>
      <c r="E227" s="261" t="s">
        <v>1084</v>
      </c>
      <c r="F227">
        <v>6</v>
      </c>
      <c r="G227" s="215">
        <v>46084</v>
      </c>
      <c r="H227" s="261" t="s">
        <v>987</v>
      </c>
      <c r="I227" s="261" t="s">
        <v>1017</v>
      </c>
      <c r="J227">
        <v>12650</v>
      </c>
      <c r="K227" s="261" t="s">
        <v>1087</v>
      </c>
      <c r="M227">
        <v>1</v>
      </c>
      <c r="N227">
        <v>2</v>
      </c>
      <c r="P227" s="261" t="s">
        <v>2194</v>
      </c>
      <c r="R227">
        <v>14547.499999999998</v>
      </c>
      <c r="S227">
        <v>87284.999999999985</v>
      </c>
      <c r="W227" s="261" t="s">
        <v>1574</v>
      </c>
      <c r="X227">
        <v>9</v>
      </c>
    </row>
    <row r="228" spans="1:25" x14ac:dyDescent="0.25">
      <c r="A228" s="261" t="s">
        <v>1312</v>
      </c>
      <c r="B228" s="261" t="s">
        <v>1313</v>
      </c>
      <c r="C228" s="261" t="s">
        <v>1068</v>
      </c>
      <c r="D228" s="261" t="s">
        <v>1542</v>
      </c>
      <c r="E228" s="261" t="s">
        <v>1084</v>
      </c>
      <c r="F228">
        <v>25</v>
      </c>
      <c r="G228" s="215">
        <v>46084</v>
      </c>
      <c r="H228" s="261" t="s">
        <v>987</v>
      </c>
      <c r="I228" s="261" t="s">
        <v>1017</v>
      </c>
      <c r="J228">
        <v>63250</v>
      </c>
      <c r="K228" s="261" t="s">
        <v>1087</v>
      </c>
      <c r="L228">
        <v>7015</v>
      </c>
      <c r="M228">
        <v>1</v>
      </c>
      <c r="N228">
        <v>2</v>
      </c>
      <c r="O228">
        <v>7015</v>
      </c>
      <c r="P228" s="261" t="s">
        <v>2193</v>
      </c>
      <c r="Q228">
        <v>11023.371000000001</v>
      </c>
      <c r="R228">
        <v>72737.5</v>
      </c>
      <c r="S228">
        <v>1818437.5</v>
      </c>
      <c r="T228">
        <v>275584.27500000002</v>
      </c>
      <c r="U228">
        <v>1542853.2250000001</v>
      </c>
      <c r="V228">
        <v>0.84844996047430832</v>
      </c>
      <c r="W228" s="261" t="s">
        <v>1575</v>
      </c>
      <c r="X228">
        <v>9</v>
      </c>
      <c r="Y228">
        <v>0.78906997628458486</v>
      </c>
    </row>
    <row r="229" spans="1:25" x14ac:dyDescent="0.25">
      <c r="A229" s="261" t="s">
        <v>1314</v>
      </c>
      <c r="B229" s="261" t="s">
        <v>1315</v>
      </c>
      <c r="C229" s="261" t="s">
        <v>1068</v>
      </c>
      <c r="D229" s="261" t="s">
        <v>1542</v>
      </c>
      <c r="E229" s="261" t="s">
        <v>1084</v>
      </c>
      <c r="F229">
        <v>6</v>
      </c>
      <c r="G229" s="215">
        <v>46084</v>
      </c>
      <c r="H229" s="261" t="s">
        <v>987</v>
      </c>
      <c r="I229" s="261" t="s">
        <v>1017</v>
      </c>
      <c r="J229">
        <v>74750</v>
      </c>
      <c r="K229" s="261" t="s">
        <v>1087</v>
      </c>
      <c r="L229">
        <v>5185</v>
      </c>
      <c r="M229">
        <v>1</v>
      </c>
      <c r="N229">
        <v>2</v>
      </c>
      <c r="O229">
        <v>5185</v>
      </c>
      <c r="P229" s="261" t="s">
        <v>2193</v>
      </c>
      <c r="Q229">
        <v>8147.7090000000007</v>
      </c>
      <c r="R229">
        <v>85962.5</v>
      </c>
      <c r="S229">
        <v>515775</v>
      </c>
      <c r="T229">
        <v>48886.254000000001</v>
      </c>
      <c r="U229">
        <v>466888.74599999998</v>
      </c>
      <c r="V229">
        <v>0.90521786825650719</v>
      </c>
      <c r="W229" s="261" t="s">
        <v>1575</v>
      </c>
      <c r="X229">
        <v>9</v>
      </c>
      <c r="Y229">
        <v>0.82313072095390416</v>
      </c>
    </row>
    <row r="230" spans="1:25" x14ac:dyDescent="0.25">
      <c r="A230" s="261" t="s">
        <v>1316</v>
      </c>
      <c r="B230" s="261" t="s">
        <v>1317</v>
      </c>
      <c r="C230" s="261" t="s">
        <v>1068</v>
      </c>
      <c r="D230" s="261" t="s">
        <v>1542</v>
      </c>
      <c r="E230" s="261" t="s">
        <v>1084</v>
      </c>
      <c r="F230">
        <v>1</v>
      </c>
      <c r="G230" s="215">
        <v>46084</v>
      </c>
      <c r="H230" s="261" t="s">
        <v>987</v>
      </c>
      <c r="I230" s="261" t="s">
        <v>1017</v>
      </c>
      <c r="J230">
        <v>1035000</v>
      </c>
      <c r="K230" s="261" t="s">
        <v>1087</v>
      </c>
      <c r="M230">
        <v>1</v>
      </c>
      <c r="N230">
        <v>2</v>
      </c>
      <c r="P230" s="261" t="s">
        <v>2194</v>
      </c>
      <c r="R230">
        <v>1190250</v>
      </c>
      <c r="S230">
        <v>1190250</v>
      </c>
      <c r="W230" s="261" t="s">
        <v>1574</v>
      </c>
      <c r="X230">
        <v>9</v>
      </c>
    </row>
    <row r="231" spans="1:25" x14ac:dyDescent="0.25">
      <c r="A231" s="261" t="s">
        <v>1318</v>
      </c>
      <c r="B231" s="261" t="s">
        <v>1319</v>
      </c>
      <c r="C231" s="261" t="s">
        <v>1068</v>
      </c>
      <c r="D231" s="261" t="s">
        <v>1542</v>
      </c>
      <c r="E231" s="261" t="s">
        <v>1084</v>
      </c>
      <c r="F231">
        <v>1</v>
      </c>
      <c r="G231" s="215">
        <v>46084</v>
      </c>
      <c r="H231" s="261" t="s">
        <v>987</v>
      </c>
      <c r="I231" s="261" t="s">
        <v>1017</v>
      </c>
      <c r="J231">
        <v>575000</v>
      </c>
      <c r="K231" s="261" t="s">
        <v>1087</v>
      </c>
      <c r="M231">
        <v>1</v>
      </c>
      <c r="N231">
        <v>2</v>
      </c>
      <c r="P231" s="261" t="s">
        <v>2194</v>
      </c>
      <c r="R231">
        <v>661250</v>
      </c>
      <c r="S231">
        <v>661250</v>
      </c>
      <c r="W231" s="261" t="s">
        <v>1574</v>
      </c>
      <c r="X231">
        <v>9</v>
      </c>
    </row>
    <row r="232" spans="1:25" x14ac:dyDescent="0.25">
      <c r="A232" s="261" t="s">
        <v>1320</v>
      </c>
      <c r="B232" s="261" t="s">
        <v>1321</v>
      </c>
      <c r="C232" s="261" t="s">
        <v>1068</v>
      </c>
      <c r="D232" s="261" t="s">
        <v>1542</v>
      </c>
      <c r="E232" s="261" t="s">
        <v>1084</v>
      </c>
      <c r="F232">
        <v>1</v>
      </c>
      <c r="G232" s="215">
        <v>46084</v>
      </c>
      <c r="H232" s="261" t="s">
        <v>987</v>
      </c>
      <c r="I232" s="261" t="s">
        <v>1017</v>
      </c>
      <c r="J232">
        <v>74750</v>
      </c>
      <c r="K232" s="261" t="s">
        <v>1087</v>
      </c>
      <c r="M232">
        <v>1</v>
      </c>
      <c r="N232">
        <v>2</v>
      </c>
      <c r="P232" s="261" t="s">
        <v>2194</v>
      </c>
      <c r="R232">
        <v>85962.5</v>
      </c>
      <c r="S232">
        <v>85962.5</v>
      </c>
      <c r="W232" s="261" t="s">
        <v>1574</v>
      </c>
      <c r="X232">
        <v>9</v>
      </c>
    </row>
    <row r="233" spans="1:25" x14ac:dyDescent="0.25">
      <c r="A233" s="261" t="s">
        <v>1322</v>
      </c>
      <c r="B233" s="261" t="s">
        <v>1323</v>
      </c>
      <c r="C233" s="261" t="s">
        <v>1068</v>
      </c>
      <c r="D233" s="261" t="s">
        <v>1542</v>
      </c>
      <c r="E233" s="261" t="s">
        <v>1084</v>
      </c>
      <c r="F233">
        <v>4</v>
      </c>
      <c r="G233" s="215">
        <v>46084</v>
      </c>
      <c r="H233" s="261" t="s">
        <v>987</v>
      </c>
      <c r="I233" s="261" t="s">
        <v>1017</v>
      </c>
      <c r="J233">
        <v>71300</v>
      </c>
      <c r="K233" s="261" t="s">
        <v>1087</v>
      </c>
      <c r="L233">
        <v>8540</v>
      </c>
      <c r="M233">
        <v>1</v>
      </c>
      <c r="N233">
        <v>2</v>
      </c>
      <c r="O233">
        <v>8540</v>
      </c>
      <c r="P233" s="261" t="s">
        <v>2193</v>
      </c>
      <c r="Q233">
        <v>13419.756000000001</v>
      </c>
      <c r="R233">
        <v>81995</v>
      </c>
      <c r="S233">
        <v>327980</v>
      </c>
      <c r="T233">
        <v>53679.024000000005</v>
      </c>
      <c r="U233">
        <v>274300.97600000002</v>
      </c>
      <c r="V233">
        <v>0.83633445941825724</v>
      </c>
      <c r="W233" s="261" t="s">
        <v>1575</v>
      </c>
      <c r="X233">
        <v>9</v>
      </c>
      <c r="Y233">
        <v>0.78180067565095424</v>
      </c>
    </row>
    <row r="234" spans="1:25" x14ac:dyDescent="0.25">
      <c r="A234" s="261" t="s">
        <v>1324</v>
      </c>
      <c r="B234" s="261" t="s">
        <v>1325</v>
      </c>
      <c r="C234" s="261" t="s">
        <v>1068</v>
      </c>
      <c r="D234" s="261" t="s">
        <v>1542</v>
      </c>
      <c r="E234" s="261" t="s">
        <v>1084</v>
      </c>
      <c r="F234">
        <v>4</v>
      </c>
      <c r="G234" s="215">
        <v>46084</v>
      </c>
      <c r="H234" s="261" t="s">
        <v>987</v>
      </c>
      <c r="I234" s="261" t="s">
        <v>1017</v>
      </c>
      <c r="J234">
        <v>120750</v>
      </c>
      <c r="K234" s="261" t="s">
        <v>1087</v>
      </c>
      <c r="L234">
        <v>16775</v>
      </c>
      <c r="M234">
        <v>1</v>
      </c>
      <c r="N234">
        <v>2</v>
      </c>
      <c r="O234">
        <v>16775</v>
      </c>
      <c r="P234" s="261" t="s">
        <v>2193</v>
      </c>
      <c r="Q234">
        <v>26360.235000000001</v>
      </c>
      <c r="R234">
        <v>138862.5</v>
      </c>
      <c r="S234">
        <v>555450</v>
      </c>
      <c r="T234">
        <v>105440.94</v>
      </c>
      <c r="U234">
        <v>450009.06</v>
      </c>
      <c r="V234">
        <v>0.81017024034566565</v>
      </c>
      <c r="W234" s="261" t="s">
        <v>1575</v>
      </c>
      <c r="X234">
        <v>9</v>
      </c>
      <c r="Y234">
        <v>0.7661021442073993</v>
      </c>
    </row>
    <row r="235" spans="1:25" x14ac:dyDescent="0.25">
      <c r="A235" s="261" t="s">
        <v>1326</v>
      </c>
      <c r="B235" s="261" t="s">
        <v>1327</v>
      </c>
      <c r="C235" s="261" t="s">
        <v>1068</v>
      </c>
      <c r="D235" s="261" t="s">
        <v>1542</v>
      </c>
      <c r="E235" s="261" t="s">
        <v>1084</v>
      </c>
      <c r="F235">
        <v>1</v>
      </c>
      <c r="G235" s="215">
        <v>46084</v>
      </c>
      <c r="H235" s="261" t="s">
        <v>987</v>
      </c>
      <c r="I235" s="261" t="s">
        <v>1017</v>
      </c>
      <c r="J235">
        <v>141450</v>
      </c>
      <c r="K235" s="261" t="s">
        <v>1087</v>
      </c>
      <c r="L235">
        <v>12200</v>
      </c>
      <c r="M235">
        <v>1</v>
      </c>
      <c r="N235">
        <v>2</v>
      </c>
      <c r="O235">
        <v>12200</v>
      </c>
      <c r="P235" s="261" t="s">
        <v>2193</v>
      </c>
      <c r="Q235">
        <v>19171.080000000002</v>
      </c>
      <c r="R235">
        <v>162667.5</v>
      </c>
      <c r="S235">
        <v>162667.5</v>
      </c>
      <c r="T235">
        <v>19171.080000000002</v>
      </c>
      <c r="U235">
        <v>143496.41999999998</v>
      </c>
      <c r="V235">
        <v>0.88214560376227569</v>
      </c>
      <c r="W235" s="261" t="s">
        <v>1575</v>
      </c>
      <c r="X235">
        <v>9</v>
      </c>
      <c r="Y235">
        <v>0.80928736225736542</v>
      </c>
    </row>
    <row r="236" spans="1:25" x14ac:dyDescent="0.25">
      <c r="A236" s="261" t="s">
        <v>1328</v>
      </c>
      <c r="B236" s="261" t="s">
        <v>1329</v>
      </c>
      <c r="C236" s="261" t="s">
        <v>1068</v>
      </c>
      <c r="D236" s="261" t="s">
        <v>1542</v>
      </c>
      <c r="E236" s="261" t="s">
        <v>1084</v>
      </c>
      <c r="F236">
        <v>4</v>
      </c>
      <c r="G236" s="215">
        <v>46084</v>
      </c>
      <c r="H236" s="261" t="s">
        <v>987</v>
      </c>
      <c r="I236" s="261" t="s">
        <v>1017</v>
      </c>
      <c r="J236">
        <v>11500</v>
      </c>
      <c r="K236" s="261" t="s">
        <v>1087</v>
      </c>
      <c r="M236">
        <v>1</v>
      </c>
      <c r="N236">
        <v>2</v>
      </c>
      <c r="P236" s="261" t="s">
        <v>2194</v>
      </c>
      <c r="R236">
        <v>13224.999999999998</v>
      </c>
      <c r="S236">
        <v>52899.999999999993</v>
      </c>
      <c r="W236" s="261" t="s">
        <v>1574</v>
      </c>
      <c r="X236">
        <v>9</v>
      </c>
    </row>
    <row r="237" spans="1:25" x14ac:dyDescent="0.25">
      <c r="A237" s="261" t="s">
        <v>1330</v>
      </c>
      <c r="B237" s="261" t="s">
        <v>1331</v>
      </c>
      <c r="C237" s="261" t="s">
        <v>1068</v>
      </c>
      <c r="D237" s="261" t="s">
        <v>1542</v>
      </c>
      <c r="E237" s="261" t="s">
        <v>1084</v>
      </c>
      <c r="F237">
        <v>1</v>
      </c>
      <c r="G237" s="215">
        <v>46084</v>
      </c>
      <c r="H237" s="261" t="s">
        <v>987</v>
      </c>
      <c r="I237" s="261" t="s">
        <v>1017</v>
      </c>
      <c r="J237">
        <v>747500</v>
      </c>
      <c r="K237" s="261" t="s">
        <v>1087</v>
      </c>
      <c r="M237">
        <v>1</v>
      </c>
      <c r="N237">
        <v>2</v>
      </c>
      <c r="P237" s="261" t="s">
        <v>2194</v>
      </c>
      <c r="R237">
        <v>859624.99999999988</v>
      </c>
      <c r="S237">
        <v>859624.99999999988</v>
      </c>
      <c r="W237" s="261" t="s">
        <v>1574</v>
      </c>
      <c r="X237">
        <v>9</v>
      </c>
    </row>
    <row r="238" spans="1:25" x14ac:dyDescent="0.25">
      <c r="A238" s="261" t="s">
        <v>1332</v>
      </c>
      <c r="B238" s="261" t="s">
        <v>1333</v>
      </c>
      <c r="C238" s="261" t="s">
        <v>1068</v>
      </c>
      <c r="D238" s="261" t="s">
        <v>1542</v>
      </c>
      <c r="E238" s="261" t="s">
        <v>1084</v>
      </c>
      <c r="F238">
        <v>1</v>
      </c>
      <c r="G238" s="215">
        <v>46084</v>
      </c>
      <c r="H238" s="261" t="s">
        <v>987</v>
      </c>
      <c r="I238" s="261" t="s">
        <v>1017</v>
      </c>
      <c r="J238">
        <v>805000</v>
      </c>
      <c r="K238" s="261" t="s">
        <v>1087</v>
      </c>
      <c r="M238">
        <v>1</v>
      </c>
      <c r="N238">
        <v>2</v>
      </c>
      <c r="P238" s="261" t="s">
        <v>2194</v>
      </c>
      <c r="R238">
        <v>925749.99999999988</v>
      </c>
      <c r="S238">
        <v>925749.99999999988</v>
      </c>
      <c r="W238" s="261" t="s">
        <v>1574</v>
      </c>
      <c r="X238">
        <v>9</v>
      </c>
    </row>
    <row r="239" spans="1:25" x14ac:dyDescent="0.25">
      <c r="A239" s="261" t="s">
        <v>1334</v>
      </c>
      <c r="B239" s="261" t="s">
        <v>1335</v>
      </c>
      <c r="C239" s="261" t="s">
        <v>1068</v>
      </c>
      <c r="D239" s="261" t="s">
        <v>1542</v>
      </c>
      <c r="E239" s="261" t="s">
        <v>1084</v>
      </c>
      <c r="F239">
        <v>1</v>
      </c>
      <c r="G239" s="215">
        <v>46084</v>
      </c>
      <c r="H239" s="261" t="s">
        <v>987</v>
      </c>
      <c r="I239" s="261" t="s">
        <v>1017</v>
      </c>
      <c r="J239">
        <v>575000</v>
      </c>
      <c r="K239" s="261" t="s">
        <v>1087</v>
      </c>
      <c r="M239">
        <v>1</v>
      </c>
      <c r="N239">
        <v>2</v>
      </c>
      <c r="P239" s="261" t="s">
        <v>2194</v>
      </c>
      <c r="R239">
        <v>661250</v>
      </c>
      <c r="S239">
        <v>661250</v>
      </c>
      <c r="W239" s="261" t="s">
        <v>1574</v>
      </c>
      <c r="X239">
        <v>9</v>
      </c>
    </row>
    <row r="240" spans="1:25" x14ac:dyDescent="0.25">
      <c r="A240" s="261" t="s">
        <v>1336</v>
      </c>
      <c r="B240" s="261" t="s">
        <v>1337</v>
      </c>
      <c r="C240" s="261" t="s">
        <v>1068</v>
      </c>
      <c r="D240" s="261" t="s">
        <v>1542</v>
      </c>
      <c r="E240" s="261" t="s">
        <v>1084</v>
      </c>
      <c r="F240">
        <v>5</v>
      </c>
      <c r="G240" s="215">
        <v>46084</v>
      </c>
      <c r="H240" s="261" t="s">
        <v>987</v>
      </c>
      <c r="I240" s="261" t="s">
        <v>1001</v>
      </c>
      <c r="J240">
        <v>272320</v>
      </c>
      <c r="K240" s="261" t="s">
        <v>1087</v>
      </c>
      <c r="L240">
        <v>24400</v>
      </c>
      <c r="M240">
        <v>1</v>
      </c>
      <c r="N240">
        <v>2.5</v>
      </c>
      <c r="O240">
        <v>24400</v>
      </c>
      <c r="P240" s="261" t="s">
        <v>2193</v>
      </c>
      <c r="Q240">
        <v>38342.160000000003</v>
      </c>
      <c r="R240">
        <v>313168</v>
      </c>
      <c r="S240">
        <v>1565840</v>
      </c>
      <c r="T240">
        <v>191710.80000000002</v>
      </c>
      <c r="U240">
        <v>1374129.2</v>
      </c>
      <c r="V240">
        <v>0.8775668012057426</v>
      </c>
      <c r="W240" s="261" t="s">
        <v>1575</v>
      </c>
      <c r="X240">
        <v>9</v>
      </c>
      <c r="Y240">
        <v>0.77654008072344549</v>
      </c>
    </row>
    <row r="241" spans="1:25" x14ac:dyDescent="0.25">
      <c r="A241" s="261" t="s">
        <v>1338</v>
      </c>
      <c r="B241" s="261" t="s">
        <v>1339</v>
      </c>
      <c r="C241" s="261" t="s">
        <v>1068</v>
      </c>
      <c r="D241" s="261" t="s">
        <v>1542</v>
      </c>
      <c r="E241" s="261" t="s">
        <v>1084</v>
      </c>
      <c r="F241">
        <v>10</v>
      </c>
      <c r="G241" s="215">
        <v>46084</v>
      </c>
      <c r="H241" s="261" t="s">
        <v>987</v>
      </c>
      <c r="I241" s="261" t="s">
        <v>1001</v>
      </c>
      <c r="J241">
        <v>224250</v>
      </c>
      <c r="K241" s="261" t="s">
        <v>1087</v>
      </c>
      <c r="L241">
        <v>18300</v>
      </c>
      <c r="M241">
        <v>1</v>
      </c>
      <c r="N241">
        <v>2.5</v>
      </c>
      <c r="O241">
        <v>18300</v>
      </c>
      <c r="P241" s="261" t="s">
        <v>2193</v>
      </c>
      <c r="Q241">
        <v>28756.620000000003</v>
      </c>
      <c r="R241">
        <v>257887.49999999997</v>
      </c>
      <c r="S241">
        <v>2578874.9999999995</v>
      </c>
      <c r="T241">
        <v>287566.2</v>
      </c>
      <c r="U241">
        <v>2291308.7999999993</v>
      </c>
      <c r="V241">
        <v>0.8884916097135378</v>
      </c>
      <c r="W241" s="261" t="s">
        <v>1575</v>
      </c>
      <c r="X241">
        <v>9</v>
      </c>
      <c r="Y241">
        <v>0.78309496582812266</v>
      </c>
    </row>
    <row r="242" spans="1:25" x14ac:dyDescent="0.25">
      <c r="A242" s="261" t="s">
        <v>1340</v>
      </c>
      <c r="B242" s="261" t="s">
        <v>1341</v>
      </c>
      <c r="C242" s="261" t="s">
        <v>1068</v>
      </c>
      <c r="D242" s="261" t="s">
        <v>1542</v>
      </c>
      <c r="E242" s="261" t="s">
        <v>1084</v>
      </c>
      <c r="F242">
        <v>1</v>
      </c>
      <c r="G242" s="215">
        <v>46084</v>
      </c>
      <c r="H242" s="261" t="s">
        <v>987</v>
      </c>
      <c r="I242" s="261" t="s">
        <v>1001</v>
      </c>
      <c r="J242">
        <v>1092500</v>
      </c>
      <c r="K242" s="261" t="s">
        <v>1087</v>
      </c>
      <c r="L242">
        <v>97600</v>
      </c>
      <c r="M242">
        <v>1</v>
      </c>
      <c r="N242">
        <v>2.5</v>
      </c>
      <c r="O242">
        <v>97600</v>
      </c>
      <c r="P242" s="261" t="s">
        <v>2193</v>
      </c>
      <c r="Q242">
        <v>153368.64000000001</v>
      </c>
      <c r="R242">
        <v>1256375</v>
      </c>
      <c r="S242">
        <v>1256375</v>
      </c>
      <c r="T242">
        <v>153368.64000000001</v>
      </c>
      <c r="U242">
        <v>1103006.3599999999</v>
      </c>
      <c r="V242">
        <v>0.8779276569495571</v>
      </c>
      <c r="W242" s="261" t="s">
        <v>1575</v>
      </c>
      <c r="X242">
        <v>9</v>
      </c>
      <c r="Y242">
        <v>0.77675659416973419</v>
      </c>
    </row>
    <row r="243" spans="1:25" x14ac:dyDescent="0.25">
      <c r="A243" s="261" t="s">
        <v>1342</v>
      </c>
      <c r="B243" s="261" t="s">
        <v>1343</v>
      </c>
      <c r="C243" s="261" t="s">
        <v>1068</v>
      </c>
      <c r="D243" s="261" t="s">
        <v>1542</v>
      </c>
      <c r="E243" s="261" t="s">
        <v>1084</v>
      </c>
      <c r="F243">
        <v>1</v>
      </c>
      <c r="G243" s="215">
        <v>46084</v>
      </c>
      <c r="H243" s="261" t="s">
        <v>987</v>
      </c>
      <c r="I243" s="261" t="s">
        <v>1001</v>
      </c>
      <c r="J243">
        <v>184000</v>
      </c>
      <c r="K243" s="261" t="s">
        <v>1087</v>
      </c>
      <c r="L243">
        <v>64050</v>
      </c>
      <c r="M243">
        <v>1</v>
      </c>
      <c r="N243">
        <v>2.5</v>
      </c>
      <c r="O243">
        <v>64050</v>
      </c>
      <c r="P243" s="261" t="s">
        <v>2193</v>
      </c>
      <c r="Q243">
        <v>100648.17000000001</v>
      </c>
      <c r="R243">
        <v>211599.99999999997</v>
      </c>
      <c r="S243">
        <v>211599.99999999997</v>
      </c>
      <c r="T243">
        <v>100648.17000000001</v>
      </c>
      <c r="U243">
        <v>110951.82999999996</v>
      </c>
      <c r="V243">
        <v>0.52434702268430988</v>
      </c>
      <c r="W243" s="261" t="s">
        <v>1575</v>
      </c>
      <c r="X243">
        <v>9</v>
      </c>
      <c r="Y243">
        <v>0.56460821361058589</v>
      </c>
    </row>
    <row r="244" spans="1:25" x14ac:dyDescent="0.25">
      <c r="A244" s="261" t="s">
        <v>1344</v>
      </c>
      <c r="B244" s="261" t="s">
        <v>1345</v>
      </c>
      <c r="C244" s="261" t="s">
        <v>1068</v>
      </c>
      <c r="D244" s="261" t="s">
        <v>1542</v>
      </c>
      <c r="E244" s="261" t="s">
        <v>1084</v>
      </c>
      <c r="F244">
        <v>1</v>
      </c>
      <c r="G244" s="215">
        <v>46084</v>
      </c>
      <c r="H244" s="261" t="s">
        <v>987</v>
      </c>
      <c r="I244" s="261" t="s">
        <v>1001</v>
      </c>
      <c r="J244">
        <v>575000</v>
      </c>
      <c r="K244" s="261" t="s">
        <v>1087</v>
      </c>
      <c r="M244">
        <v>1</v>
      </c>
      <c r="N244">
        <v>2.5</v>
      </c>
      <c r="P244" s="261" t="s">
        <v>2194</v>
      </c>
      <c r="R244">
        <v>661250</v>
      </c>
      <c r="S244">
        <v>661250</v>
      </c>
      <c r="W244" s="261" t="s">
        <v>1574</v>
      </c>
      <c r="X244">
        <v>9</v>
      </c>
    </row>
    <row r="245" spans="1:25" x14ac:dyDescent="0.25">
      <c r="A245" s="261" t="s">
        <v>1346</v>
      </c>
      <c r="B245" s="261" t="s">
        <v>1347</v>
      </c>
      <c r="C245" s="261" t="s">
        <v>1068</v>
      </c>
      <c r="D245" s="261" t="s">
        <v>1542</v>
      </c>
      <c r="E245" s="261" t="s">
        <v>1084</v>
      </c>
      <c r="F245">
        <v>10</v>
      </c>
      <c r="G245" s="215">
        <v>46084</v>
      </c>
      <c r="H245" s="261" t="s">
        <v>987</v>
      </c>
      <c r="I245" s="261" t="s">
        <v>1017</v>
      </c>
      <c r="J245">
        <v>230000</v>
      </c>
      <c r="K245" s="261" t="s">
        <v>1087</v>
      </c>
      <c r="L245">
        <v>33550</v>
      </c>
      <c r="M245">
        <v>1</v>
      </c>
      <c r="N245">
        <v>2</v>
      </c>
      <c r="O245">
        <v>33550</v>
      </c>
      <c r="P245" s="261" t="s">
        <v>2193</v>
      </c>
      <c r="Q245">
        <v>52720.47</v>
      </c>
      <c r="R245">
        <v>264500</v>
      </c>
      <c r="S245">
        <v>2645000</v>
      </c>
      <c r="T245">
        <v>527204.69999999995</v>
      </c>
      <c r="U245">
        <v>2117795.2999999998</v>
      </c>
      <c r="V245">
        <v>0.80067875236294894</v>
      </c>
      <c r="W245" s="261" t="s">
        <v>1575</v>
      </c>
      <c r="X245">
        <v>9</v>
      </c>
      <c r="Y245">
        <v>0.76040725141776933</v>
      </c>
    </row>
    <row r="246" spans="1:25" x14ac:dyDescent="0.25">
      <c r="A246" s="261" t="s">
        <v>1348</v>
      </c>
      <c r="B246" s="261" t="s">
        <v>1349</v>
      </c>
      <c r="C246" s="261" t="s">
        <v>1068</v>
      </c>
      <c r="D246" s="261" t="s">
        <v>1542</v>
      </c>
      <c r="E246" s="261" t="s">
        <v>1084</v>
      </c>
      <c r="F246">
        <v>34</v>
      </c>
      <c r="G246" s="215">
        <v>46084</v>
      </c>
      <c r="H246" s="261" t="s">
        <v>987</v>
      </c>
      <c r="I246" s="261" t="s">
        <v>1014</v>
      </c>
      <c r="J246">
        <v>264500</v>
      </c>
      <c r="K246" s="261" t="s">
        <v>1087</v>
      </c>
      <c r="L246">
        <v>27450</v>
      </c>
      <c r="M246">
        <v>1</v>
      </c>
      <c r="N246">
        <v>1.5</v>
      </c>
      <c r="O246">
        <v>27450</v>
      </c>
      <c r="P246" s="261" t="s">
        <v>2193</v>
      </c>
      <c r="Q246">
        <v>43134.93</v>
      </c>
      <c r="R246">
        <v>304175</v>
      </c>
      <c r="S246">
        <v>10341950</v>
      </c>
      <c r="T246">
        <v>1466587.62</v>
      </c>
      <c r="U246">
        <v>8875362.379999999</v>
      </c>
      <c r="V246">
        <v>0.85819041670091223</v>
      </c>
      <c r="W246" s="261" t="s">
        <v>1575</v>
      </c>
      <c r="X246">
        <v>10</v>
      </c>
      <c r="Y246">
        <v>0.8249142500205473</v>
      </c>
    </row>
    <row r="247" spans="1:25" x14ac:dyDescent="0.25">
      <c r="A247" s="261" t="s">
        <v>1351</v>
      </c>
      <c r="B247" s="261" t="s">
        <v>1352</v>
      </c>
      <c r="C247" s="261" t="s">
        <v>1068</v>
      </c>
      <c r="D247" s="261" t="s">
        <v>1542</v>
      </c>
      <c r="E247" s="261" t="s">
        <v>1084</v>
      </c>
      <c r="F247">
        <v>12</v>
      </c>
      <c r="G247" s="215">
        <v>46084</v>
      </c>
      <c r="H247" s="261" t="s">
        <v>987</v>
      </c>
      <c r="I247" s="261" t="s">
        <v>1014</v>
      </c>
      <c r="J247">
        <v>517500</v>
      </c>
      <c r="K247" s="261" t="s">
        <v>1087</v>
      </c>
      <c r="L247">
        <v>24400</v>
      </c>
      <c r="M247">
        <v>1</v>
      </c>
      <c r="N247">
        <v>1.5</v>
      </c>
      <c r="O247">
        <v>24400</v>
      </c>
      <c r="P247" s="261" t="s">
        <v>2193</v>
      </c>
      <c r="Q247">
        <v>38342.160000000003</v>
      </c>
      <c r="R247">
        <v>595125</v>
      </c>
      <c r="S247">
        <v>7141500</v>
      </c>
      <c r="T247">
        <v>460105.92000000004</v>
      </c>
      <c r="U247">
        <v>6681394.0800000001</v>
      </c>
      <c r="V247">
        <v>0.93557293005671083</v>
      </c>
      <c r="W247" s="261" t="s">
        <v>1575</v>
      </c>
      <c r="X247">
        <v>10</v>
      </c>
      <c r="Y247">
        <v>0.87134375803402642</v>
      </c>
    </row>
    <row r="248" spans="1:25" x14ac:dyDescent="0.25">
      <c r="A248" s="261" t="s">
        <v>1353</v>
      </c>
      <c r="B248" s="261" t="s">
        <v>1354</v>
      </c>
      <c r="C248" s="261" t="s">
        <v>1068</v>
      </c>
      <c r="D248" s="261" t="s">
        <v>1542</v>
      </c>
      <c r="E248" s="261" t="s">
        <v>1084</v>
      </c>
      <c r="F248">
        <v>32</v>
      </c>
      <c r="G248" s="215">
        <v>46084</v>
      </c>
      <c r="H248" s="261" t="s">
        <v>987</v>
      </c>
      <c r="I248" s="261" t="s">
        <v>1014</v>
      </c>
      <c r="J248">
        <v>126500</v>
      </c>
      <c r="K248" s="261" t="s">
        <v>1087</v>
      </c>
      <c r="L248">
        <v>13725</v>
      </c>
      <c r="M248">
        <v>1</v>
      </c>
      <c r="N248">
        <v>1.5</v>
      </c>
      <c r="O248">
        <v>13725</v>
      </c>
      <c r="P248" s="261" t="s">
        <v>2193</v>
      </c>
      <c r="Q248">
        <v>21567.465</v>
      </c>
      <c r="R248">
        <v>145475</v>
      </c>
      <c r="S248">
        <v>4655200</v>
      </c>
      <c r="T248">
        <v>690158.88</v>
      </c>
      <c r="U248">
        <v>3965041.12</v>
      </c>
      <c r="V248">
        <v>0.85174452655095378</v>
      </c>
      <c r="W248" s="261" t="s">
        <v>1575</v>
      </c>
      <c r="X248">
        <v>10</v>
      </c>
      <c r="Y248">
        <v>0.82104671593057221</v>
      </c>
    </row>
    <row r="249" spans="1:25" x14ac:dyDescent="0.25">
      <c r="A249" s="261" t="s">
        <v>1355</v>
      </c>
      <c r="B249" s="261" t="s">
        <v>1356</v>
      </c>
      <c r="C249" s="261" t="s">
        <v>1068</v>
      </c>
      <c r="D249" s="261" t="s">
        <v>1542</v>
      </c>
      <c r="E249" s="261" t="s">
        <v>1084</v>
      </c>
      <c r="F249">
        <v>6</v>
      </c>
      <c r="G249" s="215">
        <v>46084</v>
      </c>
      <c r="H249" s="261" t="s">
        <v>987</v>
      </c>
      <c r="I249" s="261" t="s">
        <v>1014</v>
      </c>
      <c r="J249">
        <v>109250</v>
      </c>
      <c r="K249" s="261" t="s">
        <v>1087</v>
      </c>
      <c r="L249">
        <v>16165</v>
      </c>
      <c r="M249">
        <v>1</v>
      </c>
      <c r="N249">
        <v>1.5</v>
      </c>
      <c r="O249">
        <v>16165</v>
      </c>
      <c r="P249" s="261" t="s">
        <v>2193</v>
      </c>
      <c r="Q249">
        <v>25401.681000000004</v>
      </c>
      <c r="R249">
        <v>125637.49999999999</v>
      </c>
      <c r="S249">
        <v>753824.99999999988</v>
      </c>
      <c r="T249">
        <v>152410.08600000001</v>
      </c>
      <c r="U249">
        <v>601414.91399999987</v>
      </c>
      <c r="V249">
        <v>0.79781768182270418</v>
      </c>
      <c r="W249" s="261" t="s">
        <v>1575</v>
      </c>
      <c r="X249">
        <v>10</v>
      </c>
      <c r="Y249">
        <v>0.78869060909362243</v>
      </c>
    </row>
    <row r="250" spans="1:25" x14ac:dyDescent="0.25">
      <c r="A250" s="261" t="s">
        <v>1357</v>
      </c>
      <c r="B250" s="261" t="s">
        <v>1358</v>
      </c>
      <c r="C250" s="261" t="s">
        <v>1068</v>
      </c>
      <c r="D250" s="261" t="s">
        <v>1542</v>
      </c>
      <c r="E250" s="261" t="s">
        <v>1084</v>
      </c>
      <c r="F250">
        <v>5</v>
      </c>
      <c r="G250" s="215">
        <v>46084</v>
      </c>
      <c r="H250" s="261" t="s">
        <v>987</v>
      </c>
      <c r="I250" s="261" t="s">
        <v>1014</v>
      </c>
      <c r="J250">
        <v>201250</v>
      </c>
      <c r="K250" s="261" t="s">
        <v>1087</v>
      </c>
      <c r="L250">
        <v>32025</v>
      </c>
      <c r="M250">
        <v>1</v>
      </c>
      <c r="N250">
        <v>1.5</v>
      </c>
      <c r="O250">
        <v>32025</v>
      </c>
      <c r="P250" s="261" t="s">
        <v>2193</v>
      </c>
      <c r="Q250">
        <v>50324.085000000006</v>
      </c>
      <c r="R250">
        <v>231437.49999999997</v>
      </c>
      <c r="S250">
        <v>1157187.4999999998</v>
      </c>
      <c r="T250">
        <v>251620.42500000005</v>
      </c>
      <c r="U250">
        <v>905567.07499999972</v>
      </c>
      <c r="V250">
        <v>0.78255863894139877</v>
      </c>
      <c r="W250" s="261" t="s">
        <v>1575</v>
      </c>
      <c r="X250">
        <v>10</v>
      </c>
      <c r="Y250">
        <v>0.77953518336483918</v>
      </c>
    </row>
    <row r="251" spans="1:25" x14ac:dyDescent="0.25">
      <c r="A251" s="261" t="s">
        <v>1359</v>
      </c>
      <c r="B251" s="261" t="s">
        <v>1360</v>
      </c>
      <c r="C251" s="261" t="s">
        <v>1068</v>
      </c>
      <c r="D251" s="261" t="s">
        <v>1542</v>
      </c>
      <c r="E251" s="261" t="s">
        <v>1084</v>
      </c>
      <c r="F251">
        <v>5</v>
      </c>
      <c r="G251" s="215">
        <v>46084</v>
      </c>
      <c r="H251" s="261" t="s">
        <v>987</v>
      </c>
      <c r="I251" s="261" t="s">
        <v>1014</v>
      </c>
      <c r="J251">
        <v>247250</v>
      </c>
      <c r="K251" s="261" t="s">
        <v>1087</v>
      </c>
      <c r="L251">
        <v>41175</v>
      </c>
      <c r="M251">
        <v>1</v>
      </c>
      <c r="N251">
        <v>1.5</v>
      </c>
      <c r="O251">
        <v>41175</v>
      </c>
      <c r="P251" s="261" t="s">
        <v>2193</v>
      </c>
      <c r="Q251">
        <v>64702.395000000004</v>
      </c>
      <c r="R251">
        <v>284337.5</v>
      </c>
      <c r="S251">
        <v>1421687.5</v>
      </c>
      <c r="T251">
        <v>323511.97500000003</v>
      </c>
      <c r="U251">
        <v>1098175.5249999999</v>
      </c>
      <c r="V251">
        <v>0.77244508726425454</v>
      </c>
      <c r="W251" s="261" t="s">
        <v>1575</v>
      </c>
      <c r="X251">
        <v>10</v>
      </c>
      <c r="Y251">
        <v>0.77346705235855262</v>
      </c>
    </row>
    <row r="252" spans="1:25" x14ac:dyDescent="0.25">
      <c r="A252" s="261" t="s">
        <v>1361</v>
      </c>
      <c r="B252" s="261" t="s">
        <v>1362</v>
      </c>
      <c r="C252" s="261" t="s">
        <v>1068</v>
      </c>
      <c r="D252" s="261" t="s">
        <v>1542</v>
      </c>
      <c r="E252" s="261" t="s">
        <v>1084</v>
      </c>
      <c r="F252">
        <v>2</v>
      </c>
      <c r="G252" s="215">
        <v>46084</v>
      </c>
      <c r="H252" s="261" t="s">
        <v>987</v>
      </c>
      <c r="I252" s="261" t="s">
        <v>1014</v>
      </c>
      <c r="J252">
        <v>316250</v>
      </c>
      <c r="K252" s="261" t="s">
        <v>1087</v>
      </c>
      <c r="L252">
        <v>48800</v>
      </c>
      <c r="M252">
        <v>1</v>
      </c>
      <c r="N252">
        <v>1.5</v>
      </c>
      <c r="O252">
        <v>48800</v>
      </c>
      <c r="P252" s="261" t="s">
        <v>2193</v>
      </c>
      <c r="Q252">
        <v>76684.320000000007</v>
      </c>
      <c r="R252">
        <v>363687.5</v>
      </c>
      <c r="S252">
        <v>727375</v>
      </c>
      <c r="T252">
        <v>153368.64000000001</v>
      </c>
      <c r="U252">
        <v>574006.36</v>
      </c>
      <c r="V252">
        <v>0.78914777109468981</v>
      </c>
      <c r="W252" s="261" t="s">
        <v>1575</v>
      </c>
      <c r="X252">
        <v>10</v>
      </c>
      <c r="Y252">
        <v>0.78348866265681383</v>
      </c>
    </row>
    <row r="253" spans="1:25" x14ac:dyDescent="0.25">
      <c r="A253" s="261" t="s">
        <v>1363</v>
      </c>
      <c r="B253" s="261" t="s">
        <v>1364</v>
      </c>
      <c r="C253" s="261" t="s">
        <v>1068</v>
      </c>
      <c r="D253" s="261" t="s">
        <v>1542</v>
      </c>
      <c r="E253" s="261" t="s">
        <v>1177</v>
      </c>
      <c r="F253">
        <v>100</v>
      </c>
      <c r="G253" s="215">
        <v>46084</v>
      </c>
      <c r="H253" s="261" t="s">
        <v>987</v>
      </c>
      <c r="I253" s="261" t="s">
        <v>1014</v>
      </c>
      <c r="J253">
        <v>4255</v>
      </c>
      <c r="K253" s="261" t="s">
        <v>1087</v>
      </c>
      <c r="M253">
        <v>1</v>
      </c>
      <c r="N253">
        <v>1.5</v>
      </c>
      <c r="P253" s="261" t="s">
        <v>2194</v>
      </c>
      <c r="R253">
        <v>4893.25</v>
      </c>
      <c r="S253">
        <v>489325</v>
      </c>
      <c r="W253" s="261" t="s">
        <v>1574</v>
      </c>
      <c r="X253">
        <v>10</v>
      </c>
    </row>
    <row r="254" spans="1:25" x14ac:dyDescent="0.25">
      <c r="A254" s="261" t="s">
        <v>1365</v>
      </c>
      <c r="B254" s="261" t="s">
        <v>1366</v>
      </c>
      <c r="C254" s="261" t="s">
        <v>1068</v>
      </c>
      <c r="D254" s="261" t="s">
        <v>1542</v>
      </c>
      <c r="E254" s="261" t="s">
        <v>1177</v>
      </c>
      <c r="F254">
        <v>100</v>
      </c>
      <c r="G254" s="215">
        <v>46084</v>
      </c>
      <c r="H254" s="261" t="s">
        <v>987</v>
      </c>
      <c r="I254" s="261" t="s">
        <v>1014</v>
      </c>
      <c r="J254">
        <v>5635</v>
      </c>
      <c r="K254" s="261" t="s">
        <v>1087</v>
      </c>
      <c r="M254">
        <v>1</v>
      </c>
      <c r="N254">
        <v>1.5</v>
      </c>
      <c r="P254" s="261" t="s">
        <v>2194</v>
      </c>
      <c r="R254">
        <v>6480.2499999999991</v>
      </c>
      <c r="S254">
        <v>648024.99999999988</v>
      </c>
      <c r="W254" s="261" t="s">
        <v>1574</v>
      </c>
      <c r="X254">
        <v>10</v>
      </c>
    </row>
    <row r="255" spans="1:25" x14ac:dyDescent="0.25">
      <c r="A255" s="261" t="s">
        <v>1367</v>
      </c>
      <c r="B255" s="261" t="s">
        <v>1368</v>
      </c>
      <c r="C255" s="261" t="s">
        <v>1068</v>
      </c>
      <c r="D255" s="261" t="s">
        <v>1542</v>
      </c>
      <c r="E255" s="261" t="s">
        <v>1177</v>
      </c>
      <c r="F255">
        <v>80</v>
      </c>
      <c r="G255" s="215">
        <v>46084</v>
      </c>
      <c r="H255" s="261" t="s">
        <v>987</v>
      </c>
      <c r="I255" s="261" t="s">
        <v>1014</v>
      </c>
      <c r="J255">
        <v>5980</v>
      </c>
      <c r="K255" s="261" t="s">
        <v>1087</v>
      </c>
      <c r="M255">
        <v>1</v>
      </c>
      <c r="N255">
        <v>1.5</v>
      </c>
      <c r="P255" s="261" t="s">
        <v>2194</v>
      </c>
      <c r="R255">
        <v>6876.9999999999991</v>
      </c>
      <c r="S255">
        <v>550159.99999999988</v>
      </c>
      <c r="W255" s="261" t="s">
        <v>1574</v>
      </c>
      <c r="X255">
        <v>10</v>
      </c>
    </row>
    <row r="256" spans="1:25" x14ac:dyDescent="0.25">
      <c r="A256" s="261" t="s">
        <v>1369</v>
      </c>
      <c r="B256" s="261" t="s">
        <v>1370</v>
      </c>
      <c r="C256" s="261" t="s">
        <v>1068</v>
      </c>
      <c r="D256" s="261" t="s">
        <v>1542</v>
      </c>
      <c r="E256" s="261" t="s">
        <v>1177</v>
      </c>
      <c r="F256">
        <v>90</v>
      </c>
      <c r="G256" s="215">
        <v>46084</v>
      </c>
      <c r="H256" s="261" t="s">
        <v>987</v>
      </c>
      <c r="I256" s="261" t="s">
        <v>1014</v>
      </c>
      <c r="J256">
        <v>8050</v>
      </c>
      <c r="K256" s="261" t="s">
        <v>1087</v>
      </c>
      <c r="M256">
        <v>1</v>
      </c>
      <c r="N256">
        <v>1.5</v>
      </c>
      <c r="P256" s="261" t="s">
        <v>2194</v>
      </c>
      <c r="R256">
        <v>9257.5</v>
      </c>
      <c r="S256">
        <v>833175</v>
      </c>
      <c r="W256" s="261" t="s">
        <v>1574</v>
      </c>
      <c r="X256">
        <v>10</v>
      </c>
    </row>
    <row r="257" spans="1:24" x14ac:dyDescent="0.25">
      <c r="A257" s="261" t="s">
        <v>1371</v>
      </c>
      <c r="B257" s="261" t="s">
        <v>1372</v>
      </c>
      <c r="C257" s="261" t="s">
        <v>1068</v>
      </c>
      <c r="D257" s="261" t="s">
        <v>1542</v>
      </c>
      <c r="E257" s="261" t="s">
        <v>1177</v>
      </c>
      <c r="F257">
        <v>120</v>
      </c>
      <c r="G257" s="215">
        <v>46084</v>
      </c>
      <c r="H257" s="261" t="s">
        <v>987</v>
      </c>
      <c r="I257" s="261" t="s">
        <v>1014</v>
      </c>
      <c r="J257">
        <v>9545</v>
      </c>
      <c r="K257" s="261" t="s">
        <v>1087</v>
      </c>
      <c r="M257">
        <v>1</v>
      </c>
      <c r="N257">
        <v>1.5</v>
      </c>
      <c r="P257" s="261" t="s">
        <v>2194</v>
      </c>
      <c r="R257">
        <v>10976.75</v>
      </c>
      <c r="S257">
        <v>1317210</v>
      </c>
      <c r="W257" s="261" t="s">
        <v>1574</v>
      </c>
      <c r="X257">
        <v>10</v>
      </c>
    </row>
    <row r="258" spans="1:24" x14ac:dyDescent="0.25">
      <c r="A258" s="261" t="s">
        <v>1373</v>
      </c>
      <c r="B258" s="261" t="s">
        <v>1374</v>
      </c>
      <c r="C258" s="261" t="s">
        <v>1068</v>
      </c>
      <c r="D258" s="261" t="s">
        <v>1542</v>
      </c>
      <c r="E258" s="261" t="s">
        <v>1177</v>
      </c>
      <c r="F258">
        <v>400</v>
      </c>
      <c r="G258" s="215">
        <v>46084</v>
      </c>
      <c r="H258" s="261" t="s">
        <v>987</v>
      </c>
      <c r="I258" s="261" t="s">
        <v>1014</v>
      </c>
      <c r="J258">
        <v>11224</v>
      </c>
      <c r="K258" s="261" t="s">
        <v>1087</v>
      </c>
      <c r="M258">
        <v>1</v>
      </c>
      <c r="N258">
        <v>1.5</v>
      </c>
      <c r="P258" s="261" t="s">
        <v>2194</v>
      </c>
      <c r="R258">
        <v>12907.599999999999</v>
      </c>
      <c r="S258">
        <v>5163039.9999999991</v>
      </c>
      <c r="W258" s="261" t="s">
        <v>1574</v>
      </c>
      <c r="X258">
        <v>10</v>
      </c>
    </row>
    <row r="259" spans="1:24" x14ac:dyDescent="0.25">
      <c r="A259" s="261" t="s">
        <v>1375</v>
      </c>
      <c r="B259" s="261" t="s">
        <v>1376</v>
      </c>
      <c r="C259" s="261" t="s">
        <v>1068</v>
      </c>
      <c r="D259" s="261" t="s">
        <v>1542</v>
      </c>
      <c r="E259" s="261" t="s">
        <v>1177</v>
      </c>
      <c r="F259">
        <v>80</v>
      </c>
      <c r="G259" s="215">
        <v>46084</v>
      </c>
      <c r="H259" s="261" t="s">
        <v>987</v>
      </c>
      <c r="I259" s="261" t="s">
        <v>1014</v>
      </c>
      <c r="J259">
        <v>13915</v>
      </c>
      <c r="K259" s="261" t="s">
        <v>1087</v>
      </c>
      <c r="M259">
        <v>1</v>
      </c>
      <c r="N259">
        <v>1.5</v>
      </c>
      <c r="P259" s="261" t="s">
        <v>2194</v>
      </c>
      <c r="R259">
        <v>16002.249999999998</v>
      </c>
      <c r="S259">
        <v>1280179.9999999998</v>
      </c>
      <c r="W259" s="261" t="s">
        <v>1574</v>
      </c>
      <c r="X259">
        <v>10</v>
      </c>
    </row>
    <row r="260" spans="1:24" x14ac:dyDescent="0.25">
      <c r="A260" s="261" t="s">
        <v>1377</v>
      </c>
      <c r="B260" s="261" t="s">
        <v>1378</v>
      </c>
      <c r="C260" s="261" t="s">
        <v>1068</v>
      </c>
      <c r="D260" s="261" t="s">
        <v>1542</v>
      </c>
      <c r="E260" s="261" t="s">
        <v>1177</v>
      </c>
      <c r="F260">
        <v>25</v>
      </c>
      <c r="G260" s="215">
        <v>46084</v>
      </c>
      <c r="H260" s="261" t="s">
        <v>987</v>
      </c>
      <c r="I260" s="261" t="s">
        <v>1014</v>
      </c>
      <c r="J260">
        <v>21327</v>
      </c>
      <c r="K260" s="261" t="s">
        <v>1087</v>
      </c>
      <c r="M260">
        <v>1</v>
      </c>
      <c r="N260">
        <v>1.5</v>
      </c>
      <c r="P260" s="261" t="s">
        <v>2194</v>
      </c>
      <c r="R260">
        <v>24526.05</v>
      </c>
      <c r="S260">
        <v>613151.25</v>
      </c>
      <c r="W260" s="261" t="s">
        <v>1574</v>
      </c>
      <c r="X260">
        <v>10</v>
      </c>
    </row>
    <row r="261" spans="1:24" x14ac:dyDescent="0.25">
      <c r="A261" s="261" t="s">
        <v>1379</v>
      </c>
      <c r="B261" s="261" t="s">
        <v>1380</v>
      </c>
      <c r="C261" s="261" t="s">
        <v>1068</v>
      </c>
      <c r="D261" s="261" t="s">
        <v>1542</v>
      </c>
      <c r="E261" s="261" t="s">
        <v>1177</v>
      </c>
      <c r="F261">
        <v>10</v>
      </c>
      <c r="G261" s="215">
        <v>46084</v>
      </c>
      <c r="H261" s="261" t="s">
        <v>987</v>
      </c>
      <c r="I261" s="261" t="s">
        <v>1014</v>
      </c>
      <c r="J261">
        <v>23575</v>
      </c>
      <c r="K261" s="261" t="s">
        <v>1087</v>
      </c>
      <c r="M261">
        <v>1</v>
      </c>
      <c r="N261">
        <v>1.5</v>
      </c>
      <c r="P261" s="261" t="s">
        <v>2194</v>
      </c>
      <c r="R261">
        <v>27111.249999999996</v>
      </c>
      <c r="S261">
        <v>271112.49999999994</v>
      </c>
      <c r="W261" s="261" t="s">
        <v>1574</v>
      </c>
      <c r="X261">
        <v>10</v>
      </c>
    </row>
    <row r="262" spans="1:24" x14ac:dyDescent="0.25">
      <c r="A262" s="261" t="s">
        <v>1381</v>
      </c>
      <c r="B262" s="261" t="s">
        <v>1382</v>
      </c>
      <c r="C262" s="261" t="s">
        <v>1068</v>
      </c>
      <c r="D262" s="261" t="s">
        <v>1542</v>
      </c>
      <c r="E262" s="261" t="s">
        <v>1177</v>
      </c>
      <c r="F262">
        <v>50</v>
      </c>
      <c r="G262" s="215">
        <v>46084</v>
      </c>
      <c r="H262" s="261" t="s">
        <v>987</v>
      </c>
      <c r="I262" s="261" t="s">
        <v>1014</v>
      </c>
      <c r="J262">
        <v>5980</v>
      </c>
      <c r="K262" s="261" t="s">
        <v>1087</v>
      </c>
      <c r="M262">
        <v>1</v>
      </c>
      <c r="N262">
        <v>1.5</v>
      </c>
      <c r="P262" s="261" t="s">
        <v>2194</v>
      </c>
      <c r="R262">
        <v>6876.9999999999991</v>
      </c>
      <c r="S262">
        <v>343849.99999999994</v>
      </c>
      <c r="W262" s="261" t="s">
        <v>1574</v>
      </c>
      <c r="X262">
        <v>10</v>
      </c>
    </row>
    <row r="263" spans="1:24" x14ac:dyDescent="0.25">
      <c r="A263" s="261" t="s">
        <v>1383</v>
      </c>
      <c r="B263" s="261" t="s">
        <v>1384</v>
      </c>
      <c r="C263" s="261" t="s">
        <v>1068</v>
      </c>
      <c r="D263" s="261" t="s">
        <v>1542</v>
      </c>
      <c r="E263" s="261" t="s">
        <v>1177</v>
      </c>
      <c r="F263">
        <v>50</v>
      </c>
      <c r="G263" s="215">
        <v>46084</v>
      </c>
      <c r="H263" s="261" t="s">
        <v>987</v>
      </c>
      <c r="I263" s="261" t="s">
        <v>1014</v>
      </c>
      <c r="J263">
        <v>5405</v>
      </c>
      <c r="K263" s="261" t="s">
        <v>1087</v>
      </c>
      <c r="M263">
        <v>1</v>
      </c>
      <c r="N263">
        <v>1.5</v>
      </c>
      <c r="P263" s="261" t="s">
        <v>2194</v>
      </c>
      <c r="R263">
        <v>6215.7499999999991</v>
      </c>
      <c r="S263">
        <v>310787.49999999994</v>
      </c>
      <c r="W263" s="261" t="s">
        <v>1574</v>
      </c>
      <c r="X263">
        <v>10</v>
      </c>
    </row>
    <row r="264" spans="1:24" x14ac:dyDescent="0.25">
      <c r="A264" s="261" t="s">
        <v>1385</v>
      </c>
      <c r="B264" s="261" t="s">
        <v>1386</v>
      </c>
      <c r="C264" s="261" t="s">
        <v>1068</v>
      </c>
      <c r="D264" s="261" t="s">
        <v>1542</v>
      </c>
      <c r="E264" s="261" t="s">
        <v>1177</v>
      </c>
      <c r="F264">
        <v>150</v>
      </c>
      <c r="G264" s="215">
        <v>46084</v>
      </c>
      <c r="H264" s="261" t="s">
        <v>987</v>
      </c>
      <c r="I264" s="261" t="s">
        <v>1014</v>
      </c>
      <c r="J264">
        <v>4830</v>
      </c>
      <c r="K264" s="261" t="s">
        <v>1087</v>
      </c>
      <c r="M264">
        <v>1</v>
      </c>
      <c r="N264">
        <v>1.5</v>
      </c>
      <c r="P264" s="261" t="s">
        <v>2194</v>
      </c>
      <c r="R264">
        <v>5554.5</v>
      </c>
      <c r="S264">
        <v>833175</v>
      </c>
      <c r="W264" s="261" t="s">
        <v>1574</v>
      </c>
      <c r="X264">
        <v>10</v>
      </c>
    </row>
    <row r="265" spans="1:24" x14ac:dyDescent="0.25">
      <c r="A265" s="261" t="s">
        <v>1387</v>
      </c>
      <c r="B265" s="261" t="s">
        <v>1388</v>
      </c>
      <c r="C265" s="261" t="s">
        <v>1068</v>
      </c>
      <c r="D265" s="261" t="s">
        <v>1542</v>
      </c>
      <c r="E265" s="261" t="s">
        <v>1177</v>
      </c>
      <c r="F265">
        <v>40</v>
      </c>
      <c r="G265" s="215">
        <v>46084</v>
      </c>
      <c r="H265" s="261" t="s">
        <v>987</v>
      </c>
      <c r="I265" s="261" t="s">
        <v>1014</v>
      </c>
      <c r="J265">
        <v>4255</v>
      </c>
      <c r="K265" s="261" t="s">
        <v>1087</v>
      </c>
      <c r="M265">
        <v>1</v>
      </c>
      <c r="N265">
        <v>1.5</v>
      </c>
      <c r="P265" s="261" t="s">
        <v>2194</v>
      </c>
      <c r="R265">
        <v>4893.25</v>
      </c>
      <c r="S265">
        <v>195730</v>
      </c>
      <c r="W265" s="261" t="s">
        <v>1574</v>
      </c>
      <c r="X265">
        <v>10</v>
      </c>
    </row>
    <row r="266" spans="1:24" x14ac:dyDescent="0.25">
      <c r="A266" s="261" t="s">
        <v>1389</v>
      </c>
      <c r="B266" s="261" t="s">
        <v>1390</v>
      </c>
      <c r="C266" s="261" t="s">
        <v>1068</v>
      </c>
      <c r="D266" s="261" t="s">
        <v>1542</v>
      </c>
      <c r="E266" s="261" t="s">
        <v>1177</v>
      </c>
      <c r="F266">
        <v>150</v>
      </c>
      <c r="G266" s="215">
        <v>46084</v>
      </c>
      <c r="H266" s="261" t="s">
        <v>987</v>
      </c>
      <c r="I266" s="261" t="s">
        <v>1014</v>
      </c>
      <c r="J266">
        <v>3450</v>
      </c>
      <c r="K266" s="261" t="s">
        <v>1087</v>
      </c>
      <c r="M266">
        <v>1</v>
      </c>
      <c r="N266">
        <v>1.5</v>
      </c>
      <c r="P266" s="261" t="s">
        <v>2194</v>
      </c>
      <c r="R266">
        <v>3967.4999999999995</v>
      </c>
      <c r="S266">
        <v>595124.99999999988</v>
      </c>
      <c r="W266" s="261" t="s">
        <v>1574</v>
      </c>
      <c r="X266">
        <v>10</v>
      </c>
    </row>
    <row r="267" spans="1:24" x14ac:dyDescent="0.25">
      <c r="A267" s="261" t="s">
        <v>1391</v>
      </c>
      <c r="B267" s="261" t="s">
        <v>1392</v>
      </c>
      <c r="C267" s="261" t="s">
        <v>1068</v>
      </c>
      <c r="D267" s="261" t="s">
        <v>1542</v>
      </c>
      <c r="E267" s="261" t="s">
        <v>1177</v>
      </c>
      <c r="F267">
        <v>150</v>
      </c>
      <c r="G267" s="215">
        <v>46084</v>
      </c>
      <c r="H267" s="261" t="s">
        <v>987</v>
      </c>
      <c r="I267" s="261" t="s">
        <v>1014</v>
      </c>
      <c r="J267">
        <v>4255</v>
      </c>
      <c r="K267" s="261" t="s">
        <v>1087</v>
      </c>
      <c r="M267">
        <v>1</v>
      </c>
      <c r="N267">
        <v>1.5</v>
      </c>
      <c r="P267" s="261" t="s">
        <v>2194</v>
      </c>
      <c r="R267">
        <v>4893.25</v>
      </c>
      <c r="S267">
        <v>733987.5</v>
      </c>
      <c r="W267" s="261" t="s">
        <v>1574</v>
      </c>
      <c r="X267">
        <v>10</v>
      </c>
    </row>
    <row r="268" spans="1:24" x14ac:dyDescent="0.25">
      <c r="A268" s="261" t="s">
        <v>1393</v>
      </c>
      <c r="B268" s="261" t="s">
        <v>1394</v>
      </c>
      <c r="C268" s="261" t="s">
        <v>1068</v>
      </c>
      <c r="D268" s="261" t="s">
        <v>1542</v>
      </c>
      <c r="E268" s="261" t="s">
        <v>1177</v>
      </c>
      <c r="F268">
        <v>60</v>
      </c>
      <c r="G268" s="215">
        <v>46084</v>
      </c>
      <c r="H268" s="261" t="s">
        <v>987</v>
      </c>
      <c r="I268" s="261" t="s">
        <v>1014</v>
      </c>
      <c r="J268">
        <v>4830</v>
      </c>
      <c r="K268" s="261" t="s">
        <v>1087</v>
      </c>
      <c r="M268">
        <v>1</v>
      </c>
      <c r="N268">
        <v>1.5</v>
      </c>
      <c r="P268" s="261" t="s">
        <v>2194</v>
      </c>
      <c r="R268">
        <v>5554.5</v>
      </c>
      <c r="S268">
        <v>333270</v>
      </c>
      <c r="W268" s="261" t="s">
        <v>1574</v>
      </c>
      <c r="X268">
        <v>10</v>
      </c>
    </row>
    <row r="269" spans="1:24" x14ac:dyDescent="0.25">
      <c r="A269" s="261" t="s">
        <v>1395</v>
      </c>
      <c r="B269" s="261" t="s">
        <v>1396</v>
      </c>
      <c r="C269" s="261" t="s">
        <v>1068</v>
      </c>
      <c r="D269" s="261" t="s">
        <v>1542</v>
      </c>
      <c r="E269" s="261" t="s">
        <v>1177</v>
      </c>
      <c r="F269">
        <v>60</v>
      </c>
      <c r="G269" s="215">
        <v>46084</v>
      </c>
      <c r="H269" s="261" t="s">
        <v>987</v>
      </c>
      <c r="I269" s="261" t="s">
        <v>1014</v>
      </c>
      <c r="J269">
        <v>7475</v>
      </c>
      <c r="K269" s="261" t="s">
        <v>1087</v>
      </c>
      <c r="M269">
        <v>1</v>
      </c>
      <c r="N269">
        <v>1.5</v>
      </c>
      <c r="P269" s="261" t="s">
        <v>2194</v>
      </c>
      <c r="R269">
        <v>8596.25</v>
      </c>
      <c r="S269">
        <v>515775</v>
      </c>
      <c r="W269" s="261" t="s">
        <v>1574</v>
      </c>
      <c r="X269">
        <v>10</v>
      </c>
    </row>
    <row r="270" spans="1:24" x14ac:dyDescent="0.25">
      <c r="A270" s="261" t="s">
        <v>1397</v>
      </c>
      <c r="B270" s="261" t="s">
        <v>1398</v>
      </c>
      <c r="C270" s="261" t="s">
        <v>1068</v>
      </c>
      <c r="D270" s="261" t="s">
        <v>1542</v>
      </c>
      <c r="E270" s="261" t="s">
        <v>1084</v>
      </c>
      <c r="F270">
        <v>35</v>
      </c>
      <c r="G270" s="215">
        <v>46084</v>
      </c>
      <c r="H270" s="261" t="s">
        <v>987</v>
      </c>
      <c r="I270" s="261" t="s">
        <v>1014</v>
      </c>
      <c r="J270">
        <v>550600</v>
      </c>
      <c r="K270" s="261" t="s">
        <v>1087</v>
      </c>
      <c r="M270">
        <v>1</v>
      </c>
      <c r="N270">
        <v>1.5</v>
      </c>
      <c r="P270" s="261" t="s">
        <v>2194</v>
      </c>
      <c r="R270">
        <v>633190</v>
      </c>
      <c r="S270">
        <v>22161650</v>
      </c>
      <c r="W270" s="261" t="s">
        <v>1574</v>
      </c>
      <c r="X270">
        <v>10</v>
      </c>
    </row>
    <row r="271" spans="1:24" x14ac:dyDescent="0.25">
      <c r="A271" s="261" t="s">
        <v>1399</v>
      </c>
      <c r="B271" s="261" t="s">
        <v>1400</v>
      </c>
      <c r="C271" s="261" t="s">
        <v>1068</v>
      </c>
      <c r="D271" s="261" t="s">
        <v>1542</v>
      </c>
      <c r="E271" s="261" t="s">
        <v>1084</v>
      </c>
      <c r="F271">
        <v>1</v>
      </c>
      <c r="G271" s="215">
        <v>46084</v>
      </c>
      <c r="H271" s="261" t="s">
        <v>987</v>
      </c>
      <c r="I271" s="261" t="s">
        <v>1014</v>
      </c>
      <c r="J271">
        <v>1725000</v>
      </c>
      <c r="K271" s="261" t="s">
        <v>1087</v>
      </c>
      <c r="M271">
        <v>1</v>
      </c>
      <c r="N271">
        <v>1.5</v>
      </c>
      <c r="P271" s="261" t="s">
        <v>2194</v>
      </c>
      <c r="R271">
        <v>1983749.9999999998</v>
      </c>
      <c r="S271">
        <v>1983749.9999999998</v>
      </c>
      <c r="W271" s="261" t="s">
        <v>1574</v>
      </c>
      <c r="X271">
        <v>10</v>
      </c>
    </row>
    <row r="272" spans="1:24" x14ac:dyDescent="0.25">
      <c r="A272" s="261" t="s">
        <v>1403</v>
      </c>
      <c r="B272" s="261" t="s">
        <v>1404</v>
      </c>
      <c r="C272" s="261" t="s">
        <v>1068</v>
      </c>
      <c r="D272" s="261" t="s">
        <v>1542</v>
      </c>
      <c r="E272" s="261" t="s">
        <v>1084</v>
      </c>
      <c r="F272">
        <v>5</v>
      </c>
      <c r="G272" s="215">
        <v>46084</v>
      </c>
      <c r="H272" s="261" t="s">
        <v>987</v>
      </c>
      <c r="I272" s="261" t="s">
        <v>1014</v>
      </c>
      <c r="J272">
        <v>402500</v>
      </c>
      <c r="K272" s="261" t="s">
        <v>1087</v>
      </c>
      <c r="M272">
        <v>1</v>
      </c>
      <c r="N272">
        <v>1.5</v>
      </c>
      <c r="P272" s="261" t="s">
        <v>2194</v>
      </c>
      <c r="R272">
        <v>462874.99999999994</v>
      </c>
      <c r="S272">
        <v>2314374.9999999995</v>
      </c>
      <c r="W272" s="261" t="s">
        <v>1574</v>
      </c>
      <c r="X272">
        <v>10</v>
      </c>
    </row>
    <row r="273" spans="1:24" x14ac:dyDescent="0.25">
      <c r="A273" s="261" t="s">
        <v>1405</v>
      </c>
      <c r="B273" s="261" t="s">
        <v>1406</v>
      </c>
      <c r="C273" s="261" t="s">
        <v>1068</v>
      </c>
      <c r="D273" s="261" t="s">
        <v>1542</v>
      </c>
      <c r="E273" s="261" t="s">
        <v>1084</v>
      </c>
      <c r="F273">
        <v>15</v>
      </c>
      <c r="G273" s="215">
        <v>46084</v>
      </c>
      <c r="H273" s="261" t="s">
        <v>987</v>
      </c>
      <c r="I273" s="261" t="s">
        <v>1014</v>
      </c>
      <c r="J273">
        <v>11500</v>
      </c>
      <c r="K273" s="261" t="s">
        <v>1087</v>
      </c>
      <c r="M273">
        <v>1</v>
      </c>
      <c r="N273">
        <v>1.5</v>
      </c>
      <c r="P273" s="261" t="s">
        <v>2194</v>
      </c>
      <c r="R273">
        <v>13224.999999999998</v>
      </c>
      <c r="S273">
        <v>198374.99999999997</v>
      </c>
      <c r="W273" s="261" t="s">
        <v>1574</v>
      </c>
      <c r="X273">
        <v>10</v>
      </c>
    </row>
    <row r="274" spans="1:24" x14ac:dyDescent="0.25">
      <c r="A274" s="261" t="s">
        <v>1407</v>
      </c>
      <c r="B274" s="261" t="s">
        <v>1408</v>
      </c>
      <c r="C274" s="261" t="s">
        <v>1068</v>
      </c>
      <c r="D274" s="261" t="s">
        <v>1542</v>
      </c>
      <c r="E274" s="261" t="s">
        <v>1084</v>
      </c>
      <c r="F274">
        <v>1</v>
      </c>
      <c r="G274" s="215">
        <v>46084</v>
      </c>
      <c r="H274" s="261" t="s">
        <v>987</v>
      </c>
      <c r="I274" s="261" t="s">
        <v>1014</v>
      </c>
      <c r="J274">
        <v>862500</v>
      </c>
      <c r="K274" s="261" t="s">
        <v>1087</v>
      </c>
      <c r="M274">
        <v>1</v>
      </c>
      <c r="N274">
        <v>1.5</v>
      </c>
      <c r="P274" s="261" t="s">
        <v>2194</v>
      </c>
      <c r="R274">
        <v>991874.99999999988</v>
      </c>
      <c r="S274">
        <v>991874.99999999988</v>
      </c>
      <c r="W274" s="261" t="s">
        <v>1574</v>
      </c>
      <c r="X274">
        <v>10</v>
      </c>
    </row>
    <row r="275" spans="1:24" x14ac:dyDescent="0.25">
      <c r="A275" s="261" t="s">
        <v>1409</v>
      </c>
      <c r="B275" s="261" t="s">
        <v>1410</v>
      </c>
      <c r="C275" s="261" t="s">
        <v>1068</v>
      </c>
      <c r="D275" s="261" t="s">
        <v>1542</v>
      </c>
      <c r="E275" s="261" t="s">
        <v>1084</v>
      </c>
      <c r="F275">
        <v>1</v>
      </c>
      <c r="G275" s="215">
        <v>46084</v>
      </c>
      <c r="H275" s="261" t="s">
        <v>987</v>
      </c>
      <c r="I275" s="261" t="s">
        <v>1014</v>
      </c>
      <c r="J275">
        <v>575000</v>
      </c>
      <c r="K275" s="261" t="s">
        <v>1087</v>
      </c>
      <c r="M275">
        <v>1</v>
      </c>
      <c r="N275">
        <v>1.5</v>
      </c>
      <c r="P275" s="261" t="s">
        <v>2194</v>
      </c>
      <c r="R275">
        <v>661250</v>
      </c>
      <c r="S275">
        <v>661250</v>
      </c>
      <c r="W275" s="261" t="s">
        <v>1574</v>
      </c>
      <c r="X275">
        <v>10</v>
      </c>
    </row>
    <row r="276" spans="1:24" x14ac:dyDescent="0.25">
      <c r="A276" s="261" t="s">
        <v>1411</v>
      </c>
      <c r="B276" s="261" t="s">
        <v>1410</v>
      </c>
      <c r="C276" s="261" t="s">
        <v>1068</v>
      </c>
      <c r="D276" s="261" t="s">
        <v>1542</v>
      </c>
      <c r="E276" s="261" t="s">
        <v>1084</v>
      </c>
      <c r="F276">
        <v>1</v>
      </c>
      <c r="G276" s="215">
        <v>46084</v>
      </c>
      <c r="H276" s="261" t="s">
        <v>987</v>
      </c>
      <c r="I276" s="261" t="s">
        <v>1014</v>
      </c>
      <c r="J276">
        <v>402500</v>
      </c>
      <c r="K276" s="261" t="s">
        <v>1087</v>
      </c>
      <c r="M276">
        <v>1</v>
      </c>
      <c r="N276">
        <v>1.5</v>
      </c>
      <c r="P276" s="261" t="s">
        <v>2194</v>
      </c>
      <c r="R276">
        <v>462874.99999999994</v>
      </c>
      <c r="S276">
        <v>462874.99999999994</v>
      </c>
      <c r="W276" s="261" t="s">
        <v>1574</v>
      </c>
      <c r="X276">
        <v>10</v>
      </c>
    </row>
    <row r="277" spans="1:24" x14ac:dyDescent="0.25">
      <c r="A277" s="261" t="s">
        <v>1412</v>
      </c>
      <c r="B277" s="261" t="s">
        <v>1413</v>
      </c>
      <c r="C277" s="261" t="s">
        <v>1068</v>
      </c>
      <c r="D277" s="261" t="s">
        <v>1542</v>
      </c>
      <c r="E277" s="261" t="s">
        <v>1084</v>
      </c>
      <c r="F277">
        <v>6</v>
      </c>
      <c r="G277" s="215">
        <v>46084</v>
      </c>
      <c r="H277" s="261" t="s">
        <v>987</v>
      </c>
      <c r="I277" s="261" t="s">
        <v>1014</v>
      </c>
      <c r="J277">
        <v>26450</v>
      </c>
      <c r="K277" s="261" t="s">
        <v>1087</v>
      </c>
      <c r="M277">
        <v>1</v>
      </c>
      <c r="N277">
        <v>1.5</v>
      </c>
      <c r="P277" s="261" t="s">
        <v>2194</v>
      </c>
      <c r="R277">
        <v>30417.499999999996</v>
      </c>
      <c r="S277">
        <v>182504.99999999997</v>
      </c>
      <c r="W277" s="261" t="s">
        <v>1574</v>
      </c>
      <c r="X277">
        <v>10</v>
      </c>
    </row>
    <row r="278" spans="1:24" x14ac:dyDescent="0.25">
      <c r="A278" s="261" t="s">
        <v>1414</v>
      </c>
      <c r="B278" s="261" t="s">
        <v>1413</v>
      </c>
      <c r="C278" s="261" t="s">
        <v>1068</v>
      </c>
      <c r="D278" s="261" t="s">
        <v>1542</v>
      </c>
      <c r="E278" s="261" t="s">
        <v>1084</v>
      </c>
      <c r="F278">
        <v>5</v>
      </c>
      <c r="G278" s="215">
        <v>46084</v>
      </c>
      <c r="H278" s="261" t="s">
        <v>987</v>
      </c>
      <c r="I278" s="261" t="s">
        <v>1014</v>
      </c>
      <c r="J278">
        <v>28750</v>
      </c>
      <c r="K278" s="261" t="s">
        <v>1087</v>
      </c>
      <c r="M278">
        <v>1</v>
      </c>
      <c r="N278">
        <v>1.5</v>
      </c>
      <c r="P278" s="261" t="s">
        <v>2194</v>
      </c>
      <c r="R278">
        <v>33062.5</v>
      </c>
      <c r="S278">
        <v>165312.5</v>
      </c>
      <c r="W278" s="261" t="s">
        <v>1574</v>
      </c>
      <c r="X278">
        <v>10</v>
      </c>
    </row>
    <row r="279" spans="1:24" x14ac:dyDescent="0.25">
      <c r="A279" s="261" t="s">
        <v>1415</v>
      </c>
      <c r="B279" s="261" t="s">
        <v>1416</v>
      </c>
      <c r="C279" s="261" t="s">
        <v>1068</v>
      </c>
      <c r="D279" s="261" t="s">
        <v>1542</v>
      </c>
      <c r="E279" s="261" t="s">
        <v>1177</v>
      </c>
      <c r="F279">
        <v>50</v>
      </c>
      <c r="G279" s="215">
        <v>46084</v>
      </c>
      <c r="H279" s="261" t="s">
        <v>987</v>
      </c>
      <c r="I279" s="261" t="s">
        <v>1014</v>
      </c>
      <c r="J279">
        <v>14375</v>
      </c>
      <c r="K279" s="261" t="s">
        <v>1087</v>
      </c>
      <c r="M279">
        <v>1</v>
      </c>
      <c r="N279">
        <v>1.5</v>
      </c>
      <c r="P279" s="261" t="s">
        <v>2194</v>
      </c>
      <c r="R279">
        <v>16531.25</v>
      </c>
      <c r="S279">
        <v>826562.5</v>
      </c>
      <c r="W279" s="261" t="s">
        <v>1574</v>
      </c>
      <c r="X279">
        <v>10</v>
      </c>
    </row>
    <row r="280" spans="1:24" x14ac:dyDescent="0.25">
      <c r="A280" s="261" t="s">
        <v>1417</v>
      </c>
      <c r="B280" s="261" t="s">
        <v>1418</v>
      </c>
      <c r="C280" s="261" t="s">
        <v>1068</v>
      </c>
      <c r="D280" s="261" t="s">
        <v>1542</v>
      </c>
      <c r="E280" s="261" t="s">
        <v>1177</v>
      </c>
      <c r="F280">
        <v>80</v>
      </c>
      <c r="G280" s="215">
        <v>46084</v>
      </c>
      <c r="H280" s="261" t="s">
        <v>987</v>
      </c>
      <c r="I280" s="261" t="s">
        <v>1014</v>
      </c>
      <c r="J280">
        <v>19550</v>
      </c>
      <c r="K280" s="261" t="s">
        <v>1087</v>
      </c>
      <c r="M280">
        <v>1</v>
      </c>
      <c r="N280">
        <v>1.5</v>
      </c>
      <c r="P280" s="261" t="s">
        <v>2194</v>
      </c>
      <c r="R280">
        <v>22482.5</v>
      </c>
      <c r="S280">
        <v>1798600</v>
      </c>
      <c r="W280" s="261" t="s">
        <v>1574</v>
      </c>
      <c r="X280">
        <v>10</v>
      </c>
    </row>
    <row r="281" spans="1:24" x14ac:dyDescent="0.25">
      <c r="A281" s="261" t="s">
        <v>1419</v>
      </c>
      <c r="B281" s="261" t="s">
        <v>1420</v>
      </c>
      <c r="C281" s="261" t="s">
        <v>1068</v>
      </c>
      <c r="D281" s="261" t="s">
        <v>1542</v>
      </c>
      <c r="E281" s="261" t="s">
        <v>1177</v>
      </c>
      <c r="F281">
        <v>30</v>
      </c>
      <c r="G281" s="215">
        <v>46084</v>
      </c>
      <c r="H281" s="261" t="s">
        <v>987</v>
      </c>
      <c r="I281" s="261" t="s">
        <v>1014</v>
      </c>
      <c r="J281">
        <v>29210</v>
      </c>
      <c r="K281" s="261" t="s">
        <v>1087</v>
      </c>
      <c r="M281">
        <v>1</v>
      </c>
      <c r="N281">
        <v>1.5</v>
      </c>
      <c r="P281" s="261" t="s">
        <v>2194</v>
      </c>
      <c r="R281">
        <v>33591.5</v>
      </c>
      <c r="S281">
        <v>1007745</v>
      </c>
      <c r="W281" s="261" t="s">
        <v>1574</v>
      </c>
      <c r="X281">
        <v>10</v>
      </c>
    </row>
    <row r="282" spans="1:24" x14ac:dyDescent="0.25">
      <c r="A282" s="261" t="s">
        <v>1421</v>
      </c>
      <c r="B282" s="261" t="s">
        <v>1422</v>
      </c>
      <c r="C282" s="261" t="s">
        <v>1068</v>
      </c>
      <c r="D282" s="261" t="s">
        <v>1727</v>
      </c>
      <c r="E282" s="261" t="s">
        <v>1110</v>
      </c>
      <c r="F282">
        <v>559</v>
      </c>
      <c r="G282" s="215">
        <v>46084</v>
      </c>
      <c r="H282" s="261" t="s">
        <v>987</v>
      </c>
      <c r="I282" s="261" t="s">
        <v>1011</v>
      </c>
      <c r="J282">
        <v>26450</v>
      </c>
      <c r="K282" s="261" t="s">
        <v>1087</v>
      </c>
      <c r="M282">
        <v>1</v>
      </c>
      <c r="N282">
        <v>3.5</v>
      </c>
      <c r="P282" s="261" t="s">
        <v>2194</v>
      </c>
      <c r="R282">
        <v>30417.499999999996</v>
      </c>
      <c r="S282">
        <v>17003382.499999996</v>
      </c>
      <c r="W282" s="261" t="s">
        <v>1574</v>
      </c>
      <c r="X282">
        <v>11</v>
      </c>
    </row>
    <row r="283" spans="1:24" x14ac:dyDescent="0.25">
      <c r="A283" s="261" t="s">
        <v>1424</v>
      </c>
      <c r="B283" s="261" t="s">
        <v>1425</v>
      </c>
      <c r="C283" s="261" t="s">
        <v>1068</v>
      </c>
      <c r="D283" s="261" t="s">
        <v>1729</v>
      </c>
      <c r="E283" s="261" t="s">
        <v>1110</v>
      </c>
      <c r="F283">
        <v>60.74</v>
      </c>
      <c r="G283" s="215">
        <v>46084</v>
      </c>
      <c r="H283" s="261" t="s">
        <v>987</v>
      </c>
      <c r="I283" s="261" t="s">
        <v>1011</v>
      </c>
      <c r="J283">
        <v>39100</v>
      </c>
      <c r="K283" s="261" t="s">
        <v>1087</v>
      </c>
      <c r="M283">
        <v>1</v>
      </c>
      <c r="N283">
        <v>3.5</v>
      </c>
      <c r="P283" s="261" t="s">
        <v>2194</v>
      </c>
      <c r="R283">
        <v>44965</v>
      </c>
      <c r="S283">
        <v>2731174.1</v>
      </c>
      <c r="W283" s="261" t="s">
        <v>1574</v>
      </c>
      <c r="X283">
        <v>11</v>
      </c>
    </row>
    <row r="284" spans="1:24" x14ac:dyDescent="0.25">
      <c r="A284" s="261" t="s">
        <v>1426</v>
      </c>
      <c r="B284" s="261" t="s">
        <v>1427</v>
      </c>
      <c r="C284" s="261" t="s">
        <v>1068</v>
      </c>
      <c r="D284" s="261" t="s">
        <v>1762</v>
      </c>
      <c r="E284" s="261" t="s">
        <v>1110</v>
      </c>
      <c r="F284">
        <v>182</v>
      </c>
      <c r="G284" s="215">
        <v>46084</v>
      </c>
      <c r="H284" s="261" t="s">
        <v>987</v>
      </c>
      <c r="I284" s="261" t="s">
        <v>1011</v>
      </c>
      <c r="J284">
        <v>23000</v>
      </c>
      <c r="K284" s="261" t="s">
        <v>1087</v>
      </c>
      <c r="M284">
        <v>1</v>
      </c>
      <c r="N284">
        <v>3.5</v>
      </c>
      <c r="P284" s="261" t="s">
        <v>2194</v>
      </c>
      <c r="R284">
        <v>26449.999999999996</v>
      </c>
      <c r="S284">
        <v>4813899.9999999991</v>
      </c>
      <c r="W284" s="261" t="s">
        <v>1574</v>
      </c>
      <c r="X284">
        <v>11</v>
      </c>
    </row>
    <row r="285" spans="1:24" x14ac:dyDescent="0.25">
      <c r="A285" s="261" t="s">
        <v>1428</v>
      </c>
      <c r="B285" s="261" t="s">
        <v>1429</v>
      </c>
      <c r="C285" s="261" t="s">
        <v>1068</v>
      </c>
      <c r="D285" s="261" t="s">
        <v>1762</v>
      </c>
      <c r="E285" s="261" t="s">
        <v>1177</v>
      </c>
      <c r="F285">
        <v>172.84</v>
      </c>
      <c r="G285" s="215">
        <v>46084</v>
      </c>
      <c r="H285" s="261" t="s">
        <v>987</v>
      </c>
      <c r="I285" s="261" t="s">
        <v>1011</v>
      </c>
      <c r="J285">
        <v>5750</v>
      </c>
      <c r="K285" s="261" t="s">
        <v>1087</v>
      </c>
      <c r="M285">
        <v>1</v>
      </c>
      <c r="N285">
        <v>3.5</v>
      </c>
      <c r="P285" s="261" t="s">
        <v>2194</v>
      </c>
      <c r="R285">
        <v>6612.4999999999991</v>
      </c>
      <c r="S285">
        <v>1142904.4999999998</v>
      </c>
      <c r="W285" s="261" t="s">
        <v>1574</v>
      </c>
      <c r="X285">
        <v>11</v>
      </c>
    </row>
    <row r="286" spans="1:24" x14ac:dyDescent="0.25">
      <c r="A286" s="261" t="s">
        <v>1426</v>
      </c>
      <c r="B286" s="261" t="s">
        <v>1427</v>
      </c>
      <c r="C286" s="261" t="s">
        <v>1068</v>
      </c>
      <c r="D286" s="261" t="s">
        <v>1765</v>
      </c>
      <c r="E286" s="261" t="s">
        <v>1110</v>
      </c>
      <c r="F286">
        <v>182</v>
      </c>
      <c r="G286" s="215">
        <v>46084</v>
      </c>
      <c r="H286" s="261" t="s">
        <v>987</v>
      </c>
      <c r="I286" s="261" t="s">
        <v>1011</v>
      </c>
      <c r="J286">
        <v>23000</v>
      </c>
      <c r="K286" s="261" t="s">
        <v>1087</v>
      </c>
      <c r="M286">
        <v>1</v>
      </c>
      <c r="N286">
        <v>3.5</v>
      </c>
      <c r="P286" s="261" t="s">
        <v>2194</v>
      </c>
      <c r="R286">
        <v>26449.999999999996</v>
      </c>
      <c r="S286">
        <v>4813899.9999999991</v>
      </c>
      <c r="W286" s="261" t="s">
        <v>1574</v>
      </c>
      <c r="X286">
        <v>11</v>
      </c>
    </row>
    <row r="287" spans="1:24" x14ac:dyDescent="0.25">
      <c r="A287" s="261" t="s">
        <v>1428</v>
      </c>
      <c r="B287" s="261" t="s">
        <v>1429</v>
      </c>
      <c r="C287" s="261" t="s">
        <v>1068</v>
      </c>
      <c r="D287" s="261" t="s">
        <v>1765</v>
      </c>
      <c r="E287" s="261" t="s">
        <v>1177</v>
      </c>
      <c r="F287">
        <v>172.84</v>
      </c>
      <c r="G287" s="215">
        <v>46084</v>
      </c>
      <c r="H287" s="261" t="s">
        <v>987</v>
      </c>
      <c r="I287" s="261" t="s">
        <v>1011</v>
      </c>
      <c r="J287">
        <v>5750</v>
      </c>
      <c r="K287" s="261" t="s">
        <v>1087</v>
      </c>
      <c r="M287">
        <v>1</v>
      </c>
      <c r="N287">
        <v>3.5</v>
      </c>
      <c r="P287" s="261" t="s">
        <v>2194</v>
      </c>
      <c r="R287">
        <v>6612.4999999999991</v>
      </c>
      <c r="S287">
        <v>1142904.4999999998</v>
      </c>
      <c r="W287" s="261" t="s">
        <v>1574</v>
      </c>
      <c r="X287">
        <v>11</v>
      </c>
    </row>
    <row r="288" spans="1:24" x14ac:dyDescent="0.25">
      <c r="A288" s="261" t="s">
        <v>1430</v>
      </c>
      <c r="B288" s="261" t="s">
        <v>1431</v>
      </c>
      <c r="C288" s="261" t="s">
        <v>1068</v>
      </c>
      <c r="D288" s="261" t="s">
        <v>1542</v>
      </c>
      <c r="E288" s="261" t="s">
        <v>1084</v>
      </c>
      <c r="F288">
        <v>1</v>
      </c>
      <c r="G288" s="215">
        <v>46084</v>
      </c>
      <c r="H288" s="261" t="s">
        <v>987</v>
      </c>
      <c r="I288" s="261" t="s">
        <v>1008</v>
      </c>
      <c r="J288">
        <v>25300000</v>
      </c>
      <c r="K288" s="261" t="s">
        <v>1087</v>
      </c>
      <c r="M288">
        <v>1</v>
      </c>
      <c r="N288">
        <v>2</v>
      </c>
      <c r="P288" s="261" t="s">
        <v>2194</v>
      </c>
      <c r="R288">
        <v>29094999.999999996</v>
      </c>
      <c r="S288">
        <v>29094999.999999996</v>
      </c>
      <c r="W288" s="261" t="s">
        <v>1574</v>
      </c>
    </row>
    <row r="289" spans="1:25" x14ac:dyDescent="0.25">
      <c r="A289" s="261" t="s">
        <v>1433</v>
      </c>
      <c r="B289" s="261" t="s">
        <v>1434</v>
      </c>
      <c r="C289" s="261" t="s">
        <v>1068</v>
      </c>
      <c r="D289" s="261" t="s">
        <v>1542</v>
      </c>
      <c r="E289" s="261" t="s">
        <v>1110</v>
      </c>
      <c r="F289">
        <v>190</v>
      </c>
      <c r="G289" s="215">
        <v>46084</v>
      </c>
      <c r="H289" s="261" t="s">
        <v>987</v>
      </c>
      <c r="I289" s="261" t="s">
        <v>1039</v>
      </c>
      <c r="J289">
        <v>174750</v>
      </c>
      <c r="K289" s="261" t="s">
        <v>1087</v>
      </c>
      <c r="L289">
        <v>9760</v>
      </c>
      <c r="M289">
        <v>1</v>
      </c>
      <c r="N289">
        <v>2</v>
      </c>
      <c r="O289">
        <v>9760</v>
      </c>
      <c r="P289" s="261" t="s">
        <v>2193</v>
      </c>
      <c r="Q289">
        <v>15336.864000000001</v>
      </c>
      <c r="R289">
        <v>200962.49999999997</v>
      </c>
      <c r="S289">
        <v>38182874.999999993</v>
      </c>
      <c r="T289">
        <v>2914004.16</v>
      </c>
      <c r="U289">
        <v>35268870.839999989</v>
      </c>
      <c r="V289">
        <v>0.9236829557753311</v>
      </c>
      <c r="W289" s="261" t="s">
        <v>1575</v>
      </c>
      <c r="X289">
        <v>13</v>
      </c>
      <c r="Y289">
        <v>0.83420977346519865</v>
      </c>
    </row>
    <row r="290" spans="1:25" x14ac:dyDescent="0.25">
      <c r="A290" s="261" t="s">
        <v>1433</v>
      </c>
      <c r="B290" s="261" t="s">
        <v>1434</v>
      </c>
      <c r="C290" s="261" t="s">
        <v>1070</v>
      </c>
      <c r="D290" s="261" t="s">
        <v>1542</v>
      </c>
      <c r="E290" s="261" t="s">
        <v>1110</v>
      </c>
      <c r="F290">
        <v>233.97</v>
      </c>
      <c r="G290" s="215">
        <v>46084</v>
      </c>
      <c r="H290" s="261" t="s">
        <v>987</v>
      </c>
      <c r="I290" s="261" t="s">
        <v>1039</v>
      </c>
      <c r="J290">
        <v>174750</v>
      </c>
      <c r="K290" s="261" t="s">
        <v>1087</v>
      </c>
      <c r="L290">
        <v>9760</v>
      </c>
      <c r="M290">
        <v>1</v>
      </c>
      <c r="N290">
        <v>2</v>
      </c>
      <c r="O290">
        <v>9760</v>
      </c>
      <c r="P290" s="261" t="s">
        <v>2193</v>
      </c>
      <c r="Q290">
        <v>15336.864000000001</v>
      </c>
      <c r="R290">
        <v>200962.49999999997</v>
      </c>
      <c r="S290">
        <v>47019196.124999993</v>
      </c>
      <c r="T290">
        <v>3588366.0700800004</v>
      </c>
      <c r="U290">
        <v>43430830.054919995</v>
      </c>
      <c r="V290">
        <v>0.92368295577533122</v>
      </c>
      <c r="W290" s="261" t="s">
        <v>1575</v>
      </c>
      <c r="X290">
        <v>13</v>
      </c>
      <c r="Y290">
        <v>0.83420977346519865</v>
      </c>
    </row>
    <row r="291" spans="1:25" x14ac:dyDescent="0.25">
      <c r="A291" s="261" t="s">
        <v>1436</v>
      </c>
      <c r="B291" s="261" t="s">
        <v>1437</v>
      </c>
      <c r="C291" s="261" t="s">
        <v>1068</v>
      </c>
      <c r="D291" s="261" t="s">
        <v>1727</v>
      </c>
      <c r="E291" s="261" t="s">
        <v>1110</v>
      </c>
      <c r="F291">
        <v>1701</v>
      </c>
      <c r="G291" s="215">
        <v>46084</v>
      </c>
      <c r="H291" s="261" t="s">
        <v>987</v>
      </c>
      <c r="I291" s="261" t="s">
        <v>1005</v>
      </c>
      <c r="J291">
        <v>575</v>
      </c>
      <c r="K291" s="261" t="s">
        <v>1087</v>
      </c>
      <c r="L291">
        <v>575</v>
      </c>
      <c r="M291">
        <v>1</v>
      </c>
      <c r="N291">
        <v>2</v>
      </c>
      <c r="O291">
        <v>575</v>
      </c>
      <c r="P291" s="261" t="s">
        <v>2193</v>
      </c>
      <c r="Q291">
        <v>903.55500000000006</v>
      </c>
      <c r="R291">
        <v>661.25</v>
      </c>
      <c r="S291">
        <v>1124786.25</v>
      </c>
      <c r="T291">
        <v>1536947.0550000002</v>
      </c>
      <c r="U291">
        <v>-412160.80500000017</v>
      </c>
      <c r="V291">
        <v>-0.36643478260869577</v>
      </c>
      <c r="W291" s="261" t="s">
        <v>1574</v>
      </c>
      <c r="X291">
        <v>14</v>
      </c>
      <c r="Y291">
        <v>6.0139130434782528E-2</v>
      </c>
    </row>
    <row r="292" spans="1:25" x14ac:dyDescent="0.25">
      <c r="A292" s="261" t="s">
        <v>1439</v>
      </c>
      <c r="B292" s="261" t="s">
        <v>1440</v>
      </c>
      <c r="C292" s="261" t="s">
        <v>1068</v>
      </c>
      <c r="D292" s="261" t="s">
        <v>1727</v>
      </c>
      <c r="E292" s="261" t="s">
        <v>1110</v>
      </c>
      <c r="F292">
        <v>1701</v>
      </c>
      <c r="G292" s="215">
        <v>46084</v>
      </c>
      <c r="H292" s="261" t="s">
        <v>987</v>
      </c>
      <c r="I292" s="261" t="s">
        <v>1005</v>
      </c>
      <c r="J292">
        <v>6325</v>
      </c>
      <c r="K292" s="261" t="s">
        <v>1087</v>
      </c>
      <c r="L292">
        <v>6325</v>
      </c>
      <c r="M292">
        <v>1</v>
      </c>
      <c r="N292">
        <v>2</v>
      </c>
      <c r="O292">
        <v>6325</v>
      </c>
      <c r="P292" s="261" t="s">
        <v>2193</v>
      </c>
      <c r="Q292">
        <v>9939.1050000000014</v>
      </c>
      <c r="R292">
        <v>7273.7499999999991</v>
      </c>
      <c r="S292">
        <v>12372648.749999998</v>
      </c>
      <c r="T292">
        <v>16906417.605000004</v>
      </c>
      <c r="U292">
        <v>-4533768.855000006</v>
      </c>
      <c r="V292">
        <v>-0.36643478260869622</v>
      </c>
      <c r="W292" s="261" t="s">
        <v>1574</v>
      </c>
      <c r="X292">
        <v>14</v>
      </c>
      <c r="Y292">
        <v>6.0139130434782279E-2</v>
      </c>
    </row>
    <row r="293" spans="1:25" x14ac:dyDescent="0.25">
      <c r="A293" s="261" t="s">
        <v>1441</v>
      </c>
      <c r="B293" s="261" t="s">
        <v>1437</v>
      </c>
      <c r="C293" s="261" t="s">
        <v>1068</v>
      </c>
      <c r="D293" s="261" t="s">
        <v>1727</v>
      </c>
      <c r="E293" s="261" t="s">
        <v>1110</v>
      </c>
      <c r="F293">
        <v>210</v>
      </c>
      <c r="G293" s="215">
        <v>46084</v>
      </c>
      <c r="H293" s="261" t="s">
        <v>987</v>
      </c>
      <c r="I293" s="261" t="s">
        <v>1005</v>
      </c>
      <c r="J293">
        <v>575</v>
      </c>
      <c r="K293" s="261" t="s">
        <v>1087</v>
      </c>
      <c r="L293">
        <v>575</v>
      </c>
      <c r="M293">
        <v>1</v>
      </c>
      <c r="N293">
        <v>2</v>
      </c>
      <c r="O293">
        <v>575</v>
      </c>
      <c r="P293" s="261" t="s">
        <v>2193</v>
      </c>
      <c r="Q293">
        <v>903.55500000000006</v>
      </c>
      <c r="R293">
        <v>661.25</v>
      </c>
      <c r="S293">
        <v>138862.5</v>
      </c>
      <c r="T293">
        <v>189746.55000000002</v>
      </c>
      <c r="U293">
        <v>-50884.050000000017</v>
      </c>
      <c r="V293">
        <v>-0.36643478260869577</v>
      </c>
      <c r="W293" s="261" t="s">
        <v>1574</v>
      </c>
      <c r="X293">
        <v>14</v>
      </c>
      <c r="Y293">
        <v>6.0139130434782528E-2</v>
      </c>
    </row>
    <row r="294" spans="1:25" x14ac:dyDescent="0.25">
      <c r="A294" s="261" t="s">
        <v>1442</v>
      </c>
      <c r="B294" s="261" t="s">
        <v>1440</v>
      </c>
      <c r="C294" s="261" t="s">
        <v>1068</v>
      </c>
      <c r="D294" s="261" t="s">
        <v>1727</v>
      </c>
      <c r="E294" s="261" t="s">
        <v>1110</v>
      </c>
      <c r="F294">
        <v>210</v>
      </c>
      <c r="G294" s="215">
        <v>46084</v>
      </c>
      <c r="H294" s="261" t="s">
        <v>987</v>
      </c>
      <c r="I294" s="261" t="s">
        <v>1005</v>
      </c>
      <c r="J294">
        <v>6325</v>
      </c>
      <c r="K294" s="261" t="s">
        <v>1087</v>
      </c>
      <c r="L294">
        <v>6325</v>
      </c>
      <c r="M294">
        <v>1</v>
      </c>
      <c r="N294">
        <v>2</v>
      </c>
      <c r="O294">
        <v>6325</v>
      </c>
      <c r="P294" s="261" t="s">
        <v>2193</v>
      </c>
      <c r="Q294">
        <v>9939.1050000000014</v>
      </c>
      <c r="R294">
        <v>7273.7499999999991</v>
      </c>
      <c r="S294">
        <v>1527487.4999999998</v>
      </c>
      <c r="T294">
        <v>2087212.0500000003</v>
      </c>
      <c r="U294">
        <v>-559724.55000000051</v>
      </c>
      <c r="V294">
        <v>-0.36643478260869605</v>
      </c>
      <c r="W294" s="261" t="s">
        <v>1574</v>
      </c>
      <c r="X294">
        <v>14</v>
      </c>
      <c r="Y294">
        <v>6.0139130434782362E-2</v>
      </c>
    </row>
    <row r="295" spans="1:25" x14ac:dyDescent="0.25">
      <c r="A295" s="261" t="s">
        <v>1436</v>
      </c>
      <c r="B295" s="261" t="s">
        <v>1437</v>
      </c>
      <c r="C295" s="261" t="s">
        <v>1068</v>
      </c>
      <c r="D295" s="261" t="s">
        <v>1729</v>
      </c>
      <c r="E295" s="261" t="s">
        <v>1110</v>
      </c>
      <c r="F295">
        <v>1649</v>
      </c>
      <c r="G295" s="215">
        <v>46084</v>
      </c>
      <c r="H295" s="261" t="s">
        <v>987</v>
      </c>
      <c r="I295" s="261" t="s">
        <v>1005</v>
      </c>
      <c r="J295">
        <v>575</v>
      </c>
      <c r="K295" s="261" t="s">
        <v>1087</v>
      </c>
      <c r="L295">
        <v>575</v>
      </c>
      <c r="M295">
        <v>1</v>
      </c>
      <c r="N295">
        <v>2</v>
      </c>
      <c r="O295">
        <v>575</v>
      </c>
      <c r="P295" s="261" t="s">
        <v>2193</v>
      </c>
      <c r="Q295">
        <v>903.55500000000006</v>
      </c>
      <c r="R295">
        <v>661.25</v>
      </c>
      <c r="S295">
        <v>1090401.25</v>
      </c>
      <c r="T295">
        <v>1489962.1950000001</v>
      </c>
      <c r="U295">
        <v>-399560.94500000007</v>
      </c>
      <c r="V295">
        <v>-0.36643478260869572</v>
      </c>
      <c r="W295" s="261" t="s">
        <v>1574</v>
      </c>
      <c r="X295">
        <v>14</v>
      </c>
      <c r="Y295">
        <v>6.0139130434782584E-2</v>
      </c>
    </row>
    <row r="296" spans="1:25" x14ac:dyDescent="0.25">
      <c r="A296" s="261" t="s">
        <v>1439</v>
      </c>
      <c r="B296" s="261" t="s">
        <v>1440</v>
      </c>
      <c r="C296" s="261" t="s">
        <v>1068</v>
      </c>
      <c r="D296" s="261" t="s">
        <v>1729</v>
      </c>
      <c r="E296" s="261" t="s">
        <v>1110</v>
      </c>
      <c r="F296">
        <v>1649</v>
      </c>
      <c r="G296" s="215">
        <v>46084</v>
      </c>
      <c r="H296" s="261" t="s">
        <v>987</v>
      </c>
      <c r="I296" s="261" t="s">
        <v>1005</v>
      </c>
      <c r="J296">
        <v>6325</v>
      </c>
      <c r="K296" s="261" t="s">
        <v>1087</v>
      </c>
      <c r="L296">
        <v>6325</v>
      </c>
      <c r="M296">
        <v>1</v>
      </c>
      <c r="N296">
        <v>2</v>
      </c>
      <c r="O296">
        <v>6325</v>
      </c>
      <c r="P296" s="261" t="s">
        <v>2193</v>
      </c>
      <c r="Q296">
        <v>9939.1050000000014</v>
      </c>
      <c r="R296">
        <v>7273.7499999999991</v>
      </c>
      <c r="S296">
        <v>11994413.749999998</v>
      </c>
      <c r="T296">
        <v>16389584.145000001</v>
      </c>
      <c r="U296">
        <v>-4395170.3950000033</v>
      </c>
      <c r="V296">
        <v>-0.366434782608696</v>
      </c>
      <c r="W296" s="261" t="s">
        <v>1574</v>
      </c>
      <c r="X296">
        <v>14</v>
      </c>
      <c r="Y296">
        <v>6.0139130434782417E-2</v>
      </c>
    </row>
    <row r="297" spans="1:25" x14ac:dyDescent="0.25">
      <c r="A297" s="261" t="s">
        <v>1441</v>
      </c>
      <c r="B297" s="261" t="s">
        <v>1437</v>
      </c>
      <c r="C297" s="261" t="s">
        <v>1068</v>
      </c>
      <c r="D297" s="261" t="s">
        <v>1729</v>
      </c>
      <c r="E297" s="261" t="s">
        <v>1110</v>
      </c>
      <c r="F297">
        <v>804</v>
      </c>
      <c r="G297" s="215">
        <v>46084</v>
      </c>
      <c r="H297" s="261" t="s">
        <v>987</v>
      </c>
      <c r="I297" s="261" t="s">
        <v>1005</v>
      </c>
      <c r="J297">
        <v>575</v>
      </c>
      <c r="K297" s="261" t="s">
        <v>1087</v>
      </c>
      <c r="L297">
        <v>575</v>
      </c>
      <c r="M297">
        <v>1</v>
      </c>
      <c r="N297">
        <v>2</v>
      </c>
      <c r="O297">
        <v>575</v>
      </c>
      <c r="P297" s="261" t="s">
        <v>2193</v>
      </c>
      <c r="Q297">
        <v>903.55500000000006</v>
      </c>
      <c r="R297">
        <v>661.25</v>
      </c>
      <c r="S297">
        <v>531645</v>
      </c>
      <c r="T297">
        <v>726458.22000000009</v>
      </c>
      <c r="U297">
        <v>-194813.22000000009</v>
      </c>
      <c r="V297">
        <v>-0.36643478260869583</v>
      </c>
      <c r="W297" s="261" t="s">
        <v>1574</v>
      </c>
      <c r="X297">
        <v>14</v>
      </c>
      <c r="Y297">
        <v>6.0139130434782501E-2</v>
      </c>
    </row>
    <row r="298" spans="1:25" x14ac:dyDescent="0.25">
      <c r="A298" s="261" t="s">
        <v>1442</v>
      </c>
      <c r="B298" s="261" t="s">
        <v>1440</v>
      </c>
      <c r="C298" s="261" t="s">
        <v>1068</v>
      </c>
      <c r="D298" s="261" t="s">
        <v>1729</v>
      </c>
      <c r="E298" s="261" t="s">
        <v>1110</v>
      </c>
      <c r="F298">
        <v>804</v>
      </c>
      <c r="G298" s="215">
        <v>46084</v>
      </c>
      <c r="H298" s="261" t="s">
        <v>987</v>
      </c>
      <c r="I298" s="261" t="s">
        <v>1005</v>
      </c>
      <c r="J298">
        <v>6325</v>
      </c>
      <c r="K298" s="261" t="s">
        <v>1087</v>
      </c>
      <c r="L298">
        <v>6325</v>
      </c>
      <c r="M298">
        <v>1</v>
      </c>
      <c r="N298">
        <v>2</v>
      </c>
      <c r="O298">
        <v>6325</v>
      </c>
      <c r="P298" s="261" t="s">
        <v>2193</v>
      </c>
      <c r="Q298">
        <v>9939.1050000000014</v>
      </c>
      <c r="R298">
        <v>7273.7499999999991</v>
      </c>
      <c r="S298">
        <v>5848094.9999999991</v>
      </c>
      <c r="T298">
        <v>7991040.4200000009</v>
      </c>
      <c r="U298">
        <v>-2142945.4200000018</v>
      </c>
      <c r="V298">
        <v>-0.366434782608696</v>
      </c>
      <c r="W298" s="261" t="s">
        <v>1574</v>
      </c>
      <c r="X298">
        <v>14</v>
      </c>
      <c r="Y298">
        <v>6.0139130434782417E-2</v>
      </c>
    </row>
    <row r="299" spans="1:25" x14ac:dyDescent="0.25">
      <c r="A299" s="261" t="s">
        <v>1436</v>
      </c>
      <c r="B299" s="261" t="s">
        <v>1437</v>
      </c>
      <c r="C299" s="261" t="s">
        <v>1068</v>
      </c>
      <c r="D299" s="261" t="s">
        <v>1762</v>
      </c>
      <c r="E299" s="261" t="s">
        <v>1110</v>
      </c>
      <c r="F299">
        <v>415.08</v>
      </c>
      <c r="G299" s="215">
        <v>46084</v>
      </c>
      <c r="H299" s="261" t="s">
        <v>987</v>
      </c>
      <c r="I299" s="261" t="s">
        <v>1005</v>
      </c>
      <c r="J299">
        <v>575</v>
      </c>
      <c r="K299" s="261" t="s">
        <v>1087</v>
      </c>
      <c r="L299">
        <v>575</v>
      </c>
      <c r="M299">
        <v>1</v>
      </c>
      <c r="N299">
        <v>2</v>
      </c>
      <c r="O299">
        <v>575</v>
      </c>
      <c r="P299" s="261" t="s">
        <v>2193</v>
      </c>
      <c r="Q299">
        <v>903.55500000000006</v>
      </c>
      <c r="R299">
        <v>661.25</v>
      </c>
      <c r="S299">
        <v>274471.64999999997</v>
      </c>
      <c r="T299">
        <v>375047.60940000002</v>
      </c>
      <c r="U299">
        <v>-100575.95940000005</v>
      </c>
      <c r="V299">
        <v>-0.36643478260869589</v>
      </c>
      <c r="W299" s="261" t="s">
        <v>1574</v>
      </c>
      <c r="X299">
        <v>14</v>
      </c>
      <c r="Y299">
        <v>6.0139130434782473E-2</v>
      </c>
    </row>
    <row r="300" spans="1:25" x14ac:dyDescent="0.25">
      <c r="A300" s="261" t="s">
        <v>1439</v>
      </c>
      <c r="B300" s="261" t="s">
        <v>1440</v>
      </c>
      <c r="C300" s="261" t="s">
        <v>1068</v>
      </c>
      <c r="D300" s="261" t="s">
        <v>1762</v>
      </c>
      <c r="E300" s="261" t="s">
        <v>1110</v>
      </c>
      <c r="F300">
        <v>415.08</v>
      </c>
      <c r="G300" s="215">
        <v>46084</v>
      </c>
      <c r="H300" s="261" t="s">
        <v>987</v>
      </c>
      <c r="I300" s="261" t="s">
        <v>1005</v>
      </c>
      <c r="J300">
        <v>6325</v>
      </c>
      <c r="K300" s="261" t="s">
        <v>1087</v>
      </c>
      <c r="L300">
        <v>6325</v>
      </c>
      <c r="M300">
        <v>1</v>
      </c>
      <c r="N300">
        <v>2</v>
      </c>
      <c r="O300">
        <v>6325</v>
      </c>
      <c r="P300" s="261" t="s">
        <v>2193</v>
      </c>
      <c r="Q300">
        <v>9939.1050000000014</v>
      </c>
      <c r="R300">
        <v>7273.7499999999991</v>
      </c>
      <c r="S300">
        <v>3019188.1499999994</v>
      </c>
      <c r="T300">
        <v>4125523.7034000005</v>
      </c>
      <c r="U300">
        <v>-1106335.553400001</v>
      </c>
      <c r="V300">
        <v>-0.36643478260869605</v>
      </c>
      <c r="W300" s="261" t="s">
        <v>1574</v>
      </c>
      <c r="X300">
        <v>14</v>
      </c>
      <c r="Y300">
        <v>6.0139130434782362E-2</v>
      </c>
    </row>
    <row r="301" spans="1:25" x14ac:dyDescent="0.25">
      <c r="A301" s="261" t="s">
        <v>1441</v>
      </c>
      <c r="B301" s="261" t="s">
        <v>1437</v>
      </c>
      <c r="C301" s="261" t="s">
        <v>1068</v>
      </c>
      <c r="D301" s="261" t="s">
        <v>1762</v>
      </c>
      <c r="E301" s="261" t="s">
        <v>1110</v>
      </c>
      <c r="F301">
        <v>182</v>
      </c>
      <c r="G301" s="215">
        <v>46084</v>
      </c>
      <c r="H301" s="261" t="s">
        <v>987</v>
      </c>
      <c r="I301" s="261" t="s">
        <v>1005</v>
      </c>
      <c r="J301">
        <v>575</v>
      </c>
      <c r="K301" s="261" t="s">
        <v>1087</v>
      </c>
      <c r="L301">
        <v>575</v>
      </c>
      <c r="M301">
        <v>1</v>
      </c>
      <c r="N301">
        <v>2</v>
      </c>
      <c r="O301">
        <v>575</v>
      </c>
      <c r="P301" s="261" t="s">
        <v>2193</v>
      </c>
      <c r="Q301">
        <v>903.55500000000006</v>
      </c>
      <c r="R301">
        <v>661.25</v>
      </c>
      <c r="S301">
        <v>120347.5</v>
      </c>
      <c r="T301">
        <v>164447.01</v>
      </c>
      <c r="U301">
        <v>-44099.510000000009</v>
      </c>
      <c r="V301">
        <v>-0.36643478260869572</v>
      </c>
      <c r="W301" s="261" t="s">
        <v>1574</v>
      </c>
      <c r="X301">
        <v>14</v>
      </c>
      <c r="Y301">
        <v>6.0139130434782584E-2</v>
      </c>
    </row>
    <row r="302" spans="1:25" x14ac:dyDescent="0.25">
      <c r="A302" s="261" t="s">
        <v>1442</v>
      </c>
      <c r="B302" s="261" t="s">
        <v>1440</v>
      </c>
      <c r="C302" s="261" t="s">
        <v>1068</v>
      </c>
      <c r="D302" s="261" t="s">
        <v>1762</v>
      </c>
      <c r="E302" s="261" t="s">
        <v>1110</v>
      </c>
      <c r="F302">
        <v>182</v>
      </c>
      <c r="G302" s="215">
        <v>46084</v>
      </c>
      <c r="H302" s="261" t="s">
        <v>987</v>
      </c>
      <c r="I302" s="261" t="s">
        <v>1005</v>
      </c>
      <c r="J302">
        <v>6325</v>
      </c>
      <c r="K302" s="261" t="s">
        <v>1087</v>
      </c>
      <c r="L302">
        <v>6325</v>
      </c>
      <c r="M302">
        <v>1</v>
      </c>
      <c r="N302">
        <v>2</v>
      </c>
      <c r="O302">
        <v>6325</v>
      </c>
      <c r="P302" s="261" t="s">
        <v>2193</v>
      </c>
      <c r="Q302">
        <v>9939.1050000000014</v>
      </c>
      <c r="R302">
        <v>7273.7499999999991</v>
      </c>
      <c r="S302">
        <v>1323822.4999999998</v>
      </c>
      <c r="T302">
        <v>1808917.1100000003</v>
      </c>
      <c r="U302">
        <v>-485094.61000000057</v>
      </c>
      <c r="V302">
        <v>-0.36643478260869616</v>
      </c>
      <c r="W302" s="261" t="s">
        <v>1574</v>
      </c>
      <c r="X302">
        <v>14</v>
      </c>
      <c r="Y302">
        <v>6.0139130434782306E-2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5D86-2D9C-4C0F-B93B-A81E25D755E9}">
  <sheetPr>
    <tabColor rgb="FFFFFF00"/>
  </sheetPr>
  <dimension ref="A1:A2"/>
  <sheetViews>
    <sheetView workbookViewId="0">
      <selection activeCell="G34" sqref="G34"/>
    </sheetView>
  </sheetViews>
  <sheetFormatPr baseColWidth="10" defaultRowHeight="15" x14ac:dyDescent="0.25"/>
  <cols>
    <col min="1" max="1" width="19" bestFit="1" customWidth="1"/>
  </cols>
  <sheetData>
    <row r="1" spans="1:1" x14ac:dyDescent="0.25">
      <c r="A1" t="s">
        <v>2191</v>
      </c>
    </row>
    <row r="2" spans="1:1" x14ac:dyDescent="0.25">
      <c r="A2">
        <v>0.18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0795-386C-4F90-9AC8-FE20CCE41DC0}">
  <sheetPr>
    <tabColor rgb="FFFF0000"/>
  </sheetPr>
  <dimension ref="A1"/>
  <sheetViews>
    <sheetView workbookViewId="0">
      <selection activeCell="N21" sqref="N21"/>
    </sheetView>
  </sheetViews>
  <sheetFormatPr baseColWidth="10" defaultRowHeight="15" x14ac:dyDescent="0.25"/>
  <cols>
    <col min="1" max="16384" width="11.42578125" style="1"/>
  </cols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623CF-C428-4411-8F66-AC08A1E51FA1}">
  <dimension ref="A1:F15"/>
  <sheetViews>
    <sheetView workbookViewId="0">
      <selection activeCell="C23" sqref="C23"/>
    </sheetView>
  </sheetViews>
  <sheetFormatPr baseColWidth="10" defaultRowHeight="15" x14ac:dyDescent="0.25"/>
  <cols>
    <col min="1" max="1" width="9.5703125" bestFit="1" customWidth="1"/>
    <col min="2" max="2" width="13" bestFit="1" customWidth="1"/>
    <col min="3" max="3" width="12" bestFit="1" customWidth="1"/>
    <col min="4" max="4" width="34.85546875" bestFit="1" customWidth="1"/>
    <col min="5" max="5" width="14.140625" bestFit="1" customWidth="1"/>
    <col min="6" max="6" width="12.42578125" bestFit="1" customWidth="1"/>
  </cols>
  <sheetData>
    <row r="1" spans="1:6" x14ac:dyDescent="0.25">
      <c r="A1" t="s">
        <v>1573</v>
      </c>
      <c r="B1" t="s">
        <v>2195</v>
      </c>
      <c r="C1" t="s">
        <v>1586</v>
      </c>
      <c r="D1" t="s">
        <v>2196</v>
      </c>
      <c r="E1" t="s">
        <v>2197</v>
      </c>
      <c r="F1" t="s">
        <v>2213</v>
      </c>
    </row>
    <row r="2" spans="1:6" x14ac:dyDescent="0.25">
      <c r="A2">
        <v>1</v>
      </c>
      <c r="B2" s="261" t="s">
        <v>2198</v>
      </c>
      <c r="C2" t="s">
        <v>1083</v>
      </c>
      <c r="D2" s="261" t="s">
        <v>2214</v>
      </c>
      <c r="E2">
        <v>1</v>
      </c>
      <c r="F2" s="261" t="s">
        <v>1058</v>
      </c>
    </row>
    <row r="3" spans="1:6" x14ac:dyDescent="0.25">
      <c r="A3">
        <v>2</v>
      </c>
      <c r="B3" s="261" t="s">
        <v>2199</v>
      </c>
      <c r="C3" t="s">
        <v>1174</v>
      </c>
      <c r="D3" s="261" t="s">
        <v>1040</v>
      </c>
      <c r="E3">
        <v>2</v>
      </c>
      <c r="F3" s="261" t="s">
        <v>2215</v>
      </c>
    </row>
    <row r="4" spans="1:6" x14ac:dyDescent="0.25">
      <c r="A4">
        <v>3</v>
      </c>
      <c r="B4" s="261" t="s">
        <v>2200</v>
      </c>
      <c r="C4" t="s">
        <v>1189</v>
      </c>
      <c r="D4" s="261" t="s">
        <v>2216</v>
      </c>
      <c r="E4">
        <v>3</v>
      </c>
      <c r="F4" s="261" t="s">
        <v>2215</v>
      </c>
    </row>
    <row r="5" spans="1:6" x14ac:dyDescent="0.25">
      <c r="A5">
        <v>4</v>
      </c>
      <c r="B5" s="261" t="s">
        <v>2201</v>
      </c>
      <c r="C5" t="s">
        <v>1198</v>
      </c>
      <c r="D5" s="261" t="s">
        <v>2217</v>
      </c>
      <c r="E5">
        <v>4</v>
      </c>
      <c r="F5" s="261" t="s">
        <v>2215</v>
      </c>
    </row>
    <row r="6" spans="1:6" x14ac:dyDescent="0.25">
      <c r="A6">
        <v>5</v>
      </c>
      <c r="B6" s="261" t="s">
        <v>2202</v>
      </c>
      <c r="C6" t="s">
        <v>1203</v>
      </c>
      <c r="D6" s="261" t="s">
        <v>2218</v>
      </c>
      <c r="E6">
        <v>5</v>
      </c>
      <c r="F6" s="261" t="s">
        <v>2215</v>
      </c>
    </row>
    <row r="7" spans="1:6" x14ac:dyDescent="0.25">
      <c r="A7">
        <v>6</v>
      </c>
      <c r="B7" s="261" t="s">
        <v>2203</v>
      </c>
      <c r="C7" t="s">
        <v>1216</v>
      </c>
      <c r="D7" s="261" t="s">
        <v>2207</v>
      </c>
      <c r="E7">
        <v>6</v>
      </c>
      <c r="F7" s="261" t="s">
        <v>2215</v>
      </c>
    </row>
    <row r="8" spans="1:6" x14ac:dyDescent="0.25">
      <c r="A8">
        <v>7</v>
      </c>
      <c r="B8" s="261" t="s">
        <v>2204</v>
      </c>
      <c r="C8" t="s">
        <v>1229</v>
      </c>
      <c r="D8" s="261" t="s">
        <v>2219</v>
      </c>
      <c r="E8">
        <v>7</v>
      </c>
      <c r="F8" s="261" t="s">
        <v>2220</v>
      </c>
    </row>
    <row r="9" spans="1:6" x14ac:dyDescent="0.25">
      <c r="A9">
        <v>8</v>
      </c>
      <c r="B9" s="261" t="s">
        <v>2205</v>
      </c>
      <c r="C9" t="s">
        <v>1278</v>
      </c>
      <c r="D9" s="261" t="s">
        <v>1018</v>
      </c>
      <c r="E9">
        <v>8</v>
      </c>
      <c r="F9" s="261" t="s">
        <v>2220</v>
      </c>
    </row>
    <row r="10" spans="1:6" x14ac:dyDescent="0.25">
      <c r="A10">
        <v>9</v>
      </c>
      <c r="B10" s="261" t="s">
        <v>2206</v>
      </c>
      <c r="C10" t="s">
        <v>1305</v>
      </c>
      <c r="D10" s="261" t="s">
        <v>2221</v>
      </c>
      <c r="E10">
        <v>9</v>
      </c>
      <c r="F10" s="261" t="s">
        <v>2220</v>
      </c>
    </row>
    <row r="11" spans="1:6" x14ac:dyDescent="0.25">
      <c r="A11">
        <v>10</v>
      </c>
      <c r="B11" s="261" t="s">
        <v>2208</v>
      </c>
      <c r="C11" t="s">
        <v>1350</v>
      </c>
      <c r="D11" s="261" t="s">
        <v>2222</v>
      </c>
      <c r="E11">
        <v>10</v>
      </c>
      <c r="F11" s="261" t="s">
        <v>2220</v>
      </c>
    </row>
    <row r="12" spans="1:6" x14ac:dyDescent="0.25">
      <c r="A12">
        <v>11</v>
      </c>
      <c r="B12" s="261" t="s">
        <v>2209</v>
      </c>
      <c r="C12" t="s">
        <v>1423</v>
      </c>
      <c r="D12" s="261" t="s">
        <v>2223</v>
      </c>
      <c r="E12">
        <v>11</v>
      </c>
      <c r="F12" s="261" t="s">
        <v>2215</v>
      </c>
    </row>
    <row r="13" spans="1:6" x14ac:dyDescent="0.25">
      <c r="A13">
        <v>12</v>
      </c>
      <c r="B13" s="261" t="s">
        <v>2210</v>
      </c>
      <c r="C13" t="s">
        <v>2224</v>
      </c>
      <c r="D13" s="261" t="s">
        <v>1006</v>
      </c>
      <c r="E13">
        <v>12</v>
      </c>
      <c r="F13" s="261" t="s">
        <v>1497</v>
      </c>
    </row>
    <row r="14" spans="1:6" x14ac:dyDescent="0.25">
      <c r="A14">
        <v>13</v>
      </c>
      <c r="B14" s="261" t="s">
        <v>2211</v>
      </c>
      <c r="C14" t="s">
        <v>1435</v>
      </c>
      <c r="D14" s="261" t="s">
        <v>1596</v>
      </c>
      <c r="E14">
        <v>13</v>
      </c>
      <c r="F14" s="261" t="s">
        <v>2215</v>
      </c>
    </row>
    <row r="15" spans="1:6" x14ac:dyDescent="0.25">
      <c r="A15">
        <v>14</v>
      </c>
      <c r="B15" s="261" t="s">
        <v>2212</v>
      </c>
      <c r="C15" t="s">
        <v>1438</v>
      </c>
      <c r="D15" s="261" t="s">
        <v>1003</v>
      </c>
      <c r="E15">
        <v>14</v>
      </c>
      <c r="F15" s="261" t="s">
        <v>1062</v>
      </c>
    </row>
  </sheetData>
  <phoneticPr fontId="38" type="noConversion"/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0727B-9166-467C-89BB-13DA3DD800FA}">
  <sheetPr>
    <tabColor theme="2" tint="-0.749992370372631"/>
  </sheetPr>
  <dimension ref="A1:K301"/>
  <sheetViews>
    <sheetView workbookViewId="0">
      <selection sqref="A1:K301"/>
    </sheetView>
  </sheetViews>
  <sheetFormatPr baseColWidth="10" defaultRowHeight="15" x14ac:dyDescent="0.25"/>
  <cols>
    <col min="1" max="1" width="20.85546875" style="1" bestFit="1" customWidth="1"/>
    <col min="2" max="2" width="42.5703125" style="1" bestFit="1" customWidth="1"/>
    <col min="3" max="3" width="9.5703125" style="1" bestFit="1" customWidth="1"/>
    <col min="4" max="4" width="18.42578125" style="1" bestFit="1" customWidth="1"/>
    <col min="5" max="5" width="15.42578125" style="1" customWidth="1"/>
    <col min="6" max="6" width="12.85546875" style="1" bestFit="1" customWidth="1"/>
    <col min="7" max="7" width="7" style="1" bestFit="1" customWidth="1"/>
    <col min="8" max="8" width="19.28515625" style="1" bestFit="1" customWidth="1"/>
    <col min="9" max="9" width="20.28515625" style="1" bestFit="1" customWidth="1"/>
    <col min="10" max="10" width="12.42578125" style="1" bestFit="1" customWidth="1"/>
    <col min="11" max="11" width="27.28515625" style="1" bestFit="1" customWidth="1"/>
    <col min="12" max="12" width="20.28515625" style="1" bestFit="1" customWidth="1"/>
    <col min="13" max="13" width="20.140625" style="1" bestFit="1" customWidth="1"/>
    <col min="14" max="14" width="19" style="1" bestFit="1" customWidth="1"/>
    <col min="15" max="15" width="17.85546875" style="1" bestFit="1" customWidth="1"/>
    <col min="16" max="16" width="12.42578125" style="1" bestFit="1" customWidth="1"/>
    <col min="17" max="17" width="27.28515625" style="1" customWidth="1"/>
    <col min="18" max="18" width="20.42578125" style="1" bestFit="1" customWidth="1"/>
    <col min="19" max="19" width="5.85546875" style="1" bestFit="1" customWidth="1"/>
    <col min="20" max="20" width="43.140625" style="1" bestFit="1" customWidth="1"/>
    <col min="21" max="21" width="18.140625" style="1" bestFit="1" customWidth="1"/>
    <col min="22" max="22" width="18.42578125" style="1" bestFit="1" customWidth="1"/>
    <col min="23" max="23" width="15.42578125" style="1" bestFit="1" customWidth="1"/>
    <col min="24" max="24" width="13.140625" style="1" bestFit="1" customWidth="1"/>
    <col min="25" max="25" width="7" style="1" bestFit="1" customWidth="1"/>
    <col min="26" max="26" width="19.28515625" style="1" bestFit="1" customWidth="1"/>
    <col min="27" max="27" width="20.28515625" style="1" bestFit="1" customWidth="1"/>
    <col min="28" max="28" width="20.140625" style="1" bestFit="1" customWidth="1"/>
    <col min="29" max="29" width="19" style="1" bestFit="1" customWidth="1"/>
    <col min="30" max="30" width="12.42578125" style="1" bestFit="1" customWidth="1"/>
    <col min="31" max="31" width="20.42578125" style="1" bestFit="1" customWidth="1"/>
    <col min="32" max="32" width="19.140625" style="1" bestFit="1" customWidth="1"/>
    <col min="33" max="33" width="18.5703125" style="1" bestFit="1" customWidth="1"/>
    <col min="34" max="34" width="19.28515625" style="1" bestFit="1" customWidth="1"/>
    <col min="35" max="35" width="20.28515625" style="1" bestFit="1" customWidth="1"/>
    <col min="36" max="36" width="20.140625" style="1" bestFit="1" customWidth="1"/>
    <col min="37" max="37" width="19" style="1" bestFit="1" customWidth="1"/>
    <col min="38" max="38" width="14.7109375" style="1" bestFit="1" customWidth="1"/>
    <col min="39" max="39" width="18" style="1" bestFit="1" customWidth="1"/>
    <col min="40" max="40" width="12.42578125" style="1" bestFit="1" customWidth="1"/>
    <col min="41" max="41" width="17" style="1" bestFit="1" customWidth="1"/>
    <col min="42" max="42" width="12.7109375" style="1" bestFit="1" customWidth="1"/>
    <col min="43" max="43" width="13.85546875" style="1" bestFit="1" customWidth="1"/>
    <col min="44" max="44" width="20" style="1" bestFit="1" customWidth="1"/>
    <col min="45" max="45" width="18" style="1" customWidth="1"/>
    <col min="46" max="46" width="18" style="1" bestFit="1" customWidth="1"/>
    <col min="47" max="16384" width="11.42578125" style="1"/>
  </cols>
  <sheetData>
    <row r="1" spans="1:11" x14ac:dyDescent="0.25">
      <c r="A1" t="s">
        <v>979</v>
      </c>
      <c r="B1" t="s">
        <v>1072</v>
      </c>
      <c r="C1" t="s">
        <v>1573</v>
      </c>
      <c r="D1" t="s">
        <v>1053</v>
      </c>
      <c r="E1" s="1" t="s">
        <v>1066</v>
      </c>
      <c r="F1" t="s">
        <v>1538</v>
      </c>
      <c r="G1" t="s">
        <v>1539</v>
      </c>
      <c r="H1" t="s">
        <v>1569</v>
      </c>
      <c r="I1" t="s">
        <v>1570</v>
      </c>
      <c r="J1" t="s">
        <v>947</v>
      </c>
      <c r="K1" t="s">
        <v>1851</v>
      </c>
    </row>
    <row r="2" spans="1:11" x14ac:dyDescent="0.25">
      <c r="A2" s="261" t="s">
        <v>987</v>
      </c>
      <c r="B2" s="261" t="s">
        <v>1196</v>
      </c>
      <c r="C2" s="261" t="s">
        <v>1552</v>
      </c>
      <c r="D2" s="261" t="s">
        <v>1032</v>
      </c>
      <c r="E2" s="263" t="s">
        <v>1070</v>
      </c>
      <c r="F2" s="261" t="s">
        <v>1729</v>
      </c>
      <c r="G2" s="262">
        <v>19.2</v>
      </c>
      <c r="H2" s="262">
        <v>3047040</v>
      </c>
      <c r="I2" s="262">
        <v>1058243.6159999999</v>
      </c>
      <c r="J2" s="261" t="s">
        <v>1575</v>
      </c>
      <c r="K2" s="261" t="s">
        <v>1854</v>
      </c>
    </row>
    <row r="3" spans="1:11" x14ac:dyDescent="0.25">
      <c r="A3" s="261" t="s">
        <v>987</v>
      </c>
      <c r="B3" s="261" t="s">
        <v>1196</v>
      </c>
      <c r="C3" s="261" t="s">
        <v>1552</v>
      </c>
      <c r="D3" s="261" t="s">
        <v>1032</v>
      </c>
      <c r="E3" s="263" t="s">
        <v>1070</v>
      </c>
      <c r="F3" s="261" t="s">
        <v>1729</v>
      </c>
      <c r="G3" s="262">
        <v>3.3</v>
      </c>
      <c r="H3" s="262">
        <v>523710</v>
      </c>
      <c r="I3" s="262">
        <v>181885.62150000001</v>
      </c>
      <c r="J3" s="261" t="s">
        <v>1575</v>
      </c>
      <c r="K3" s="261" t="s">
        <v>1854</v>
      </c>
    </row>
    <row r="4" spans="1:11" x14ac:dyDescent="0.25">
      <c r="A4" s="261" t="s">
        <v>987</v>
      </c>
      <c r="B4" s="261" t="s">
        <v>1175</v>
      </c>
      <c r="C4" s="261" t="s">
        <v>1549</v>
      </c>
      <c r="D4" s="261" t="s">
        <v>1042</v>
      </c>
      <c r="E4" s="263" t="s">
        <v>1070</v>
      </c>
      <c r="F4" s="261" t="s">
        <v>1729</v>
      </c>
      <c r="G4" s="262">
        <v>77.72</v>
      </c>
      <c r="H4" s="262">
        <v>772315.29799999995</v>
      </c>
      <c r="I4" s="262"/>
      <c r="J4" s="261" t="s">
        <v>1574</v>
      </c>
      <c r="K4" s="261" t="s">
        <v>1854</v>
      </c>
    </row>
    <row r="5" spans="1:11" x14ac:dyDescent="0.25">
      <c r="A5" s="261" t="s">
        <v>987</v>
      </c>
      <c r="B5" s="261" t="s">
        <v>1172</v>
      </c>
      <c r="C5" s="261" t="s">
        <v>1549</v>
      </c>
      <c r="D5" s="261" t="s">
        <v>1042</v>
      </c>
      <c r="E5" s="263" t="s">
        <v>1070</v>
      </c>
      <c r="F5" s="261" t="s">
        <v>1729</v>
      </c>
      <c r="G5" s="262">
        <v>61.54</v>
      </c>
      <c r="H5" s="262">
        <v>1222639.7959999999</v>
      </c>
      <c r="I5" s="262"/>
      <c r="J5" s="261" t="s">
        <v>1574</v>
      </c>
      <c r="K5" s="261" t="s">
        <v>1854</v>
      </c>
    </row>
    <row r="6" spans="1:11" x14ac:dyDescent="0.25">
      <c r="A6" s="261" t="s">
        <v>987</v>
      </c>
      <c r="B6" s="261" t="s">
        <v>1196</v>
      </c>
      <c r="C6" s="261" t="s">
        <v>1552</v>
      </c>
      <c r="D6" s="261" t="s">
        <v>1032</v>
      </c>
      <c r="E6" s="263" t="s">
        <v>1070</v>
      </c>
      <c r="F6" s="261" t="s">
        <v>1729</v>
      </c>
      <c r="G6" s="262">
        <v>0.36</v>
      </c>
      <c r="H6" s="262">
        <v>57132</v>
      </c>
      <c r="I6" s="262">
        <v>19842.067800000001</v>
      </c>
      <c r="J6" s="261" t="s">
        <v>1575</v>
      </c>
      <c r="K6" s="261" t="s">
        <v>1854</v>
      </c>
    </row>
    <row r="7" spans="1:11" x14ac:dyDescent="0.25">
      <c r="A7" s="261" t="s">
        <v>987</v>
      </c>
      <c r="B7" s="261" t="s">
        <v>1196</v>
      </c>
      <c r="C7" s="261" t="s">
        <v>1552</v>
      </c>
      <c r="D7" s="261" t="s">
        <v>1032</v>
      </c>
      <c r="E7" s="263" t="s">
        <v>1070</v>
      </c>
      <c r="F7" s="261" t="s">
        <v>1729</v>
      </c>
      <c r="G7" s="262">
        <v>12.47</v>
      </c>
      <c r="H7" s="262">
        <v>1978989</v>
      </c>
      <c r="I7" s="262">
        <v>687307.18185000005</v>
      </c>
      <c r="J7" s="261" t="s">
        <v>1575</v>
      </c>
      <c r="K7" s="261" t="s">
        <v>1854</v>
      </c>
    </row>
    <row r="8" spans="1:11" x14ac:dyDescent="0.25">
      <c r="A8" s="261" t="s">
        <v>987</v>
      </c>
      <c r="B8" s="261" t="s">
        <v>1187</v>
      </c>
      <c r="C8" s="261" t="s">
        <v>1551</v>
      </c>
      <c r="D8" s="261" t="s">
        <v>1035</v>
      </c>
      <c r="E8" s="263" t="s">
        <v>1070</v>
      </c>
      <c r="F8" s="261" t="s">
        <v>1729</v>
      </c>
      <c r="G8" s="262">
        <v>60.7</v>
      </c>
      <c r="H8" s="262">
        <v>1966755.8749999998</v>
      </c>
      <c r="I8" s="262">
        <v>523658.05020000006</v>
      </c>
      <c r="J8" s="261" t="s">
        <v>1575</v>
      </c>
      <c r="K8" s="261" t="s">
        <v>1854</v>
      </c>
    </row>
    <row r="9" spans="1:11" x14ac:dyDescent="0.25">
      <c r="A9" s="261" t="s">
        <v>987</v>
      </c>
      <c r="B9" s="261" t="s">
        <v>1199</v>
      </c>
      <c r="C9" s="261" t="s">
        <v>1552</v>
      </c>
      <c r="D9" s="261" t="s">
        <v>1032</v>
      </c>
      <c r="E9" s="263" t="s">
        <v>1070</v>
      </c>
      <c r="F9" s="261" t="s">
        <v>1729</v>
      </c>
      <c r="G9" s="262">
        <v>28.18</v>
      </c>
      <c r="H9" s="262">
        <v>4472166</v>
      </c>
      <c r="I9" s="262">
        <v>1148012.1981000002</v>
      </c>
      <c r="J9" s="261" t="s">
        <v>1575</v>
      </c>
      <c r="K9" s="261" t="s">
        <v>1854</v>
      </c>
    </row>
    <row r="10" spans="1:11" x14ac:dyDescent="0.25">
      <c r="A10" s="261" t="s">
        <v>987</v>
      </c>
      <c r="B10" s="261" t="s">
        <v>1102</v>
      </c>
      <c r="C10" s="261" t="s">
        <v>1558</v>
      </c>
      <c r="D10" s="261" t="s">
        <v>1046</v>
      </c>
      <c r="E10" s="263" t="s">
        <v>1070</v>
      </c>
      <c r="F10" s="261" t="s">
        <v>1729</v>
      </c>
      <c r="G10" s="262">
        <v>1</v>
      </c>
      <c r="H10" s="262">
        <v>2975625</v>
      </c>
      <c r="I10" s="262">
        <v>4065997.5000000005</v>
      </c>
      <c r="J10" s="261" t="s">
        <v>1574</v>
      </c>
      <c r="K10" s="261" t="s">
        <v>1854</v>
      </c>
    </row>
    <row r="11" spans="1:11" x14ac:dyDescent="0.25">
      <c r="A11" s="261" t="s">
        <v>987</v>
      </c>
      <c r="B11" s="261" t="s">
        <v>1192</v>
      </c>
      <c r="C11" s="261" t="s">
        <v>1551</v>
      </c>
      <c r="D11" s="261" t="s">
        <v>1035</v>
      </c>
      <c r="E11" s="263" t="s">
        <v>1070</v>
      </c>
      <c r="F11" s="261" t="s">
        <v>1729</v>
      </c>
      <c r="G11" s="262">
        <v>192.38</v>
      </c>
      <c r="H11" s="262">
        <v>1272112.7499999998</v>
      </c>
      <c r="I11" s="262">
        <v>829829.78334000008</v>
      </c>
      <c r="J11" s="261" t="s">
        <v>1575</v>
      </c>
      <c r="K11" s="261" t="s">
        <v>1854</v>
      </c>
    </row>
    <row r="12" spans="1:11" x14ac:dyDescent="0.25">
      <c r="A12" s="261" t="s">
        <v>987</v>
      </c>
      <c r="B12" s="261" t="s">
        <v>1196</v>
      </c>
      <c r="C12" s="261" t="s">
        <v>1552</v>
      </c>
      <c r="D12" s="261" t="s">
        <v>1032</v>
      </c>
      <c r="E12" s="263" t="s">
        <v>1070</v>
      </c>
      <c r="F12" s="261" t="s">
        <v>1729</v>
      </c>
      <c r="G12" s="262">
        <v>8.89</v>
      </c>
      <c r="H12" s="262">
        <v>1410843</v>
      </c>
      <c r="I12" s="262">
        <v>489988.84095000004</v>
      </c>
      <c r="J12" s="261" t="s">
        <v>1575</v>
      </c>
      <c r="K12" s="261" t="s">
        <v>1854</v>
      </c>
    </row>
    <row r="13" spans="1:11" x14ac:dyDescent="0.25">
      <c r="A13" s="261" t="s">
        <v>987</v>
      </c>
      <c r="B13" s="261" t="s">
        <v>1190</v>
      </c>
      <c r="C13" s="261" t="s">
        <v>1551</v>
      </c>
      <c r="D13" s="261" t="s">
        <v>1035</v>
      </c>
      <c r="E13" s="263" t="s">
        <v>1070</v>
      </c>
      <c r="F13" s="261" t="s">
        <v>1729</v>
      </c>
      <c r="G13" s="262">
        <v>210</v>
      </c>
      <c r="H13" s="262">
        <v>8192887.5</v>
      </c>
      <c r="I13" s="262">
        <v>3321389.6100000003</v>
      </c>
      <c r="J13" s="261" t="s">
        <v>1575</v>
      </c>
      <c r="K13" s="261" t="s">
        <v>1854</v>
      </c>
    </row>
    <row r="14" spans="1:11" x14ac:dyDescent="0.25">
      <c r="A14" s="261" t="s">
        <v>987</v>
      </c>
      <c r="B14" s="261" t="s">
        <v>1196</v>
      </c>
      <c r="C14" s="261" t="s">
        <v>1552</v>
      </c>
      <c r="D14" s="261" t="s">
        <v>1032</v>
      </c>
      <c r="E14" s="263" t="s">
        <v>1070</v>
      </c>
      <c r="F14" s="261" t="s">
        <v>1729</v>
      </c>
      <c r="G14" s="262">
        <v>24.95</v>
      </c>
      <c r="H14" s="262">
        <v>3959565</v>
      </c>
      <c r="I14" s="262">
        <v>1375165.5322499999</v>
      </c>
      <c r="J14" s="261" t="s">
        <v>1575</v>
      </c>
      <c r="K14" s="261" t="s">
        <v>1854</v>
      </c>
    </row>
    <row r="15" spans="1:11" x14ac:dyDescent="0.25">
      <c r="A15" s="261" t="s">
        <v>987</v>
      </c>
      <c r="B15" s="261" t="s">
        <v>1196</v>
      </c>
      <c r="C15" s="261" t="s">
        <v>1552</v>
      </c>
      <c r="D15" s="261" t="s">
        <v>1032</v>
      </c>
      <c r="E15" s="263" t="s">
        <v>1070</v>
      </c>
      <c r="F15" s="261" t="s">
        <v>1729</v>
      </c>
      <c r="G15" s="262">
        <v>5.28</v>
      </c>
      <c r="H15" s="262">
        <v>837936</v>
      </c>
      <c r="I15" s="262">
        <v>291016.99440000003</v>
      </c>
      <c r="J15" s="261" t="s">
        <v>1575</v>
      </c>
      <c r="K15" s="261" t="s">
        <v>1854</v>
      </c>
    </row>
    <row r="16" spans="1:11" x14ac:dyDescent="0.25">
      <c r="A16" s="261" t="s">
        <v>987</v>
      </c>
      <c r="B16" s="261" t="s">
        <v>1133</v>
      </c>
      <c r="C16" s="261" t="s">
        <v>1558</v>
      </c>
      <c r="D16" s="261" t="s">
        <v>1046</v>
      </c>
      <c r="E16" s="263" t="s">
        <v>1070</v>
      </c>
      <c r="F16" s="261" t="s">
        <v>1731</v>
      </c>
      <c r="G16" s="262">
        <v>30.3</v>
      </c>
      <c r="H16" s="262">
        <v>6591802.8749999991</v>
      </c>
      <c r="I16" s="262"/>
      <c r="J16" s="261" t="s">
        <v>1574</v>
      </c>
      <c r="K16" s="261" t="s">
        <v>1857</v>
      </c>
    </row>
    <row r="17" spans="1:11" x14ac:dyDescent="0.25">
      <c r="A17" s="261" t="s">
        <v>987</v>
      </c>
      <c r="B17" s="261" t="s">
        <v>1135</v>
      </c>
      <c r="C17" s="261" t="s">
        <v>1558</v>
      </c>
      <c r="D17" s="261" t="s">
        <v>1046</v>
      </c>
      <c r="E17" s="263" t="s">
        <v>1070</v>
      </c>
      <c r="F17" s="261" t="s">
        <v>1731</v>
      </c>
      <c r="G17" s="262">
        <v>1818</v>
      </c>
      <c r="H17" s="262">
        <v>2885165.9999999995</v>
      </c>
      <c r="I17" s="262"/>
      <c r="J17" s="261" t="s">
        <v>1574</v>
      </c>
      <c r="K17" s="261" t="s">
        <v>1857</v>
      </c>
    </row>
    <row r="18" spans="1:11" x14ac:dyDescent="0.25">
      <c r="A18" s="261" t="s">
        <v>987</v>
      </c>
      <c r="B18" s="261" t="s">
        <v>1134</v>
      </c>
      <c r="C18" s="261" t="s">
        <v>1558</v>
      </c>
      <c r="D18" s="261" t="s">
        <v>1046</v>
      </c>
      <c r="E18" s="263" t="s">
        <v>1070</v>
      </c>
      <c r="F18" s="261" t="s">
        <v>1731</v>
      </c>
      <c r="G18" s="262">
        <v>10.8</v>
      </c>
      <c r="H18" s="262">
        <v>71415</v>
      </c>
      <c r="I18" s="262"/>
      <c r="J18" s="261" t="s">
        <v>1574</v>
      </c>
      <c r="K18" s="261" t="s">
        <v>1857</v>
      </c>
    </row>
    <row r="19" spans="1:11" x14ac:dyDescent="0.25">
      <c r="A19" s="261" t="s">
        <v>987</v>
      </c>
      <c r="B19" s="261" t="s">
        <v>1433</v>
      </c>
      <c r="C19" s="261" t="s">
        <v>1823</v>
      </c>
      <c r="D19" s="261" t="s">
        <v>1039</v>
      </c>
      <c r="E19" s="263" t="s">
        <v>1070</v>
      </c>
      <c r="F19" s="261" t="s">
        <v>1542</v>
      </c>
      <c r="G19" s="262">
        <v>233.97</v>
      </c>
      <c r="H19" s="262">
        <v>47019196.124999993</v>
      </c>
      <c r="I19" s="262">
        <v>3588366.0700800004</v>
      </c>
      <c r="J19" s="261" t="s">
        <v>1575</v>
      </c>
      <c r="K19" s="261" t="s">
        <v>1864</v>
      </c>
    </row>
    <row r="20" spans="1:11" x14ac:dyDescent="0.25">
      <c r="A20" s="261" t="s">
        <v>987</v>
      </c>
      <c r="B20" s="261" t="s">
        <v>1187</v>
      </c>
      <c r="C20" s="261" t="s">
        <v>1551</v>
      </c>
      <c r="D20" s="261" t="s">
        <v>1035</v>
      </c>
      <c r="E20" s="263" t="s">
        <v>1070</v>
      </c>
      <c r="F20" s="261" t="s">
        <v>1727</v>
      </c>
      <c r="G20" s="262">
        <v>87.52</v>
      </c>
      <c r="H20" s="262">
        <v>2835757.3999999994</v>
      </c>
      <c r="I20" s="262">
        <v>755033.81472000002</v>
      </c>
      <c r="J20" s="261" t="s">
        <v>1575</v>
      </c>
      <c r="K20" s="261" t="s">
        <v>1863</v>
      </c>
    </row>
    <row r="21" spans="1:11" x14ac:dyDescent="0.25">
      <c r="A21" s="261" t="s">
        <v>987</v>
      </c>
      <c r="B21" s="261" t="s">
        <v>1196</v>
      </c>
      <c r="C21" s="261" t="s">
        <v>1552</v>
      </c>
      <c r="D21" s="261" t="s">
        <v>1032</v>
      </c>
      <c r="E21" s="263" t="s">
        <v>1070</v>
      </c>
      <c r="F21" s="261" t="s">
        <v>1727</v>
      </c>
      <c r="G21" s="262">
        <v>1.44</v>
      </c>
      <c r="H21" s="262">
        <v>228528</v>
      </c>
      <c r="I21" s="262">
        <v>79368.271200000003</v>
      </c>
      <c r="J21" s="261" t="s">
        <v>1575</v>
      </c>
      <c r="K21" s="261" t="s">
        <v>1863</v>
      </c>
    </row>
    <row r="22" spans="1:11" x14ac:dyDescent="0.25">
      <c r="A22" s="261" t="s">
        <v>987</v>
      </c>
      <c r="B22" s="261" t="s">
        <v>1196</v>
      </c>
      <c r="C22" s="261" t="s">
        <v>1552</v>
      </c>
      <c r="D22" s="261" t="s">
        <v>1032</v>
      </c>
      <c r="E22" s="263" t="s">
        <v>1070</v>
      </c>
      <c r="F22" s="261" t="s">
        <v>1727</v>
      </c>
      <c r="G22" s="262">
        <v>0.36</v>
      </c>
      <c r="H22" s="262">
        <v>57132</v>
      </c>
      <c r="I22" s="262">
        <v>19842.067800000001</v>
      </c>
      <c r="J22" s="261" t="s">
        <v>1575</v>
      </c>
      <c r="K22" s="261" t="s">
        <v>1863</v>
      </c>
    </row>
    <row r="23" spans="1:11" x14ac:dyDescent="0.25">
      <c r="A23" s="261" t="s">
        <v>987</v>
      </c>
      <c r="B23" s="261" t="s">
        <v>1187</v>
      </c>
      <c r="C23" s="261" t="s">
        <v>1551</v>
      </c>
      <c r="D23" s="261" t="s">
        <v>1035</v>
      </c>
      <c r="E23" s="263" t="s">
        <v>1070</v>
      </c>
      <c r="F23" s="261" t="s">
        <v>1727</v>
      </c>
      <c r="G23" s="262">
        <v>56.71</v>
      </c>
      <c r="H23" s="262">
        <v>1837474.8874999997</v>
      </c>
      <c r="I23" s="262">
        <v>489236.37606000004</v>
      </c>
      <c r="J23" s="261" t="s">
        <v>1575</v>
      </c>
      <c r="K23" s="261" t="s">
        <v>1863</v>
      </c>
    </row>
    <row r="24" spans="1:11" x14ac:dyDescent="0.25">
      <c r="A24" s="261" t="s">
        <v>987</v>
      </c>
      <c r="B24" s="261" t="s">
        <v>1194</v>
      </c>
      <c r="C24" s="261" t="s">
        <v>1551</v>
      </c>
      <c r="D24" s="261" t="s">
        <v>1035</v>
      </c>
      <c r="E24" s="263" t="s">
        <v>1070</v>
      </c>
      <c r="F24" s="261" t="s">
        <v>1727</v>
      </c>
      <c r="G24" s="262">
        <v>5.19</v>
      </c>
      <c r="H24" s="262">
        <v>3088698.75</v>
      </c>
      <c r="I24" s="262">
        <v>348242.66820000001</v>
      </c>
      <c r="J24" s="261" t="s">
        <v>1575</v>
      </c>
      <c r="K24" s="261" t="s">
        <v>1863</v>
      </c>
    </row>
    <row r="25" spans="1:11" x14ac:dyDescent="0.25">
      <c r="A25" s="261" t="s">
        <v>987</v>
      </c>
      <c r="B25" s="261" t="s">
        <v>1190</v>
      </c>
      <c r="C25" s="261" t="s">
        <v>1551</v>
      </c>
      <c r="D25" s="261" t="s">
        <v>1035</v>
      </c>
      <c r="E25" s="263" t="s">
        <v>1070</v>
      </c>
      <c r="F25" s="261" t="s">
        <v>1727</v>
      </c>
      <c r="G25" s="262">
        <v>210</v>
      </c>
      <c r="H25" s="262">
        <v>8192887.5</v>
      </c>
      <c r="I25" s="262">
        <v>3321389.6100000003</v>
      </c>
      <c r="J25" s="261" t="s">
        <v>1575</v>
      </c>
      <c r="K25" s="261" t="s">
        <v>1863</v>
      </c>
    </row>
    <row r="26" spans="1:11" x14ac:dyDescent="0.25">
      <c r="A26" s="261" t="s">
        <v>987</v>
      </c>
      <c r="B26" s="261" t="s">
        <v>1192</v>
      </c>
      <c r="C26" s="261" t="s">
        <v>1551</v>
      </c>
      <c r="D26" s="261" t="s">
        <v>1035</v>
      </c>
      <c r="E26" s="263" t="s">
        <v>1070</v>
      </c>
      <c r="F26" s="261" t="s">
        <v>1727</v>
      </c>
      <c r="G26" s="262">
        <v>119.94</v>
      </c>
      <c r="H26" s="262">
        <v>793103.24999999988</v>
      </c>
      <c r="I26" s="262">
        <v>517360.35042000003</v>
      </c>
      <c r="J26" s="261" t="s">
        <v>1575</v>
      </c>
      <c r="K26" s="261" t="s">
        <v>1863</v>
      </c>
    </row>
    <row r="27" spans="1:11" x14ac:dyDescent="0.25">
      <c r="A27" s="261" t="s">
        <v>987</v>
      </c>
      <c r="B27" s="261" t="s">
        <v>1196</v>
      </c>
      <c r="C27" s="261" t="s">
        <v>1552</v>
      </c>
      <c r="D27" s="261" t="s">
        <v>1032</v>
      </c>
      <c r="E27" s="263" t="s">
        <v>1070</v>
      </c>
      <c r="F27" s="261" t="s">
        <v>1727</v>
      </c>
      <c r="G27" s="262">
        <v>6.6</v>
      </c>
      <c r="H27" s="262">
        <v>1047420</v>
      </c>
      <c r="I27" s="262">
        <v>363771.24300000002</v>
      </c>
      <c r="J27" s="261" t="s">
        <v>1575</v>
      </c>
      <c r="K27" s="261" t="s">
        <v>1863</v>
      </c>
    </row>
    <row r="28" spans="1:11" x14ac:dyDescent="0.25">
      <c r="A28" s="261" t="s">
        <v>987</v>
      </c>
      <c r="B28" s="261" t="s">
        <v>1196</v>
      </c>
      <c r="C28" s="261" t="s">
        <v>1552</v>
      </c>
      <c r="D28" s="261" t="s">
        <v>1032</v>
      </c>
      <c r="E28" s="263" t="s">
        <v>1070</v>
      </c>
      <c r="F28" s="261" t="s">
        <v>1727</v>
      </c>
      <c r="G28" s="262">
        <v>0.96</v>
      </c>
      <c r="H28" s="262">
        <v>152352</v>
      </c>
      <c r="I28" s="262">
        <v>52912.180800000002</v>
      </c>
      <c r="J28" s="261" t="s">
        <v>1575</v>
      </c>
      <c r="K28" s="261" t="s">
        <v>1863</v>
      </c>
    </row>
    <row r="29" spans="1:11" x14ac:dyDescent="0.25">
      <c r="A29" s="261" t="s">
        <v>987</v>
      </c>
      <c r="B29" s="261" t="s">
        <v>1196</v>
      </c>
      <c r="C29" s="261" t="s">
        <v>1552</v>
      </c>
      <c r="D29" s="261" t="s">
        <v>1032</v>
      </c>
      <c r="E29" s="263" t="s">
        <v>1070</v>
      </c>
      <c r="F29" s="261" t="s">
        <v>1727</v>
      </c>
      <c r="G29" s="262">
        <v>5.28</v>
      </c>
      <c r="H29" s="262">
        <v>837936</v>
      </c>
      <c r="I29" s="262">
        <v>291016.99440000003</v>
      </c>
      <c r="J29" s="261" t="s">
        <v>1575</v>
      </c>
      <c r="K29" s="261" t="s">
        <v>1863</v>
      </c>
    </row>
    <row r="30" spans="1:11" x14ac:dyDescent="0.25">
      <c r="A30" s="261" t="s">
        <v>987</v>
      </c>
      <c r="B30" s="261" t="s">
        <v>1219</v>
      </c>
      <c r="C30" s="261" t="s">
        <v>1553</v>
      </c>
      <c r="D30" s="261" t="s">
        <v>1032</v>
      </c>
      <c r="E30" s="263" t="s">
        <v>1070</v>
      </c>
      <c r="F30" s="261" t="s">
        <v>1727</v>
      </c>
      <c r="G30" s="262">
        <v>2.94</v>
      </c>
      <c r="H30" s="262">
        <v>1166444.9999999998</v>
      </c>
      <c r="I30" s="262">
        <v>190225.04130000001</v>
      </c>
      <c r="J30" s="261" t="s">
        <v>1575</v>
      </c>
      <c r="K30" s="261" t="s">
        <v>1863</v>
      </c>
    </row>
    <row r="31" spans="1:11" x14ac:dyDescent="0.25">
      <c r="A31" s="261" t="s">
        <v>987</v>
      </c>
      <c r="B31" s="261" t="s">
        <v>1225</v>
      </c>
      <c r="C31" s="261" t="s">
        <v>1553</v>
      </c>
      <c r="D31" s="261" t="s">
        <v>1032</v>
      </c>
      <c r="E31" s="263" t="s">
        <v>1070</v>
      </c>
      <c r="F31" s="261" t="s">
        <v>1727</v>
      </c>
      <c r="G31" s="262">
        <v>2.25</v>
      </c>
      <c r="H31" s="262">
        <v>1041468.7499999999</v>
      </c>
      <c r="I31" s="262">
        <v>167147.85375000001</v>
      </c>
      <c r="J31" s="261" t="s">
        <v>1575</v>
      </c>
      <c r="K31" s="261" t="s">
        <v>1863</v>
      </c>
    </row>
    <row r="32" spans="1:11" x14ac:dyDescent="0.25">
      <c r="A32" s="261" t="s">
        <v>987</v>
      </c>
      <c r="B32" s="261" t="s">
        <v>1223</v>
      </c>
      <c r="C32" s="261" t="s">
        <v>1553</v>
      </c>
      <c r="D32" s="261" t="s">
        <v>1032</v>
      </c>
      <c r="E32" s="263" t="s">
        <v>1070</v>
      </c>
      <c r="F32" s="261" t="s">
        <v>1727</v>
      </c>
      <c r="G32" s="262">
        <v>2.25</v>
      </c>
      <c r="H32" s="262">
        <v>1041468.7499999999</v>
      </c>
      <c r="I32" s="262">
        <v>167147.85375000001</v>
      </c>
      <c r="J32" s="261" t="s">
        <v>1575</v>
      </c>
      <c r="K32" s="261" t="s">
        <v>1863</v>
      </c>
    </row>
    <row r="33" spans="1:11" x14ac:dyDescent="0.25">
      <c r="A33" s="261" t="s">
        <v>987</v>
      </c>
      <c r="B33" s="261" t="s">
        <v>1196</v>
      </c>
      <c r="C33" s="261" t="s">
        <v>1552</v>
      </c>
      <c r="D33" s="261" t="s">
        <v>1032</v>
      </c>
      <c r="E33" s="263" t="s">
        <v>1070</v>
      </c>
      <c r="F33" s="261" t="s">
        <v>1727</v>
      </c>
      <c r="G33" s="262">
        <v>11.88</v>
      </c>
      <c r="H33" s="262">
        <v>1885356.0000000002</v>
      </c>
      <c r="I33" s="262">
        <v>654788.2374000001</v>
      </c>
      <c r="J33" s="261" t="s">
        <v>1575</v>
      </c>
      <c r="K33" s="261" t="s">
        <v>1863</v>
      </c>
    </row>
    <row r="34" spans="1:11" x14ac:dyDescent="0.25">
      <c r="A34" s="261" t="s">
        <v>987</v>
      </c>
      <c r="B34" s="261" t="s">
        <v>1221</v>
      </c>
      <c r="C34" s="261" t="s">
        <v>1553</v>
      </c>
      <c r="D34" s="261" t="s">
        <v>1032</v>
      </c>
      <c r="E34" s="263" t="s">
        <v>1070</v>
      </c>
      <c r="F34" s="261" t="s">
        <v>1727</v>
      </c>
      <c r="G34" s="262">
        <v>2.94</v>
      </c>
      <c r="H34" s="262">
        <v>1360852.4999999998</v>
      </c>
      <c r="I34" s="262">
        <v>218406.52889999998</v>
      </c>
      <c r="J34" s="261" t="s">
        <v>1575</v>
      </c>
      <c r="K34" s="261" t="s">
        <v>1863</v>
      </c>
    </row>
    <row r="35" spans="1:11" x14ac:dyDescent="0.25">
      <c r="A35" s="261" t="s">
        <v>987</v>
      </c>
      <c r="B35" s="261" t="s">
        <v>1186</v>
      </c>
      <c r="C35" s="261" t="s">
        <v>1549</v>
      </c>
      <c r="D35" s="261" t="s">
        <v>1042</v>
      </c>
      <c r="E35" s="263" t="s">
        <v>1070</v>
      </c>
      <c r="F35" s="261" t="s">
        <v>1766</v>
      </c>
      <c r="G35" s="262">
        <v>101.1</v>
      </c>
      <c r="H35" s="262">
        <v>1004645.8649999999</v>
      </c>
      <c r="I35" s="262">
        <v>484549.04700000002</v>
      </c>
      <c r="J35" s="261" t="s">
        <v>1575</v>
      </c>
      <c r="K35" s="261" t="s">
        <v>1862</v>
      </c>
    </row>
    <row r="36" spans="1:11" x14ac:dyDescent="0.25">
      <c r="A36" s="261" t="s">
        <v>987</v>
      </c>
      <c r="B36" s="261" t="s">
        <v>1183</v>
      </c>
      <c r="C36" s="261" t="s">
        <v>1549</v>
      </c>
      <c r="D36" s="261" t="s">
        <v>1042</v>
      </c>
      <c r="E36" s="263" t="s">
        <v>1070</v>
      </c>
      <c r="F36" s="261" t="s">
        <v>1766</v>
      </c>
      <c r="G36" s="262">
        <v>231</v>
      </c>
      <c r="H36" s="262">
        <v>3132810.4499999997</v>
      </c>
      <c r="I36" s="262">
        <v>4280781.1662000008</v>
      </c>
      <c r="J36" s="261" t="s">
        <v>1574</v>
      </c>
      <c r="K36" s="261" t="s">
        <v>1862</v>
      </c>
    </row>
    <row r="37" spans="1:11" x14ac:dyDescent="0.25">
      <c r="A37" s="261" t="s">
        <v>987</v>
      </c>
      <c r="B37" s="261" t="s">
        <v>1184</v>
      </c>
      <c r="C37" s="261" t="s">
        <v>1549</v>
      </c>
      <c r="D37" s="261" t="s">
        <v>1042</v>
      </c>
      <c r="E37" s="263" t="s">
        <v>1070</v>
      </c>
      <c r="F37" s="261" t="s">
        <v>1766</v>
      </c>
      <c r="G37" s="262">
        <v>231</v>
      </c>
      <c r="H37" s="262">
        <v>4589369.3999999994</v>
      </c>
      <c r="I37" s="262">
        <v>1660694.8050000002</v>
      </c>
      <c r="J37" s="261" t="s">
        <v>1575</v>
      </c>
      <c r="K37" s="261" t="s">
        <v>1862</v>
      </c>
    </row>
    <row r="38" spans="1:11" x14ac:dyDescent="0.25">
      <c r="A38" s="261" t="s">
        <v>987</v>
      </c>
      <c r="B38" s="261" t="s">
        <v>1219</v>
      </c>
      <c r="C38" s="261" t="s">
        <v>1553</v>
      </c>
      <c r="D38" s="261" t="s">
        <v>1032</v>
      </c>
      <c r="E38" s="263" t="s">
        <v>1068</v>
      </c>
      <c r="F38" s="261" t="s">
        <v>1762</v>
      </c>
      <c r="G38" s="262">
        <v>3.36</v>
      </c>
      <c r="H38" s="262">
        <v>1333079.9999999998</v>
      </c>
      <c r="I38" s="262">
        <v>217400.0472</v>
      </c>
      <c r="J38" s="261" t="s">
        <v>1575</v>
      </c>
      <c r="K38" s="261" t="s">
        <v>1858</v>
      </c>
    </row>
    <row r="39" spans="1:11" x14ac:dyDescent="0.25">
      <c r="A39" s="261" t="s">
        <v>987</v>
      </c>
      <c r="B39" s="261" t="s">
        <v>1221</v>
      </c>
      <c r="C39" s="261" t="s">
        <v>1553</v>
      </c>
      <c r="D39" s="261" t="s">
        <v>1032</v>
      </c>
      <c r="E39" s="263" t="s">
        <v>1068</v>
      </c>
      <c r="F39" s="261" t="s">
        <v>1762</v>
      </c>
      <c r="G39" s="262">
        <v>3.36</v>
      </c>
      <c r="H39" s="262">
        <v>1555259.9999999998</v>
      </c>
      <c r="I39" s="262">
        <v>249607.46159999998</v>
      </c>
      <c r="J39" s="261" t="s">
        <v>1575</v>
      </c>
      <c r="K39" s="261" t="s">
        <v>1858</v>
      </c>
    </row>
    <row r="40" spans="1:11" x14ac:dyDescent="0.25">
      <c r="A40" s="261" t="s">
        <v>987</v>
      </c>
      <c r="B40" s="261" t="s">
        <v>1167</v>
      </c>
      <c r="C40" s="261" t="s">
        <v>1558</v>
      </c>
      <c r="D40" s="261" t="s">
        <v>1046</v>
      </c>
      <c r="E40" s="263" t="s">
        <v>1068</v>
      </c>
      <c r="F40" s="261" t="s">
        <v>1762</v>
      </c>
      <c r="G40" s="262">
        <v>21.9</v>
      </c>
      <c r="H40" s="262">
        <v>4764372.3749999991</v>
      </c>
      <c r="I40" s="262"/>
      <c r="J40" s="261" t="s">
        <v>1574</v>
      </c>
      <c r="K40" s="261" t="s">
        <v>1858</v>
      </c>
    </row>
    <row r="41" spans="1:11" x14ac:dyDescent="0.25">
      <c r="A41" s="261" t="s">
        <v>987</v>
      </c>
      <c r="B41" s="261" t="s">
        <v>1426</v>
      </c>
      <c r="C41" s="261" t="s">
        <v>1822</v>
      </c>
      <c r="D41" s="261" t="s">
        <v>1011</v>
      </c>
      <c r="E41" s="263" t="s">
        <v>1068</v>
      </c>
      <c r="F41" s="261" t="s">
        <v>1762</v>
      </c>
      <c r="G41" s="262">
        <v>182</v>
      </c>
      <c r="H41" s="262">
        <v>4813899.9999999991</v>
      </c>
      <c r="I41" s="262"/>
      <c r="J41" s="261" t="s">
        <v>1574</v>
      </c>
      <c r="K41" s="261" t="s">
        <v>1858</v>
      </c>
    </row>
    <row r="42" spans="1:11" x14ac:dyDescent="0.25">
      <c r="A42" s="261" t="s">
        <v>987</v>
      </c>
      <c r="B42" s="261" t="s">
        <v>1428</v>
      </c>
      <c r="C42" s="261" t="s">
        <v>1822</v>
      </c>
      <c r="D42" s="261" t="s">
        <v>1011</v>
      </c>
      <c r="E42" s="263" t="s">
        <v>1068</v>
      </c>
      <c r="F42" s="261" t="s">
        <v>1762</v>
      </c>
      <c r="G42" s="262">
        <v>172.84</v>
      </c>
      <c r="H42" s="262">
        <v>1142904.4999999998</v>
      </c>
      <c r="I42" s="262"/>
      <c r="J42" s="261" t="s">
        <v>1574</v>
      </c>
      <c r="K42" s="261" t="s">
        <v>1858</v>
      </c>
    </row>
    <row r="43" spans="1:11" x14ac:dyDescent="0.25">
      <c r="A43" s="261" t="s">
        <v>987</v>
      </c>
      <c r="B43" s="261" t="s">
        <v>1436</v>
      </c>
      <c r="C43" s="261" t="s">
        <v>1824</v>
      </c>
      <c r="D43" s="261" t="s">
        <v>1005</v>
      </c>
      <c r="E43" s="263" t="s">
        <v>1068</v>
      </c>
      <c r="F43" s="261" t="s">
        <v>1762</v>
      </c>
      <c r="G43" s="262">
        <v>415.08</v>
      </c>
      <c r="H43" s="262">
        <v>274471.64999999997</v>
      </c>
      <c r="I43" s="262">
        <v>375047.60940000002</v>
      </c>
      <c r="J43" s="261" t="s">
        <v>1574</v>
      </c>
      <c r="K43" s="261" t="s">
        <v>1858</v>
      </c>
    </row>
    <row r="44" spans="1:11" x14ac:dyDescent="0.25">
      <c r="A44" s="261" t="s">
        <v>987</v>
      </c>
      <c r="B44" s="261" t="s">
        <v>1439</v>
      </c>
      <c r="C44" s="261" t="s">
        <v>1824</v>
      </c>
      <c r="D44" s="261" t="s">
        <v>1005</v>
      </c>
      <c r="E44" s="263" t="s">
        <v>1068</v>
      </c>
      <c r="F44" s="261" t="s">
        <v>1762</v>
      </c>
      <c r="G44" s="262">
        <v>415.08</v>
      </c>
      <c r="H44" s="262">
        <v>3019188.1499999994</v>
      </c>
      <c r="I44" s="262">
        <v>4125523.7034000005</v>
      </c>
      <c r="J44" s="261" t="s">
        <v>1574</v>
      </c>
      <c r="K44" s="261" t="s">
        <v>1858</v>
      </c>
    </row>
    <row r="45" spans="1:11" x14ac:dyDescent="0.25">
      <c r="A45" s="261" t="s">
        <v>987</v>
      </c>
      <c r="B45" s="261" t="s">
        <v>1168</v>
      </c>
      <c r="C45" s="261" t="s">
        <v>1558</v>
      </c>
      <c r="D45" s="261" t="s">
        <v>1046</v>
      </c>
      <c r="E45" s="263" t="s">
        <v>1068</v>
      </c>
      <c r="F45" s="261" t="s">
        <v>1762</v>
      </c>
      <c r="G45" s="262">
        <v>101.18</v>
      </c>
      <c r="H45" s="262">
        <v>669052.75</v>
      </c>
      <c r="I45" s="262"/>
      <c r="J45" s="261" t="s">
        <v>1574</v>
      </c>
      <c r="K45" s="261" t="s">
        <v>1858</v>
      </c>
    </row>
    <row r="46" spans="1:11" x14ac:dyDescent="0.25">
      <c r="A46" s="261" t="s">
        <v>987</v>
      </c>
      <c r="B46" s="261" t="s">
        <v>1169</v>
      </c>
      <c r="C46" s="261" t="s">
        <v>1558</v>
      </c>
      <c r="D46" s="261" t="s">
        <v>1046</v>
      </c>
      <c r="E46" s="263" t="s">
        <v>1068</v>
      </c>
      <c r="F46" s="261" t="s">
        <v>1762</v>
      </c>
      <c r="G46" s="262">
        <v>2628</v>
      </c>
      <c r="H46" s="262">
        <v>4170635.9999999995</v>
      </c>
      <c r="I46" s="262"/>
      <c r="J46" s="261" t="s">
        <v>1574</v>
      </c>
      <c r="K46" s="261" t="s">
        <v>1858</v>
      </c>
    </row>
    <row r="47" spans="1:11" x14ac:dyDescent="0.25">
      <c r="A47" s="261" t="s">
        <v>987</v>
      </c>
      <c r="B47" s="261" t="s">
        <v>1172</v>
      </c>
      <c r="C47" s="261" t="s">
        <v>1549</v>
      </c>
      <c r="D47" s="261" t="s">
        <v>1042</v>
      </c>
      <c r="E47" s="263" t="s">
        <v>1068</v>
      </c>
      <c r="F47" s="261" t="s">
        <v>1762</v>
      </c>
      <c r="G47" s="262">
        <v>24.95</v>
      </c>
      <c r="H47" s="262">
        <v>495691.62999999995</v>
      </c>
      <c r="I47" s="262"/>
      <c r="J47" s="261" t="s">
        <v>1574</v>
      </c>
      <c r="K47" s="261" t="s">
        <v>1858</v>
      </c>
    </row>
    <row r="48" spans="1:11" x14ac:dyDescent="0.25">
      <c r="A48" s="261" t="s">
        <v>987</v>
      </c>
      <c r="B48" s="261" t="s">
        <v>1217</v>
      </c>
      <c r="C48" s="261" t="s">
        <v>1553</v>
      </c>
      <c r="D48" s="261" t="s">
        <v>1032</v>
      </c>
      <c r="E48" s="263" t="s">
        <v>1068</v>
      </c>
      <c r="F48" s="261" t="s">
        <v>1762</v>
      </c>
      <c r="G48" s="262">
        <v>7</v>
      </c>
      <c r="H48" s="262">
        <v>2749477.4999999995</v>
      </c>
      <c r="I48" s="262">
        <v>385817.98500000004</v>
      </c>
      <c r="J48" s="261" t="s">
        <v>1575</v>
      </c>
      <c r="K48" s="261" t="s">
        <v>1858</v>
      </c>
    </row>
    <row r="49" spans="1:11" x14ac:dyDescent="0.25">
      <c r="A49" s="261" t="s">
        <v>987</v>
      </c>
      <c r="B49" s="261" t="s">
        <v>1175</v>
      </c>
      <c r="C49" s="261" t="s">
        <v>1549</v>
      </c>
      <c r="D49" s="261" t="s">
        <v>1042</v>
      </c>
      <c r="E49" s="263" t="s">
        <v>1068</v>
      </c>
      <c r="F49" s="261" t="s">
        <v>1762</v>
      </c>
      <c r="G49" s="262">
        <v>56.14</v>
      </c>
      <c r="H49" s="262">
        <v>557871.60100000002</v>
      </c>
      <c r="I49" s="262"/>
      <c r="J49" s="261" t="s">
        <v>1574</v>
      </c>
      <c r="K49" s="261" t="s">
        <v>1858</v>
      </c>
    </row>
    <row r="50" spans="1:11" x14ac:dyDescent="0.25">
      <c r="A50" s="261" t="s">
        <v>987</v>
      </c>
      <c r="B50" s="261" t="s">
        <v>1214</v>
      </c>
      <c r="C50" s="261" t="s">
        <v>1553</v>
      </c>
      <c r="D50" s="261" t="s">
        <v>1032</v>
      </c>
      <c r="E50" s="263" t="s">
        <v>1068</v>
      </c>
      <c r="F50" s="261" t="s">
        <v>1762</v>
      </c>
      <c r="G50" s="262">
        <v>1</v>
      </c>
      <c r="H50" s="262">
        <v>872849.99999999988</v>
      </c>
      <c r="I50" s="262">
        <v>239638.50000000003</v>
      </c>
      <c r="J50" s="261" t="s">
        <v>1575</v>
      </c>
      <c r="K50" s="261" t="s">
        <v>1858</v>
      </c>
    </row>
    <row r="51" spans="1:11" x14ac:dyDescent="0.25">
      <c r="A51" s="261" t="s">
        <v>987</v>
      </c>
      <c r="B51" s="261" t="s">
        <v>1196</v>
      </c>
      <c r="C51" s="261" t="s">
        <v>1552</v>
      </c>
      <c r="D51" s="261" t="s">
        <v>1032</v>
      </c>
      <c r="E51" s="263" t="s">
        <v>1068</v>
      </c>
      <c r="F51" s="261" t="s">
        <v>1762</v>
      </c>
      <c r="G51" s="262">
        <v>14.4</v>
      </c>
      <c r="H51" s="262">
        <v>2285280</v>
      </c>
      <c r="I51" s="262">
        <v>793682.71200000006</v>
      </c>
      <c r="J51" s="261" t="s">
        <v>1575</v>
      </c>
      <c r="K51" s="261" t="s">
        <v>1858</v>
      </c>
    </row>
    <row r="52" spans="1:11" x14ac:dyDescent="0.25">
      <c r="A52" s="261" t="s">
        <v>987</v>
      </c>
      <c r="B52" s="261" t="s">
        <v>1196</v>
      </c>
      <c r="C52" s="261" t="s">
        <v>1552</v>
      </c>
      <c r="D52" s="261" t="s">
        <v>1032</v>
      </c>
      <c r="E52" s="263" t="s">
        <v>1068</v>
      </c>
      <c r="F52" s="261" t="s">
        <v>1762</v>
      </c>
      <c r="G52" s="262">
        <v>13.2</v>
      </c>
      <c r="H52" s="262">
        <v>2094840</v>
      </c>
      <c r="I52" s="262">
        <v>727542.48600000003</v>
      </c>
      <c r="J52" s="261" t="s">
        <v>1575</v>
      </c>
      <c r="K52" s="261" t="s">
        <v>1858</v>
      </c>
    </row>
    <row r="53" spans="1:11" x14ac:dyDescent="0.25">
      <c r="A53" s="261" t="s">
        <v>987</v>
      </c>
      <c r="B53" s="261" t="s">
        <v>1196</v>
      </c>
      <c r="C53" s="261" t="s">
        <v>1552</v>
      </c>
      <c r="D53" s="261" t="s">
        <v>1032</v>
      </c>
      <c r="E53" s="263" t="s">
        <v>1068</v>
      </c>
      <c r="F53" s="261" t="s">
        <v>1762</v>
      </c>
      <c r="G53" s="262">
        <v>9</v>
      </c>
      <c r="H53" s="262">
        <v>1428300</v>
      </c>
      <c r="I53" s="262">
        <v>496051.69500000001</v>
      </c>
      <c r="J53" s="261" t="s">
        <v>1575</v>
      </c>
      <c r="K53" s="261" t="s">
        <v>1858</v>
      </c>
    </row>
    <row r="54" spans="1:11" x14ac:dyDescent="0.25">
      <c r="A54" s="261" t="s">
        <v>987</v>
      </c>
      <c r="B54" s="261" t="s">
        <v>1196</v>
      </c>
      <c r="C54" s="261" t="s">
        <v>1552</v>
      </c>
      <c r="D54" s="261" t="s">
        <v>1032</v>
      </c>
      <c r="E54" s="263" t="s">
        <v>1068</v>
      </c>
      <c r="F54" s="261" t="s">
        <v>1762</v>
      </c>
      <c r="G54" s="262">
        <v>1.2</v>
      </c>
      <c r="H54" s="262">
        <v>190440</v>
      </c>
      <c r="I54" s="262">
        <v>66140.225999999995</v>
      </c>
      <c r="J54" s="261" t="s">
        <v>1575</v>
      </c>
      <c r="K54" s="261" t="s">
        <v>1858</v>
      </c>
    </row>
    <row r="55" spans="1:11" x14ac:dyDescent="0.25">
      <c r="A55" s="261" t="s">
        <v>987</v>
      </c>
      <c r="B55" s="261" t="s">
        <v>1196</v>
      </c>
      <c r="C55" s="261" t="s">
        <v>1552</v>
      </c>
      <c r="D55" s="261" t="s">
        <v>1032</v>
      </c>
      <c r="E55" s="263" t="s">
        <v>1068</v>
      </c>
      <c r="F55" s="261" t="s">
        <v>1762</v>
      </c>
      <c r="G55" s="262">
        <v>2.16</v>
      </c>
      <c r="H55" s="262">
        <v>342792</v>
      </c>
      <c r="I55" s="262">
        <v>119052.40680000001</v>
      </c>
      <c r="J55" s="261" t="s">
        <v>1575</v>
      </c>
      <c r="K55" s="261" t="s">
        <v>1858</v>
      </c>
    </row>
    <row r="56" spans="1:11" x14ac:dyDescent="0.25">
      <c r="A56" s="261" t="s">
        <v>987</v>
      </c>
      <c r="B56" s="261" t="s">
        <v>1196</v>
      </c>
      <c r="C56" s="261" t="s">
        <v>1552</v>
      </c>
      <c r="D56" s="261" t="s">
        <v>1032</v>
      </c>
      <c r="E56" s="263" t="s">
        <v>1068</v>
      </c>
      <c r="F56" s="261" t="s">
        <v>1762</v>
      </c>
      <c r="G56" s="262">
        <v>13.2</v>
      </c>
      <c r="H56" s="262">
        <v>2094840</v>
      </c>
      <c r="I56" s="262">
        <v>727542.48600000003</v>
      </c>
      <c r="J56" s="261" t="s">
        <v>1575</v>
      </c>
      <c r="K56" s="261" t="s">
        <v>1858</v>
      </c>
    </row>
    <row r="57" spans="1:11" x14ac:dyDescent="0.25">
      <c r="A57" s="261" t="s">
        <v>987</v>
      </c>
      <c r="B57" s="261" t="s">
        <v>1214</v>
      </c>
      <c r="C57" s="261" t="s">
        <v>1553</v>
      </c>
      <c r="D57" s="261" t="s">
        <v>1032</v>
      </c>
      <c r="E57" s="263" t="s">
        <v>1068</v>
      </c>
      <c r="F57" s="261" t="s">
        <v>1762</v>
      </c>
      <c r="G57" s="262">
        <v>2</v>
      </c>
      <c r="H57" s="262">
        <v>1745699.9999999998</v>
      </c>
      <c r="I57" s="262">
        <v>479277.00000000006</v>
      </c>
      <c r="J57" s="261" t="s">
        <v>1575</v>
      </c>
      <c r="K57" s="261" t="s">
        <v>1858</v>
      </c>
    </row>
    <row r="58" spans="1:11" x14ac:dyDescent="0.25">
      <c r="A58" s="261" t="s">
        <v>987</v>
      </c>
      <c r="B58" s="261" t="s">
        <v>1199</v>
      </c>
      <c r="C58" s="261" t="s">
        <v>1552</v>
      </c>
      <c r="D58" s="261" t="s">
        <v>1032</v>
      </c>
      <c r="E58" s="263" t="s">
        <v>1068</v>
      </c>
      <c r="F58" s="261" t="s">
        <v>1762</v>
      </c>
      <c r="G58" s="262">
        <v>45.22</v>
      </c>
      <c r="H58" s="262">
        <v>7176414</v>
      </c>
      <c r="I58" s="262">
        <v>1842197.0049000003</v>
      </c>
      <c r="J58" s="261" t="s">
        <v>1575</v>
      </c>
      <c r="K58" s="261" t="s">
        <v>1858</v>
      </c>
    </row>
    <row r="59" spans="1:11" x14ac:dyDescent="0.25">
      <c r="A59" s="261" t="s">
        <v>987</v>
      </c>
      <c r="B59" s="261" t="s">
        <v>1441</v>
      </c>
      <c r="C59" s="261" t="s">
        <v>1824</v>
      </c>
      <c r="D59" s="261" t="s">
        <v>1005</v>
      </c>
      <c r="E59" s="263" t="s">
        <v>1068</v>
      </c>
      <c r="F59" s="261" t="s">
        <v>1762</v>
      </c>
      <c r="G59" s="262">
        <v>182</v>
      </c>
      <c r="H59" s="262">
        <v>120347.5</v>
      </c>
      <c r="I59" s="262">
        <v>164447.01</v>
      </c>
      <c r="J59" s="261" t="s">
        <v>1574</v>
      </c>
      <c r="K59" s="261" t="s">
        <v>1858</v>
      </c>
    </row>
    <row r="60" spans="1:11" x14ac:dyDescent="0.25">
      <c r="A60" s="261" t="s">
        <v>987</v>
      </c>
      <c r="B60" s="261" t="s">
        <v>1170</v>
      </c>
      <c r="C60" s="261" t="s">
        <v>1558</v>
      </c>
      <c r="D60" s="261" t="s">
        <v>1046</v>
      </c>
      <c r="E60" s="263" t="s">
        <v>1068</v>
      </c>
      <c r="F60" s="261" t="s">
        <v>1762</v>
      </c>
      <c r="G60" s="262">
        <v>1</v>
      </c>
      <c r="H60" s="262">
        <v>2695797.8</v>
      </c>
      <c r="I60" s="262"/>
      <c r="J60" s="261" t="s">
        <v>1574</v>
      </c>
      <c r="K60" s="261" t="s">
        <v>1858</v>
      </c>
    </row>
    <row r="61" spans="1:11" x14ac:dyDescent="0.25">
      <c r="A61" s="261" t="s">
        <v>987</v>
      </c>
      <c r="B61" s="261" t="s">
        <v>1192</v>
      </c>
      <c r="C61" s="261" t="s">
        <v>1551</v>
      </c>
      <c r="D61" s="261" t="s">
        <v>1035</v>
      </c>
      <c r="E61" s="263" t="s">
        <v>1068</v>
      </c>
      <c r="F61" s="261" t="s">
        <v>1762</v>
      </c>
      <c r="G61" s="262">
        <v>300.82</v>
      </c>
      <c r="H61" s="262">
        <v>1989172.2499999998</v>
      </c>
      <c r="I61" s="262">
        <v>1297584.96426</v>
      </c>
      <c r="J61" s="261" t="s">
        <v>1575</v>
      </c>
      <c r="K61" s="261" t="s">
        <v>1858</v>
      </c>
    </row>
    <row r="62" spans="1:11" x14ac:dyDescent="0.25">
      <c r="A62" s="261" t="s">
        <v>987</v>
      </c>
      <c r="B62" s="261" t="s">
        <v>1442</v>
      </c>
      <c r="C62" s="261" t="s">
        <v>1824</v>
      </c>
      <c r="D62" s="261" t="s">
        <v>1005</v>
      </c>
      <c r="E62" s="263" t="s">
        <v>1068</v>
      </c>
      <c r="F62" s="261" t="s">
        <v>1762</v>
      </c>
      <c r="G62" s="262">
        <v>182</v>
      </c>
      <c r="H62" s="262">
        <v>1323822.4999999998</v>
      </c>
      <c r="I62" s="262">
        <v>1808917.1100000003</v>
      </c>
      <c r="J62" s="261" t="s">
        <v>1574</v>
      </c>
      <c r="K62" s="261" t="s">
        <v>1858</v>
      </c>
    </row>
    <row r="63" spans="1:11" x14ac:dyDescent="0.25">
      <c r="A63" s="261" t="s">
        <v>987</v>
      </c>
      <c r="B63" s="261" t="s">
        <v>1183</v>
      </c>
      <c r="C63" s="261" t="s">
        <v>1549</v>
      </c>
      <c r="D63" s="261" t="s">
        <v>1042</v>
      </c>
      <c r="E63" s="263" t="s">
        <v>1068</v>
      </c>
      <c r="F63" s="261" t="s">
        <v>1762</v>
      </c>
      <c r="G63" s="262">
        <v>56.75</v>
      </c>
      <c r="H63" s="262">
        <v>769640.66249999998</v>
      </c>
      <c r="I63" s="262">
        <v>1051663.7713500001</v>
      </c>
      <c r="J63" s="261" t="s">
        <v>1574</v>
      </c>
      <c r="K63" s="261" t="s">
        <v>1858</v>
      </c>
    </row>
    <row r="64" spans="1:11" x14ac:dyDescent="0.25">
      <c r="A64" s="261" t="s">
        <v>987</v>
      </c>
      <c r="B64" s="261" t="s">
        <v>1187</v>
      </c>
      <c r="C64" s="261" t="s">
        <v>1551</v>
      </c>
      <c r="D64" s="261" t="s">
        <v>1035</v>
      </c>
      <c r="E64" s="263" t="s">
        <v>1068</v>
      </c>
      <c r="F64" s="261" t="s">
        <v>1762</v>
      </c>
      <c r="G64" s="262">
        <v>162.06</v>
      </c>
      <c r="H64" s="262">
        <v>5250946.5749999993</v>
      </c>
      <c r="I64" s="262">
        <v>1398089.3511600001</v>
      </c>
      <c r="J64" s="261" t="s">
        <v>1575</v>
      </c>
      <c r="K64" s="261" t="s">
        <v>1858</v>
      </c>
    </row>
    <row r="65" spans="1:11" x14ac:dyDescent="0.25">
      <c r="A65" s="261" t="s">
        <v>987</v>
      </c>
      <c r="B65" s="261" t="s">
        <v>1190</v>
      </c>
      <c r="C65" s="261" t="s">
        <v>1551</v>
      </c>
      <c r="D65" s="261" t="s">
        <v>1035</v>
      </c>
      <c r="E65" s="263" t="s">
        <v>1068</v>
      </c>
      <c r="F65" s="261" t="s">
        <v>1762</v>
      </c>
      <c r="G65" s="262">
        <v>557</v>
      </c>
      <c r="H65" s="262">
        <v>21730658.75</v>
      </c>
      <c r="I65" s="262">
        <v>8809590.5370000005</v>
      </c>
      <c r="J65" s="261" t="s">
        <v>1575</v>
      </c>
      <c r="K65" s="261" t="s">
        <v>1858</v>
      </c>
    </row>
    <row r="66" spans="1:11" x14ac:dyDescent="0.25">
      <c r="A66" s="261" t="s">
        <v>987</v>
      </c>
      <c r="B66" s="261" t="s">
        <v>1186</v>
      </c>
      <c r="C66" s="261" t="s">
        <v>1549</v>
      </c>
      <c r="D66" s="261" t="s">
        <v>1042</v>
      </c>
      <c r="E66" s="263" t="s">
        <v>1068</v>
      </c>
      <c r="F66" s="261" t="s">
        <v>1762</v>
      </c>
      <c r="G66" s="262">
        <v>36</v>
      </c>
      <c r="H66" s="262">
        <v>357737.39999999997</v>
      </c>
      <c r="I66" s="262">
        <v>172539.72000000003</v>
      </c>
      <c r="J66" s="261" t="s">
        <v>1575</v>
      </c>
      <c r="K66" s="261" t="s">
        <v>1858</v>
      </c>
    </row>
    <row r="67" spans="1:11" x14ac:dyDescent="0.25">
      <c r="A67" s="261" t="s">
        <v>987</v>
      </c>
      <c r="B67" s="261" t="s">
        <v>1184</v>
      </c>
      <c r="C67" s="261" t="s">
        <v>1549</v>
      </c>
      <c r="D67" s="261" t="s">
        <v>1042</v>
      </c>
      <c r="E67" s="263" t="s">
        <v>1068</v>
      </c>
      <c r="F67" s="261" t="s">
        <v>1762</v>
      </c>
      <c r="G67" s="262">
        <v>56.75</v>
      </c>
      <c r="H67" s="262">
        <v>1127474.95</v>
      </c>
      <c r="I67" s="262">
        <v>407984.54625000001</v>
      </c>
      <c r="J67" s="261" t="s">
        <v>1575</v>
      </c>
      <c r="K67" s="261" t="s">
        <v>1858</v>
      </c>
    </row>
    <row r="68" spans="1:11" x14ac:dyDescent="0.25">
      <c r="A68" s="261" t="s">
        <v>987</v>
      </c>
      <c r="B68" s="261" t="s">
        <v>1182</v>
      </c>
      <c r="C68" s="261" t="s">
        <v>1549</v>
      </c>
      <c r="D68" s="261" t="s">
        <v>1042</v>
      </c>
      <c r="E68" s="263" t="s">
        <v>1068</v>
      </c>
      <c r="F68" s="261" t="s">
        <v>1762</v>
      </c>
      <c r="G68" s="262">
        <v>120</v>
      </c>
      <c r="H68" s="262">
        <v>1192458</v>
      </c>
      <c r="I68" s="262">
        <v>575132.4</v>
      </c>
      <c r="J68" s="261" t="s">
        <v>1575</v>
      </c>
      <c r="K68" s="261" t="s">
        <v>1858</v>
      </c>
    </row>
    <row r="69" spans="1:11" x14ac:dyDescent="0.25">
      <c r="A69" s="261" t="s">
        <v>987</v>
      </c>
      <c r="B69" s="261" t="s">
        <v>1180</v>
      </c>
      <c r="C69" s="261" t="s">
        <v>1549</v>
      </c>
      <c r="D69" s="261" t="s">
        <v>1042</v>
      </c>
      <c r="E69" s="263" t="s">
        <v>1068</v>
      </c>
      <c r="F69" s="261" t="s">
        <v>1762</v>
      </c>
      <c r="G69" s="262">
        <v>320</v>
      </c>
      <c r="H69" s="262">
        <v>12715135.999999998</v>
      </c>
      <c r="I69" s="262">
        <v>3067372.8000000003</v>
      </c>
      <c r="J69" s="261" t="s">
        <v>1575</v>
      </c>
      <c r="K69" s="261" t="s">
        <v>1858</v>
      </c>
    </row>
    <row r="70" spans="1:11" x14ac:dyDescent="0.25">
      <c r="A70" s="261" t="s">
        <v>987</v>
      </c>
      <c r="B70" s="261" t="s">
        <v>1178</v>
      </c>
      <c r="C70" s="261" t="s">
        <v>1549</v>
      </c>
      <c r="D70" s="261" t="s">
        <v>1042</v>
      </c>
      <c r="E70" s="263" t="s">
        <v>1068</v>
      </c>
      <c r="F70" s="261" t="s">
        <v>1762</v>
      </c>
      <c r="G70" s="262">
        <v>320</v>
      </c>
      <c r="H70" s="262">
        <v>4339824</v>
      </c>
      <c r="I70" s="262">
        <v>5930086.4640000006</v>
      </c>
      <c r="J70" s="261" t="s">
        <v>1574</v>
      </c>
      <c r="K70" s="261" t="s">
        <v>1858</v>
      </c>
    </row>
    <row r="71" spans="1:11" x14ac:dyDescent="0.25">
      <c r="A71" s="261" t="s">
        <v>987</v>
      </c>
      <c r="B71" s="261" t="s">
        <v>1175</v>
      </c>
      <c r="C71" s="261" t="s">
        <v>1549</v>
      </c>
      <c r="D71" s="261" t="s">
        <v>1042</v>
      </c>
      <c r="E71" s="263" t="s">
        <v>1068</v>
      </c>
      <c r="F71" s="261" t="s">
        <v>1765</v>
      </c>
      <c r="G71" s="262">
        <v>89.96</v>
      </c>
      <c r="H71" s="262">
        <v>893946.01399999985</v>
      </c>
      <c r="I71" s="262"/>
      <c r="J71" s="261" t="s">
        <v>1574</v>
      </c>
      <c r="K71" s="261" t="s">
        <v>1860</v>
      </c>
    </row>
    <row r="72" spans="1:11" x14ac:dyDescent="0.25">
      <c r="A72" s="261" t="s">
        <v>987</v>
      </c>
      <c r="B72" s="261" t="s">
        <v>1172</v>
      </c>
      <c r="C72" s="261" t="s">
        <v>1549</v>
      </c>
      <c r="D72" s="261" t="s">
        <v>1042</v>
      </c>
      <c r="E72" s="263" t="s">
        <v>1068</v>
      </c>
      <c r="F72" s="261" t="s">
        <v>1765</v>
      </c>
      <c r="G72" s="262">
        <v>55.52</v>
      </c>
      <c r="H72" s="262">
        <v>1103038.048</v>
      </c>
      <c r="I72" s="262"/>
      <c r="J72" s="261" t="s">
        <v>1574</v>
      </c>
      <c r="K72" s="261" t="s">
        <v>1860</v>
      </c>
    </row>
    <row r="73" spans="1:11" x14ac:dyDescent="0.25">
      <c r="A73" s="261" t="s">
        <v>987</v>
      </c>
      <c r="B73" s="261" t="s">
        <v>1187</v>
      </c>
      <c r="C73" s="261" t="s">
        <v>1551</v>
      </c>
      <c r="D73" s="261" t="s">
        <v>1035</v>
      </c>
      <c r="E73" s="263" t="s">
        <v>1068</v>
      </c>
      <c r="F73" s="261" t="s">
        <v>1765</v>
      </c>
      <c r="G73" s="262">
        <v>99.33</v>
      </c>
      <c r="H73" s="262">
        <v>3218416.1624999996</v>
      </c>
      <c r="I73" s="262">
        <v>856918.51938000007</v>
      </c>
      <c r="J73" s="261" t="s">
        <v>1575</v>
      </c>
      <c r="K73" s="261" t="s">
        <v>1860</v>
      </c>
    </row>
    <row r="74" spans="1:11" x14ac:dyDescent="0.25">
      <c r="A74" s="261" t="s">
        <v>987</v>
      </c>
      <c r="B74" s="261" t="s">
        <v>1196</v>
      </c>
      <c r="C74" s="261" t="s">
        <v>1552</v>
      </c>
      <c r="D74" s="261" t="s">
        <v>1032</v>
      </c>
      <c r="E74" s="263" t="s">
        <v>1068</v>
      </c>
      <c r="F74" s="261" t="s">
        <v>1765</v>
      </c>
      <c r="G74" s="262">
        <v>7.2</v>
      </c>
      <c r="H74" s="262">
        <v>1142640</v>
      </c>
      <c r="I74" s="262">
        <v>396841.35600000003</v>
      </c>
      <c r="J74" s="261" t="s">
        <v>1575</v>
      </c>
      <c r="K74" s="261" t="s">
        <v>1860</v>
      </c>
    </row>
    <row r="75" spans="1:11" x14ac:dyDescent="0.25">
      <c r="A75" s="261" t="s">
        <v>987</v>
      </c>
      <c r="B75" s="261" t="s">
        <v>1196</v>
      </c>
      <c r="C75" s="261" t="s">
        <v>1552</v>
      </c>
      <c r="D75" s="261" t="s">
        <v>1032</v>
      </c>
      <c r="E75" s="263" t="s">
        <v>1068</v>
      </c>
      <c r="F75" s="261" t="s">
        <v>1765</v>
      </c>
      <c r="G75" s="262">
        <v>5.4</v>
      </c>
      <c r="H75" s="262">
        <v>856980</v>
      </c>
      <c r="I75" s="262">
        <v>297631.01700000005</v>
      </c>
      <c r="J75" s="261" t="s">
        <v>1575</v>
      </c>
      <c r="K75" s="261" t="s">
        <v>1860</v>
      </c>
    </row>
    <row r="76" spans="1:11" x14ac:dyDescent="0.25">
      <c r="A76" s="261" t="s">
        <v>987</v>
      </c>
      <c r="B76" s="261" t="s">
        <v>1196</v>
      </c>
      <c r="C76" s="261" t="s">
        <v>1552</v>
      </c>
      <c r="D76" s="261" t="s">
        <v>1032</v>
      </c>
      <c r="E76" s="263" t="s">
        <v>1068</v>
      </c>
      <c r="F76" s="261" t="s">
        <v>1765</v>
      </c>
      <c r="G76" s="262">
        <v>1.08</v>
      </c>
      <c r="H76" s="262">
        <v>171396</v>
      </c>
      <c r="I76" s="262">
        <v>59526.203400000006</v>
      </c>
      <c r="J76" s="261" t="s">
        <v>1575</v>
      </c>
      <c r="K76" s="261" t="s">
        <v>1860</v>
      </c>
    </row>
    <row r="77" spans="1:11" x14ac:dyDescent="0.25">
      <c r="A77" s="261" t="s">
        <v>987</v>
      </c>
      <c r="B77" s="261" t="s">
        <v>1196</v>
      </c>
      <c r="C77" s="261" t="s">
        <v>1552</v>
      </c>
      <c r="D77" s="261" t="s">
        <v>1032</v>
      </c>
      <c r="E77" s="263" t="s">
        <v>1068</v>
      </c>
      <c r="F77" s="261" t="s">
        <v>1765</v>
      </c>
      <c r="G77" s="262">
        <v>0.72</v>
      </c>
      <c r="H77" s="262">
        <v>114264</v>
      </c>
      <c r="I77" s="262">
        <v>39684.135600000001</v>
      </c>
      <c r="J77" s="261" t="s">
        <v>1575</v>
      </c>
      <c r="K77" s="261" t="s">
        <v>1860</v>
      </c>
    </row>
    <row r="78" spans="1:11" x14ac:dyDescent="0.25">
      <c r="A78" s="261" t="s">
        <v>987</v>
      </c>
      <c r="B78" s="261" t="s">
        <v>1196</v>
      </c>
      <c r="C78" s="261" t="s">
        <v>1552</v>
      </c>
      <c r="D78" s="261" t="s">
        <v>1032</v>
      </c>
      <c r="E78" s="263" t="s">
        <v>1068</v>
      </c>
      <c r="F78" s="261" t="s">
        <v>1765</v>
      </c>
      <c r="G78" s="262">
        <v>13.2</v>
      </c>
      <c r="H78" s="262">
        <v>2094840</v>
      </c>
      <c r="I78" s="262">
        <v>727542.48600000003</v>
      </c>
      <c r="J78" s="261" t="s">
        <v>1575</v>
      </c>
      <c r="K78" s="261" t="s">
        <v>1860</v>
      </c>
    </row>
    <row r="79" spans="1:11" x14ac:dyDescent="0.25">
      <c r="A79" s="261" t="s">
        <v>987</v>
      </c>
      <c r="B79" s="261" t="s">
        <v>1196</v>
      </c>
      <c r="C79" s="261" t="s">
        <v>1552</v>
      </c>
      <c r="D79" s="261" t="s">
        <v>1032</v>
      </c>
      <c r="E79" s="263" t="s">
        <v>1068</v>
      </c>
      <c r="F79" s="261" t="s">
        <v>1765</v>
      </c>
      <c r="G79" s="262">
        <v>9.6</v>
      </c>
      <c r="H79" s="262">
        <v>1523520</v>
      </c>
      <c r="I79" s="262">
        <v>529121.80799999996</v>
      </c>
      <c r="J79" s="261" t="s">
        <v>1575</v>
      </c>
      <c r="K79" s="261" t="s">
        <v>1860</v>
      </c>
    </row>
    <row r="80" spans="1:11" x14ac:dyDescent="0.25">
      <c r="A80" s="261" t="s">
        <v>987</v>
      </c>
      <c r="B80" s="261" t="s">
        <v>1199</v>
      </c>
      <c r="C80" s="261" t="s">
        <v>1552</v>
      </c>
      <c r="D80" s="261" t="s">
        <v>1032</v>
      </c>
      <c r="E80" s="263" t="s">
        <v>1068</v>
      </c>
      <c r="F80" s="261" t="s">
        <v>1765</v>
      </c>
      <c r="G80" s="262">
        <v>26.88</v>
      </c>
      <c r="H80" s="262">
        <v>4265856</v>
      </c>
      <c r="I80" s="262">
        <v>1095052.0896000001</v>
      </c>
      <c r="J80" s="261" t="s">
        <v>1575</v>
      </c>
      <c r="K80" s="261" t="s">
        <v>1860</v>
      </c>
    </row>
    <row r="81" spans="1:11" x14ac:dyDescent="0.25">
      <c r="A81" s="261" t="s">
        <v>987</v>
      </c>
      <c r="B81" s="261" t="s">
        <v>1192</v>
      </c>
      <c r="C81" s="261" t="s">
        <v>1551</v>
      </c>
      <c r="D81" s="261" t="s">
        <v>1035</v>
      </c>
      <c r="E81" s="263" t="s">
        <v>1068</v>
      </c>
      <c r="F81" s="261" t="s">
        <v>1765</v>
      </c>
      <c r="G81" s="262">
        <v>172.84</v>
      </c>
      <c r="H81" s="262">
        <v>1142904.4999999998</v>
      </c>
      <c r="I81" s="262">
        <v>745544.1301200001</v>
      </c>
      <c r="J81" s="261" t="s">
        <v>1575</v>
      </c>
      <c r="K81" s="261" t="s">
        <v>1860</v>
      </c>
    </row>
    <row r="82" spans="1:11" x14ac:dyDescent="0.25">
      <c r="A82" s="261" t="s">
        <v>987</v>
      </c>
      <c r="B82" s="261" t="s">
        <v>1217</v>
      </c>
      <c r="C82" s="261" t="s">
        <v>1553</v>
      </c>
      <c r="D82" s="261" t="s">
        <v>1032</v>
      </c>
      <c r="E82" s="263" t="s">
        <v>1068</v>
      </c>
      <c r="F82" s="261" t="s">
        <v>1765</v>
      </c>
      <c r="G82" s="262">
        <v>4</v>
      </c>
      <c r="H82" s="262">
        <v>1571129.9999999998</v>
      </c>
      <c r="I82" s="262">
        <v>220467.42</v>
      </c>
      <c r="J82" s="261" t="s">
        <v>1575</v>
      </c>
      <c r="K82" s="261" t="s">
        <v>1860</v>
      </c>
    </row>
    <row r="83" spans="1:11" x14ac:dyDescent="0.25">
      <c r="A83" s="261" t="s">
        <v>987</v>
      </c>
      <c r="B83" s="261" t="s">
        <v>1190</v>
      </c>
      <c r="C83" s="261" t="s">
        <v>1551</v>
      </c>
      <c r="D83" s="261" t="s">
        <v>1035</v>
      </c>
      <c r="E83" s="263" t="s">
        <v>1068</v>
      </c>
      <c r="F83" s="261" t="s">
        <v>1765</v>
      </c>
      <c r="G83" s="262">
        <v>182</v>
      </c>
      <c r="H83" s="262">
        <v>7100502.5</v>
      </c>
      <c r="I83" s="262">
        <v>2878537.6620000005</v>
      </c>
      <c r="J83" s="261" t="s">
        <v>1575</v>
      </c>
      <c r="K83" s="261" t="s">
        <v>1860</v>
      </c>
    </row>
    <row r="84" spans="1:11" x14ac:dyDescent="0.25">
      <c r="A84" s="261" t="s">
        <v>987</v>
      </c>
      <c r="B84" s="261" t="s">
        <v>1214</v>
      </c>
      <c r="C84" s="261" t="s">
        <v>1553</v>
      </c>
      <c r="D84" s="261" t="s">
        <v>1032</v>
      </c>
      <c r="E84" s="263" t="s">
        <v>1068</v>
      </c>
      <c r="F84" s="261" t="s">
        <v>1765</v>
      </c>
      <c r="G84" s="262">
        <v>2</v>
      </c>
      <c r="H84" s="262">
        <v>1745699.9999999998</v>
      </c>
      <c r="I84" s="262">
        <v>479277.00000000006</v>
      </c>
      <c r="J84" s="261" t="s">
        <v>1575</v>
      </c>
      <c r="K84" s="261" t="s">
        <v>1860</v>
      </c>
    </row>
    <row r="85" spans="1:11" x14ac:dyDescent="0.25">
      <c r="A85" s="261" t="s">
        <v>987</v>
      </c>
      <c r="B85" s="261" t="s">
        <v>1214</v>
      </c>
      <c r="C85" s="261" t="s">
        <v>1553</v>
      </c>
      <c r="D85" s="261" t="s">
        <v>1032</v>
      </c>
      <c r="E85" s="263" t="s">
        <v>1068</v>
      </c>
      <c r="F85" s="261" t="s">
        <v>1765</v>
      </c>
      <c r="G85" s="262">
        <v>2</v>
      </c>
      <c r="H85" s="262">
        <v>1745699.9999999998</v>
      </c>
      <c r="I85" s="262">
        <v>479277.00000000006</v>
      </c>
      <c r="J85" s="261" t="s">
        <v>1575</v>
      </c>
      <c r="K85" s="261" t="s">
        <v>1860</v>
      </c>
    </row>
    <row r="86" spans="1:11" x14ac:dyDescent="0.25">
      <c r="A86" s="261" t="s">
        <v>987</v>
      </c>
      <c r="B86" s="261" t="s">
        <v>1426</v>
      </c>
      <c r="C86" s="261" t="s">
        <v>1822</v>
      </c>
      <c r="D86" s="261" t="s">
        <v>1011</v>
      </c>
      <c r="E86" s="263" t="s">
        <v>1068</v>
      </c>
      <c r="F86" s="261" t="s">
        <v>1765</v>
      </c>
      <c r="G86" s="262">
        <v>182</v>
      </c>
      <c r="H86" s="262">
        <v>4813899.9999999991</v>
      </c>
      <c r="I86" s="262"/>
      <c r="J86" s="261" t="s">
        <v>1574</v>
      </c>
      <c r="K86" s="261" t="s">
        <v>1860</v>
      </c>
    </row>
    <row r="87" spans="1:11" x14ac:dyDescent="0.25">
      <c r="A87" s="261" t="s">
        <v>987</v>
      </c>
      <c r="B87" s="261" t="s">
        <v>1428</v>
      </c>
      <c r="C87" s="261" t="s">
        <v>1822</v>
      </c>
      <c r="D87" s="261" t="s">
        <v>1011</v>
      </c>
      <c r="E87" s="263" t="s">
        <v>1068</v>
      </c>
      <c r="F87" s="261" t="s">
        <v>1765</v>
      </c>
      <c r="G87" s="262">
        <v>172.84</v>
      </c>
      <c r="H87" s="262">
        <v>1142904.4999999998</v>
      </c>
      <c r="I87" s="262"/>
      <c r="J87" s="261" t="s">
        <v>1574</v>
      </c>
      <c r="K87" s="261" t="s">
        <v>1860</v>
      </c>
    </row>
    <row r="88" spans="1:11" x14ac:dyDescent="0.25">
      <c r="A88" s="261" t="s">
        <v>987</v>
      </c>
      <c r="B88" s="261" t="s">
        <v>1214</v>
      </c>
      <c r="C88" s="261" t="s">
        <v>1553</v>
      </c>
      <c r="D88" s="261" t="s">
        <v>1032</v>
      </c>
      <c r="E88" s="263" t="s">
        <v>1068</v>
      </c>
      <c r="F88" s="261" t="s">
        <v>1729</v>
      </c>
      <c r="G88" s="262">
        <v>1</v>
      </c>
      <c r="H88" s="262">
        <v>872849.99999999988</v>
      </c>
      <c r="I88" s="262">
        <v>239638.50000000003</v>
      </c>
      <c r="J88" s="261" t="s">
        <v>1575</v>
      </c>
      <c r="K88" s="261" t="s">
        <v>1859</v>
      </c>
    </row>
    <row r="89" spans="1:11" x14ac:dyDescent="0.25">
      <c r="A89" s="261" t="s">
        <v>987</v>
      </c>
      <c r="B89" s="261" t="s">
        <v>1196</v>
      </c>
      <c r="C89" s="261" t="s">
        <v>1552</v>
      </c>
      <c r="D89" s="261" t="s">
        <v>1032</v>
      </c>
      <c r="E89" s="263" t="s">
        <v>1068</v>
      </c>
      <c r="F89" s="261" t="s">
        <v>1729</v>
      </c>
      <c r="G89" s="262">
        <v>7.92</v>
      </c>
      <c r="H89" s="262">
        <v>1256904</v>
      </c>
      <c r="I89" s="262">
        <v>436525.49160000001</v>
      </c>
      <c r="J89" s="261" t="s">
        <v>1575</v>
      </c>
      <c r="K89" s="261" t="s">
        <v>1859</v>
      </c>
    </row>
    <row r="90" spans="1:11" x14ac:dyDescent="0.25">
      <c r="A90" s="261" t="s">
        <v>987</v>
      </c>
      <c r="B90" s="261" t="s">
        <v>1196</v>
      </c>
      <c r="C90" s="261" t="s">
        <v>1552</v>
      </c>
      <c r="D90" s="261" t="s">
        <v>1032</v>
      </c>
      <c r="E90" s="263" t="s">
        <v>1068</v>
      </c>
      <c r="F90" s="261" t="s">
        <v>1729</v>
      </c>
      <c r="G90" s="262">
        <v>17.28</v>
      </c>
      <c r="H90" s="262">
        <v>2742336</v>
      </c>
      <c r="I90" s="262">
        <v>952419.25440000009</v>
      </c>
      <c r="J90" s="261" t="s">
        <v>1575</v>
      </c>
      <c r="K90" s="261" t="s">
        <v>1859</v>
      </c>
    </row>
    <row r="91" spans="1:11" x14ac:dyDescent="0.25">
      <c r="A91" s="261" t="s">
        <v>987</v>
      </c>
      <c r="B91" s="261" t="s">
        <v>1196</v>
      </c>
      <c r="C91" s="261" t="s">
        <v>1552</v>
      </c>
      <c r="D91" s="261" t="s">
        <v>1032</v>
      </c>
      <c r="E91" s="263" t="s">
        <v>1068</v>
      </c>
      <c r="F91" s="261" t="s">
        <v>1729</v>
      </c>
      <c r="G91" s="262">
        <v>1.2</v>
      </c>
      <c r="H91" s="262">
        <v>190440</v>
      </c>
      <c r="I91" s="262">
        <v>66140.225999999995</v>
      </c>
      <c r="J91" s="261" t="s">
        <v>1575</v>
      </c>
      <c r="K91" s="261" t="s">
        <v>1859</v>
      </c>
    </row>
    <row r="92" spans="1:11" x14ac:dyDescent="0.25">
      <c r="A92" s="261" t="s">
        <v>987</v>
      </c>
      <c r="B92" s="261" t="s">
        <v>1196</v>
      </c>
      <c r="C92" s="261" t="s">
        <v>1552</v>
      </c>
      <c r="D92" s="261" t="s">
        <v>1032</v>
      </c>
      <c r="E92" s="263" t="s">
        <v>1068</v>
      </c>
      <c r="F92" s="261" t="s">
        <v>1729</v>
      </c>
      <c r="G92" s="262">
        <v>2.52</v>
      </c>
      <c r="H92" s="262">
        <v>399924</v>
      </c>
      <c r="I92" s="262">
        <v>138894.47460000002</v>
      </c>
      <c r="J92" s="261" t="s">
        <v>1575</v>
      </c>
      <c r="K92" s="261" t="s">
        <v>1859</v>
      </c>
    </row>
    <row r="93" spans="1:11" x14ac:dyDescent="0.25">
      <c r="A93" s="261" t="s">
        <v>987</v>
      </c>
      <c r="B93" s="261" t="s">
        <v>1196</v>
      </c>
      <c r="C93" s="261" t="s">
        <v>1552</v>
      </c>
      <c r="D93" s="261" t="s">
        <v>1032</v>
      </c>
      <c r="E93" s="263" t="s">
        <v>1068</v>
      </c>
      <c r="F93" s="261" t="s">
        <v>1729</v>
      </c>
      <c r="G93" s="262">
        <v>33</v>
      </c>
      <c r="H93" s="262">
        <v>5237100</v>
      </c>
      <c r="I93" s="262">
        <v>1818856.2150000001</v>
      </c>
      <c r="J93" s="261" t="s">
        <v>1575</v>
      </c>
      <c r="K93" s="261" t="s">
        <v>1859</v>
      </c>
    </row>
    <row r="94" spans="1:11" x14ac:dyDescent="0.25">
      <c r="A94" s="261" t="s">
        <v>987</v>
      </c>
      <c r="B94" s="261" t="s">
        <v>1196</v>
      </c>
      <c r="C94" s="261" t="s">
        <v>1552</v>
      </c>
      <c r="D94" s="261" t="s">
        <v>1032</v>
      </c>
      <c r="E94" s="263" t="s">
        <v>1068</v>
      </c>
      <c r="F94" s="261" t="s">
        <v>1729</v>
      </c>
      <c r="G94" s="262">
        <v>39.6</v>
      </c>
      <c r="H94" s="262">
        <v>6284520</v>
      </c>
      <c r="I94" s="262">
        <v>2182627.4580000001</v>
      </c>
      <c r="J94" s="261" t="s">
        <v>1575</v>
      </c>
      <c r="K94" s="261" t="s">
        <v>1859</v>
      </c>
    </row>
    <row r="95" spans="1:11" x14ac:dyDescent="0.25">
      <c r="A95" s="261" t="s">
        <v>987</v>
      </c>
      <c r="B95" s="261" t="s">
        <v>1196</v>
      </c>
      <c r="C95" s="261" t="s">
        <v>1552</v>
      </c>
      <c r="D95" s="261" t="s">
        <v>1032</v>
      </c>
      <c r="E95" s="263" t="s">
        <v>1068</v>
      </c>
      <c r="F95" s="261" t="s">
        <v>1729</v>
      </c>
      <c r="G95" s="262">
        <v>28.16</v>
      </c>
      <c r="H95" s="262">
        <v>4468992</v>
      </c>
      <c r="I95" s="262">
        <v>1552090.6368000002</v>
      </c>
      <c r="J95" s="261" t="s">
        <v>1575</v>
      </c>
      <c r="K95" s="261" t="s">
        <v>1859</v>
      </c>
    </row>
    <row r="96" spans="1:11" x14ac:dyDescent="0.25">
      <c r="A96" s="261" t="s">
        <v>987</v>
      </c>
      <c r="B96" s="261" t="s">
        <v>1196</v>
      </c>
      <c r="C96" s="261" t="s">
        <v>1552</v>
      </c>
      <c r="D96" s="261" t="s">
        <v>1032</v>
      </c>
      <c r="E96" s="263" t="s">
        <v>1068</v>
      </c>
      <c r="F96" s="261" t="s">
        <v>1729</v>
      </c>
      <c r="G96" s="262">
        <v>8.94</v>
      </c>
      <c r="H96" s="262">
        <v>1418778</v>
      </c>
      <c r="I96" s="262">
        <v>492744.68369999999</v>
      </c>
      <c r="J96" s="261" t="s">
        <v>1575</v>
      </c>
      <c r="K96" s="261" t="s">
        <v>1859</v>
      </c>
    </row>
    <row r="97" spans="1:11" x14ac:dyDescent="0.25">
      <c r="A97" s="261" t="s">
        <v>987</v>
      </c>
      <c r="B97" s="261" t="s">
        <v>1199</v>
      </c>
      <c r="C97" s="261" t="s">
        <v>1552</v>
      </c>
      <c r="D97" s="261" t="s">
        <v>1032</v>
      </c>
      <c r="E97" s="263" t="s">
        <v>1068</v>
      </c>
      <c r="F97" s="261" t="s">
        <v>1729</v>
      </c>
      <c r="G97" s="262">
        <v>32.4</v>
      </c>
      <c r="H97" s="262">
        <v>5141880</v>
      </c>
      <c r="I97" s="262">
        <v>1319928.858</v>
      </c>
      <c r="J97" s="261" t="s">
        <v>1575</v>
      </c>
      <c r="K97" s="261" t="s">
        <v>1859</v>
      </c>
    </row>
    <row r="98" spans="1:11" x14ac:dyDescent="0.25">
      <c r="A98" s="261" t="s">
        <v>987</v>
      </c>
      <c r="B98" s="261" t="s">
        <v>1214</v>
      </c>
      <c r="C98" s="261" t="s">
        <v>1553</v>
      </c>
      <c r="D98" s="261" t="s">
        <v>1032</v>
      </c>
      <c r="E98" s="263" t="s">
        <v>1068</v>
      </c>
      <c r="F98" s="261" t="s">
        <v>1729</v>
      </c>
      <c r="G98" s="262">
        <v>1</v>
      </c>
      <c r="H98" s="262">
        <v>872849.99999999988</v>
      </c>
      <c r="I98" s="262">
        <v>239638.50000000003</v>
      </c>
      <c r="J98" s="261" t="s">
        <v>1575</v>
      </c>
      <c r="K98" s="261" t="s">
        <v>1859</v>
      </c>
    </row>
    <row r="99" spans="1:11" x14ac:dyDescent="0.25">
      <c r="A99" s="261" t="s">
        <v>987</v>
      </c>
      <c r="B99" s="261" t="s">
        <v>1214</v>
      </c>
      <c r="C99" s="261" t="s">
        <v>1553</v>
      </c>
      <c r="D99" s="261" t="s">
        <v>1032</v>
      </c>
      <c r="E99" s="263" t="s">
        <v>1068</v>
      </c>
      <c r="F99" s="261" t="s">
        <v>1729</v>
      </c>
      <c r="G99" s="262">
        <v>1</v>
      </c>
      <c r="H99" s="262">
        <v>872849.99999999988</v>
      </c>
      <c r="I99" s="262">
        <v>239638.50000000003</v>
      </c>
      <c r="J99" s="261" t="s">
        <v>1575</v>
      </c>
      <c r="K99" s="261" t="s">
        <v>1859</v>
      </c>
    </row>
    <row r="100" spans="1:11" x14ac:dyDescent="0.25">
      <c r="A100" s="261" t="s">
        <v>987</v>
      </c>
      <c r="B100" s="261" t="s">
        <v>1214</v>
      </c>
      <c r="C100" s="261" t="s">
        <v>1553</v>
      </c>
      <c r="D100" s="261" t="s">
        <v>1032</v>
      </c>
      <c r="E100" s="263" t="s">
        <v>1068</v>
      </c>
      <c r="F100" s="261" t="s">
        <v>1729</v>
      </c>
      <c r="G100" s="262">
        <v>1</v>
      </c>
      <c r="H100" s="262">
        <v>872849.99999999988</v>
      </c>
      <c r="I100" s="262">
        <v>239638.50000000003</v>
      </c>
      <c r="J100" s="261" t="s">
        <v>1575</v>
      </c>
      <c r="K100" s="261" t="s">
        <v>1859</v>
      </c>
    </row>
    <row r="101" spans="1:11" x14ac:dyDescent="0.25">
      <c r="A101" s="261" t="s">
        <v>987</v>
      </c>
      <c r="B101" s="261" t="s">
        <v>1214</v>
      </c>
      <c r="C101" s="261" t="s">
        <v>1553</v>
      </c>
      <c r="D101" s="261" t="s">
        <v>1032</v>
      </c>
      <c r="E101" s="263" t="s">
        <v>1068</v>
      </c>
      <c r="F101" s="261" t="s">
        <v>1729</v>
      </c>
      <c r="G101" s="262">
        <v>1</v>
      </c>
      <c r="H101" s="262">
        <v>872849.99999999988</v>
      </c>
      <c r="I101" s="262">
        <v>239638.50000000003</v>
      </c>
      <c r="J101" s="261" t="s">
        <v>1575</v>
      </c>
      <c r="K101" s="261" t="s">
        <v>1859</v>
      </c>
    </row>
    <row r="102" spans="1:11" x14ac:dyDescent="0.25">
      <c r="A102" s="261" t="s">
        <v>987</v>
      </c>
      <c r="B102" s="261" t="s">
        <v>1214</v>
      </c>
      <c r="C102" s="261" t="s">
        <v>1553</v>
      </c>
      <c r="D102" s="261" t="s">
        <v>1032</v>
      </c>
      <c r="E102" s="263" t="s">
        <v>1068</v>
      </c>
      <c r="F102" s="261" t="s">
        <v>1729</v>
      </c>
      <c r="G102" s="262">
        <v>1</v>
      </c>
      <c r="H102" s="262">
        <v>872849.99999999988</v>
      </c>
      <c r="I102" s="262">
        <v>239638.50000000003</v>
      </c>
      <c r="J102" s="261" t="s">
        <v>1575</v>
      </c>
      <c r="K102" s="261" t="s">
        <v>1859</v>
      </c>
    </row>
    <row r="103" spans="1:11" x14ac:dyDescent="0.25">
      <c r="A103" s="261" t="s">
        <v>987</v>
      </c>
      <c r="B103" s="261" t="s">
        <v>1196</v>
      </c>
      <c r="C103" s="261" t="s">
        <v>1552</v>
      </c>
      <c r="D103" s="261" t="s">
        <v>1032</v>
      </c>
      <c r="E103" s="263" t="s">
        <v>1068</v>
      </c>
      <c r="F103" s="261" t="s">
        <v>1729</v>
      </c>
      <c r="G103" s="262">
        <v>1.44</v>
      </c>
      <c r="H103" s="262">
        <v>228528</v>
      </c>
      <c r="I103" s="262">
        <v>79368.271200000003</v>
      </c>
      <c r="J103" s="261" t="s">
        <v>1575</v>
      </c>
      <c r="K103" s="261" t="s">
        <v>1859</v>
      </c>
    </row>
    <row r="104" spans="1:11" x14ac:dyDescent="0.25">
      <c r="A104" s="261" t="s">
        <v>987</v>
      </c>
      <c r="B104" s="261" t="s">
        <v>1192</v>
      </c>
      <c r="C104" s="261" t="s">
        <v>1551</v>
      </c>
      <c r="D104" s="261" t="s">
        <v>1035</v>
      </c>
      <c r="E104" s="263" t="s">
        <v>1068</v>
      </c>
      <c r="F104" s="261" t="s">
        <v>1729</v>
      </c>
      <c r="G104" s="262">
        <v>494.58</v>
      </c>
      <c r="H104" s="262">
        <v>3270410.2499999995</v>
      </c>
      <c r="I104" s="262">
        <v>2133367.3679400003</v>
      </c>
      <c r="J104" s="261" t="s">
        <v>1575</v>
      </c>
      <c r="K104" s="261" t="s">
        <v>1859</v>
      </c>
    </row>
    <row r="105" spans="1:11" x14ac:dyDescent="0.25">
      <c r="A105" s="261" t="s">
        <v>987</v>
      </c>
      <c r="B105" s="261" t="s">
        <v>1442</v>
      </c>
      <c r="C105" s="261" t="s">
        <v>1824</v>
      </c>
      <c r="D105" s="261" t="s">
        <v>1005</v>
      </c>
      <c r="E105" s="263" t="s">
        <v>1068</v>
      </c>
      <c r="F105" s="261" t="s">
        <v>1729</v>
      </c>
      <c r="G105" s="262">
        <v>804</v>
      </c>
      <c r="H105" s="262">
        <v>5848094.9999999991</v>
      </c>
      <c r="I105" s="262">
        <v>7991040.4200000009</v>
      </c>
      <c r="J105" s="261" t="s">
        <v>1574</v>
      </c>
      <c r="K105" s="261" t="s">
        <v>1859</v>
      </c>
    </row>
    <row r="106" spans="1:11" x14ac:dyDescent="0.25">
      <c r="A106" s="261" t="s">
        <v>987</v>
      </c>
      <c r="B106" s="261" t="s">
        <v>1187</v>
      </c>
      <c r="C106" s="261" t="s">
        <v>1551</v>
      </c>
      <c r="D106" s="261" t="s">
        <v>1035</v>
      </c>
      <c r="E106" s="263" t="s">
        <v>1068</v>
      </c>
      <c r="F106" s="261" t="s">
        <v>1729</v>
      </c>
      <c r="G106" s="262">
        <v>351.33</v>
      </c>
      <c r="H106" s="262">
        <v>11383531.162499998</v>
      </c>
      <c r="I106" s="262">
        <v>3030918.99138</v>
      </c>
      <c r="J106" s="261" t="s">
        <v>1575</v>
      </c>
      <c r="K106" s="261" t="s">
        <v>1859</v>
      </c>
    </row>
    <row r="107" spans="1:11" x14ac:dyDescent="0.25">
      <c r="A107" s="261" t="s">
        <v>987</v>
      </c>
      <c r="B107" s="261" t="s">
        <v>1175</v>
      </c>
      <c r="C107" s="261" t="s">
        <v>1549</v>
      </c>
      <c r="D107" s="261" t="s">
        <v>1042</v>
      </c>
      <c r="E107" s="263" t="s">
        <v>1068</v>
      </c>
      <c r="F107" s="261" t="s">
        <v>1729</v>
      </c>
      <c r="G107" s="262">
        <v>182.88</v>
      </c>
      <c r="H107" s="262">
        <v>1817305.9919999999</v>
      </c>
      <c r="I107" s="262"/>
      <c r="J107" s="261" t="s">
        <v>1574</v>
      </c>
      <c r="K107" s="261" t="s">
        <v>1859</v>
      </c>
    </row>
    <row r="108" spans="1:11" x14ac:dyDescent="0.25">
      <c r="A108" s="261" t="s">
        <v>987</v>
      </c>
      <c r="B108" s="261" t="s">
        <v>1424</v>
      </c>
      <c r="C108" s="261" t="s">
        <v>1822</v>
      </c>
      <c r="D108" s="261" t="s">
        <v>1011</v>
      </c>
      <c r="E108" s="263" t="s">
        <v>1068</v>
      </c>
      <c r="F108" s="261" t="s">
        <v>1729</v>
      </c>
      <c r="G108" s="262">
        <v>60.74</v>
      </c>
      <c r="H108" s="262">
        <v>2731174.1</v>
      </c>
      <c r="I108" s="262"/>
      <c r="J108" s="261" t="s">
        <v>1574</v>
      </c>
      <c r="K108" s="261" t="s">
        <v>1859</v>
      </c>
    </row>
    <row r="109" spans="1:11" x14ac:dyDescent="0.25">
      <c r="A109" s="261" t="s">
        <v>987</v>
      </c>
      <c r="B109" s="261" t="s">
        <v>1172</v>
      </c>
      <c r="C109" s="261" t="s">
        <v>1549</v>
      </c>
      <c r="D109" s="261" t="s">
        <v>1042</v>
      </c>
      <c r="E109" s="263" t="s">
        <v>1068</v>
      </c>
      <c r="F109" s="261" t="s">
        <v>1729</v>
      </c>
      <c r="G109" s="262">
        <v>107.66</v>
      </c>
      <c r="H109" s="262">
        <v>2138924.2839999995</v>
      </c>
      <c r="I109" s="262"/>
      <c r="J109" s="261" t="s">
        <v>1574</v>
      </c>
      <c r="K109" s="261" t="s">
        <v>1859</v>
      </c>
    </row>
    <row r="110" spans="1:11" x14ac:dyDescent="0.25">
      <c r="A110" s="261" t="s">
        <v>987</v>
      </c>
      <c r="B110" s="261" t="s">
        <v>1436</v>
      </c>
      <c r="C110" s="261" t="s">
        <v>1824</v>
      </c>
      <c r="D110" s="261" t="s">
        <v>1005</v>
      </c>
      <c r="E110" s="263" t="s">
        <v>1068</v>
      </c>
      <c r="F110" s="261" t="s">
        <v>1729</v>
      </c>
      <c r="G110" s="262">
        <v>1649</v>
      </c>
      <c r="H110" s="262">
        <v>1090401.25</v>
      </c>
      <c r="I110" s="262">
        <v>1489962.1950000001</v>
      </c>
      <c r="J110" s="261" t="s">
        <v>1574</v>
      </c>
      <c r="K110" s="261" t="s">
        <v>1859</v>
      </c>
    </row>
    <row r="111" spans="1:11" x14ac:dyDescent="0.25">
      <c r="A111" s="261" t="s">
        <v>987</v>
      </c>
      <c r="B111" s="261" t="s">
        <v>1439</v>
      </c>
      <c r="C111" s="261" t="s">
        <v>1824</v>
      </c>
      <c r="D111" s="261" t="s">
        <v>1005</v>
      </c>
      <c r="E111" s="263" t="s">
        <v>1068</v>
      </c>
      <c r="F111" s="261" t="s">
        <v>1729</v>
      </c>
      <c r="G111" s="262">
        <v>1649</v>
      </c>
      <c r="H111" s="262">
        <v>11994413.749999998</v>
      </c>
      <c r="I111" s="262">
        <v>16389584.145000001</v>
      </c>
      <c r="J111" s="261" t="s">
        <v>1574</v>
      </c>
      <c r="K111" s="261" t="s">
        <v>1859</v>
      </c>
    </row>
    <row r="112" spans="1:11" x14ac:dyDescent="0.25">
      <c r="A112" s="261" t="s">
        <v>987</v>
      </c>
      <c r="B112" s="261" t="s">
        <v>1441</v>
      </c>
      <c r="C112" s="261" t="s">
        <v>1824</v>
      </c>
      <c r="D112" s="261" t="s">
        <v>1005</v>
      </c>
      <c r="E112" s="263" t="s">
        <v>1068</v>
      </c>
      <c r="F112" s="261" t="s">
        <v>1729</v>
      </c>
      <c r="G112" s="262">
        <v>804</v>
      </c>
      <c r="H112" s="262">
        <v>531645</v>
      </c>
      <c r="I112" s="262">
        <v>726458.22000000009</v>
      </c>
      <c r="J112" s="261" t="s">
        <v>1574</v>
      </c>
      <c r="K112" s="261" t="s">
        <v>1859</v>
      </c>
    </row>
    <row r="113" spans="1:11" x14ac:dyDescent="0.25">
      <c r="A113" s="261" t="s">
        <v>987</v>
      </c>
      <c r="B113" s="261" t="s">
        <v>1190</v>
      </c>
      <c r="C113" s="261" t="s">
        <v>1551</v>
      </c>
      <c r="D113" s="261" t="s">
        <v>1035</v>
      </c>
      <c r="E113" s="263" t="s">
        <v>1068</v>
      </c>
      <c r="F113" s="261" t="s">
        <v>1729</v>
      </c>
      <c r="G113" s="262">
        <v>594</v>
      </c>
      <c r="H113" s="262">
        <v>23174167.5</v>
      </c>
      <c r="I113" s="262">
        <v>9394787.7540000007</v>
      </c>
      <c r="J113" s="261" t="s">
        <v>1575</v>
      </c>
      <c r="K113" s="261" t="s">
        <v>1859</v>
      </c>
    </row>
    <row r="114" spans="1:11" x14ac:dyDescent="0.25">
      <c r="A114" s="261" t="s">
        <v>987</v>
      </c>
      <c r="B114" s="261" t="s">
        <v>1196</v>
      </c>
      <c r="C114" s="261" t="s">
        <v>1552</v>
      </c>
      <c r="D114" s="261" t="s">
        <v>1032</v>
      </c>
      <c r="E114" s="263" t="s">
        <v>1068</v>
      </c>
      <c r="F114" s="261" t="s">
        <v>1730</v>
      </c>
      <c r="G114" s="262">
        <v>12.32</v>
      </c>
      <c r="H114" s="262">
        <v>1955184</v>
      </c>
      <c r="I114" s="262">
        <v>679039.65360000008</v>
      </c>
      <c r="J114" s="261" t="s">
        <v>1575</v>
      </c>
      <c r="K114" s="261" t="s">
        <v>1855</v>
      </c>
    </row>
    <row r="115" spans="1:11" x14ac:dyDescent="0.25">
      <c r="A115" s="261" t="s">
        <v>987</v>
      </c>
      <c r="B115" s="261" t="s">
        <v>1196</v>
      </c>
      <c r="C115" s="261" t="s">
        <v>1552</v>
      </c>
      <c r="D115" s="261" t="s">
        <v>1032</v>
      </c>
      <c r="E115" s="263" t="s">
        <v>1068</v>
      </c>
      <c r="F115" s="261" t="s">
        <v>1730</v>
      </c>
      <c r="G115" s="262">
        <v>35.64</v>
      </c>
      <c r="H115" s="262">
        <v>5656068</v>
      </c>
      <c r="I115" s="262">
        <v>1964364.7122000002</v>
      </c>
      <c r="J115" s="261" t="s">
        <v>1575</v>
      </c>
      <c r="K115" s="261" t="s">
        <v>1855</v>
      </c>
    </row>
    <row r="116" spans="1:11" x14ac:dyDescent="0.25">
      <c r="A116" s="261" t="s">
        <v>987</v>
      </c>
      <c r="B116" s="261" t="s">
        <v>1196</v>
      </c>
      <c r="C116" s="261" t="s">
        <v>1552</v>
      </c>
      <c r="D116" s="261" t="s">
        <v>1032</v>
      </c>
      <c r="E116" s="263" t="s">
        <v>1068</v>
      </c>
      <c r="F116" s="261" t="s">
        <v>1730</v>
      </c>
      <c r="G116" s="262">
        <v>1.8</v>
      </c>
      <c r="H116" s="262">
        <v>285660</v>
      </c>
      <c r="I116" s="262">
        <v>99210.339000000007</v>
      </c>
      <c r="J116" s="261" t="s">
        <v>1575</v>
      </c>
      <c r="K116" s="261" t="s">
        <v>1855</v>
      </c>
    </row>
    <row r="117" spans="1:11" x14ac:dyDescent="0.25">
      <c r="A117" s="261" t="s">
        <v>987</v>
      </c>
      <c r="B117" s="261" t="s">
        <v>1196</v>
      </c>
      <c r="C117" s="261" t="s">
        <v>1552</v>
      </c>
      <c r="D117" s="261" t="s">
        <v>1032</v>
      </c>
      <c r="E117" s="263" t="s">
        <v>1068</v>
      </c>
      <c r="F117" s="261" t="s">
        <v>1730</v>
      </c>
      <c r="G117" s="262">
        <v>39.6</v>
      </c>
      <c r="H117" s="262">
        <v>6284520</v>
      </c>
      <c r="I117" s="262">
        <v>2182627.4580000001</v>
      </c>
      <c r="J117" s="261" t="s">
        <v>1575</v>
      </c>
      <c r="K117" s="261" t="s">
        <v>1855</v>
      </c>
    </row>
    <row r="118" spans="1:11" x14ac:dyDescent="0.25">
      <c r="A118" s="261" t="s">
        <v>987</v>
      </c>
      <c r="B118" s="261" t="s">
        <v>1196</v>
      </c>
      <c r="C118" s="261" t="s">
        <v>1552</v>
      </c>
      <c r="D118" s="261" t="s">
        <v>1032</v>
      </c>
      <c r="E118" s="263" t="s">
        <v>1068</v>
      </c>
      <c r="F118" s="261" t="s">
        <v>1730</v>
      </c>
      <c r="G118" s="262">
        <v>27.5</v>
      </c>
      <c r="H118" s="262">
        <v>4364250</v>
      </c>
      <c r="I118" s="262">
        <v>1515713.5125000002</v>
      </c>
      <c r="J118" s="261" t="s">
        <v>1575</v>
      </c>
      <c r="K118" s="261" t="s">
        <v>1855</v>
      </c>
    </row>
    <row r="119" spans="1:11" x14ac:dyDescent="0.25">
      <c r="A119" s="261" t="s">
        <v>987</v>
      </c>
      <c r="B119" s="261" t="s">
        <v>1196</v>
      </c>
      <c r="C119" s="261" t="s">
        <v>1552</v>
      </c>
      <c r="D119" s="261" t="s">
        <v>1032</v>
      </c>
      <c r="E119" s="263" t="s">
        <v>1068</v>
      </c>
      <c r="F119" s="261" t="s">
        <v>1730</v>
      </c>
      <c r="G119" s="262">
        <v>2.52</v>
      </c>
      <c r="H119" s="262">
        <v>399924</v>
      </c>
      <c r="I119" s="262">
        <v>138894.47460000002</v>
      </c>
      <c r="J119" s="261" t="s">
        <v>1575</v>
      </c>
      <c r="K119" s="261" t="s">
        <v>1855</v>
      </c>
    </row>
    <row r="120" spans="1:11" x14ac:dyDescent="0.25">
      <c r="A120" s="261" t="s">
        <v>987</v>
      </c>
      <c r="B120" s="261" t="s">
        <v>1196</v>
      </c>
      <c r="C120" s="261" t="s">
        <v>1552</v>
      </c>
      <c r="D120" s="261" t="s">
        <v>1032</v>
      </c>
      <c r="E120" s="263" t="s">
        <v>1068</v>
      </c>
      <c r="F120" s="261" t="s">
        <v>1730</v>
      </c>
      <c r="G120" s="262">
        <v>3.6</v>
      </c>
      <c r="H120" s="262">
        <v>571320</v>
      </c>
      <c r="I120" s="262">
        <v>198420.67800000001</v>
      </c>
      <c r="J120" s="261" t="s">
        <v>1575</v>
      </c>
      <c r="K120" s="261" t="s">
        <v>1855</v>
      </c>
    </row>
    <row r="121" spans="1:11" x14ac:dyDescent="0.25">
      <c r="A121" s="261" t="s">
        <v>987</v>
      </c>
      <c r="B121" s="261" t="s">
        <v>1196</v>
      </c>
      <c r="C121" s="261" t="s">
        <v>1552</v>
      </c>
      <c r="D121" s="261" t="s">
        <v>1032</v>
      </c>
      <c r="E121" s="263" t="s">
        <v>1068</v>
      </c>
      <c r="F121" s="261" t="s">
        <v>1730</v>
      </c>
      <c r="G121" s="262">
        <v>17.28</v>
      </c>
      <c r="H121" s="262">
        <v>2742336</v>
      </c>
      <c r="I121" s="262">
        <v>952419.25440000009</v>
      </c>
      <c r="J121" s="261" t="s">
        <v>1575</v>
      </c>
      <c r="K121" s="261" t="s">
        <v>1855</v>
      </c>
    </row>
    <row r="122" spans="1:11" x14ac:dyDescent="0.25">
      <c r="A122" s="261" t="s">
        <v>987</v>
      </c>
      <c r="B122" s="261" t="s">
        <v>1196</v>
      </c>
      <c r="C122" s="261" t="s">
        <v>1552</v>
      </c>
      <c r="D122" s="261" t="s">
        <v>1032</v>
      </c>
      <c r="E122" s="263" t="s">
        <v>1068</v>
      </c>
      <c r="F122" s="261" t="s">
        <v>1730</v>
      </c>
      <c r="G122" s="262">
        <v>10.56</v>
      </c>
      <c r="H122" s="262">
        <v>1675872</v>
      </c>
      <c r="I122" s="262">
        <v>582033.98880000005</v>
      </c>
      <c r="J122" s="261" t="s">
        <v>1575</v>
      </c>
      <c r="K122" s="261" t="s">
        <v>1855</v>
      </c>
    </row>
    <row r="123" spans="1:11" x14ac:dyDescent="0.25">
      <c r="A123" s="261" t="s">
        <v>987</v>
      </c>
      <c r="B123" s="261" t="s">
        <v>1172</v>
      </c>
      <c r="C123" s="261" t="s">
        <v>1549</v>
      </c>
      <c r="D123" s="261" t="s">
        <v>1042</v>
      </c>
      <c r="E123" s="263" t="s">
        <v>1068</v>
      </c>
      <c r="F123" s="261" t="s">
        <v>1730</v>
      </c>
      <c r="G123" s="262">
        <v>99.69</v>
      </c>
      <c r="H123" s="262">
        <v>1980581.1059999997</v>
      </c>
      <c r="I123" s="262"/>
      <c r="J123" s="261" t="s">
        <v>1574</v>
      </c>
      <c r="K123" s="261" t="s">
        <v>1855</v>
      </c>
    </row>
    <row r="124" spans="1:11" x14ac:dyDescent="0.25">
      <c r="A124" s="261" t="s">
        <v>987</v>
      </c>
      <c r="B124" s="261" t="s">
        <v>1187</v>
      </c>
      <c r="C124" s="261" t="s">
        <v>1551</v>
      </c>
      <c r="D124" s="261" t="s">
        <v>1035</v>
      </c>
      <c r="E124" s="263" t="s">
        <v>1068</v>
      </c>
      <c r="F124" s="261" t="s">
        <v>1730</v>
      </c>
      <c r="G124" s="262">
        <v>278.2</v>
      </c>
      <c r="H124" s="262">
        <v>9014027.7499999981</v>
      </c>
      <c r="I124" s="262">
        <v>2400027.5052</v>
      </c>
      <c r="J124" s="261" t="s">
        <v>1575</v>
      </c>
      <c r="K124" s="261" t="s">
        <v>1855</v>
      </c>
    </row>
    <row r="125" spans="1:11" x14ac:dyDescent="0.25">
      <c r="A125" s="261" t="s">
        <v>987</v>
      </c>
      <c r="B125" s="261" t="s">
        <v>1175</v>
      </c>
      <c r="C125" s="261" t="s">
        <v>1549</v>
      </c>
      <c r="D125" s="261" t="s">
        <v>1042</v>
      </c>
      <c r="E125" s="263" t="s">
        <v>1068</v>
      </c>
      <c r="F125" s="261" t="s">
        <v>1730</v>
      </c>
      <c r="G125" s="262">
        <v>159.12</v>
      </c>
      <c r="H125" s="262">
        <v>1581199.308</v>
      </c>
      <c r="I125" s="262"/>
      <c r="J125" s="261" t="s">
        <v>1574</v>
      </c>
      <c r="K125" s="261" t="s">
        <v>1855</v>
      </c>
    </row>
    <row r="126" spans="1:11" x14ac:dyDescent="0.25">
      <c r="A126" s="261" t="s">
        <v>987</v>
      </c>
      <c r="B126" s="261" t="s">
        <v>1199</v>
      </c>
      <c r="C126" s="261" t="s">
        <v>1552</v>
      </c>
      <c r="D126" s="261" t="s">
        <v>1032</v>
      </c>
      <c r="E126" s="263" t="s">
        <v>1068</v>
      </c>
      <c r="F126" s="261" t="s">
        <v>1730</v>
      </c>
      <c r="G126" s="262">
        <v>32.4</v>
      </c>
      <c r="H126" s="262">
        <v>5141880</v>
      </c>
      <c r="I126" s="262">
        <v>1319928.858</v>
      </c>
      <c r="J126" s="261" t="s">
        <v>1575</v>
      </c>
      <c r="K126" s="261" t="s">
        <v>1855</v>
      </c>
    </row>
    <row r="127" spans="1:11" x14ac:dyDescent="0.25">
      <c r="A127" s="261" t="s">
        <v>987</v>
      </c>
      <c r="B127" s="261" t="s">
        <v>1104</v>
      </c>
      <c r="C127" s="261" t="s">
        <v>1558</v>
      </c>
      <c r="D127" s="261" t="s">
        <v>1046</v>
      </c>
      <c r="E127" s="263" t="s">
        <v>1068</v>
      </c>
      <c r="F127" s="261" t="s">
        <v>1730</v>
      </c>
      <c r="G127" s="262">
        <v>1</v>
      </c>
      <c r="H127" s="262">
        <v>1983749.9999999998</v>
      </c>
      <c r="I127" s="262">
        <v>2710665</v>
      </c>
      <c r="J127" s="261" t="s">
        <v>1574</v>
      </c>
      <c r="K127" s="261" t="s">
        <v>1855</v>
      </c>
    </row>
    <row r="128" spans="1:11" x14ac:dyDescent="0.25">
      <c r="A128" s="261" t="s">
        <v>987</v>
      </c>
      <c r="B128" s="261" t="s">
        <v>1192</v>
      </c>
      <c r="C128" s="261" t="s">
        <v>1551</v>
      </c>
      <c r="D128" s="261" t="s">
        <v>1035</v>
      </c>
      <c r="E128" s="263" t="s">
        <v>1068</v>
      </c>
      <c r="F128" s="261" t="s">
        <v>1730</v>
      </c>
      <c r="G128" s="262">
        <v>499.38</v>
      </c>
      <c r="H128" s="262">
        <v>3302150.2499999995</v>
      </c>
      <c r="I128" s="262">
        <v>2154072.1343400003</v>
      </c>
      <c r="J128" s="261" t="s">
        <v>1575</v>
      </c>
      <c r="K128" s="261" t="s">
        <v>1855</v>
      </c>
    </row>
    <row r="129" spans="1:11" x14ac:dyDescent="0.25">
      <c r="A129" s="261" t="s">
        <v>987</v>
      </c>
      <c r="B129" s="261" t="s">
        <v>1190</v>
      </c>
      <c r="C129" s="261" t="s">
        <v>1551</v>
      </c>
      <c r="D129" s="261" t="s">
        <v>1035</v>
      </c>
      <c r="E129" s="263" t="s">
        <v>1068</v>
      </c>
      <c r="F129" s="261" t="s">
        <v>1730</v>
      </c>
      <c r="G129" s="262">
        <v>557</v>
      </c>
      <c r="H129" s="262">
        <v>21730658.75</v>
      </c>
      <c r="I129" s="262">
        <v>8809590.5370000005</v>
      </c>
      <c r="J129" s="261" t="s">
        <v>1575</v>
      </c>
      <c r="K129" s="261" t="s">
        <v>1855</v>
      </c>
    </row>
    <row r="130" spans="1:11" x14ac:dyDescent="0.25">
      <c r="A130" s="261" t="s">
        <v>987</v>
      </c>
      <c r="B130" s="261" t="s">
        <v>1126</v>
      </c>
      <c r="C130" s="261" t="s">
        <v>1558</v>
      </c>
      <c r="D130" s="261" t="s">
        <v>1046</v>
      </c>
      <c r="E130" s="263" t="s">
        <v>1068</v>
      </c>
      <c r="F130" s="261" t="s">
        <v>1731</v>
      </c>
      <c r="G130" s="262">
        <v>484</v>
      </c>
      <c r="H130" s="262">
        <v>768107.99999999988</v>
      </c>
      <c r="I130" s="262"/>
      <c r="J130" s="261" t="s">
        <v>1574</v>
      </c>
      <c r="K130" s="261" t="s">
        <v>1856</v>
      </c>
    </row>
    <row r="131" spans="1:11" x14ac:dyDescent="0.25">
      <c r="A131" s="261" t="s">
        <v>987</v>
      </c>
      <c r="B131" s="261" t="s">
        <v>1125</v>
      </c>
      <c r="C131" s="261" t="s">
        <v>1558</v>
      </c>
      <c r="D131" s="261" t="s">
        <v>1046</v>
      </c>
      <c r="E131" s="263" t="s">
        <v>1068</v>
      </c>
      <c r="F131" s="261" t="s">
        <v>1731</v>
      </c>
      <c r="G131" s="262">
        <v>37.33</v>
      </c>
      <c r="H131" s="262">
        <v>246844.62499999994</v>
      </c>
      <c r="I131" s="262"/>
      <c r="J131" s="261" t="s">
        <v>1574</v>
      </c>
      <c r="K131" s="261" t="s">
        <v>1856</v>
      </c>
    </row>
    <row r="132" spans="1:11" x14ac:dyDescent="0.25">
      <c r="A132" s="261" t="s">
        <v>987</v>
      </c>
      <c r="B132" s="261" t="s">
        <v>1116</v>
      </c>
      <c r="C132" s="261" t="s">
        <v>1558</v>
      </c>
      <c r="D132" s="261" t="s">
        <v>1046</v>
      </c>
      <c r="E132" s="263" t="s">
        <v>1068</v>
      </c>
      <c r="F132" s="261" t="s">
        <v>1731</v>
      </c>
      <c r="G132" s="262">
        <v>15.84</v>
      </c>
      <c r="H132" s="262">
        <v>104741.99999999999</v>
      </c>
      <c r="I132" s="262">
        <v>83384.769600000014</v>
      </c>
      <c r="J132" s="261" t="s">
        <v>1574</v>
      </c>
      <c r="K132" s="261" t="s">
        <v>1856</v>
      </c>
    </row>
    <row r="133" spans="1:11" x14ac:dyDescent="0.25">
      <c r="A133" s="261" t="s">
        <v>987</v>
      </c>
      <c r="B133" s="261" t="s">
        <v>1124</v>
      </c>
      <c r="C133" s="261" t="s">
        <v>1558</v>
      </c>
      <c r="D133" s="261" t="s">
        <v>1046</v>
      </c>
      <c r="E133" s="263" t="s">
        <v>1068</v>
      </c>
      <c r="F133" s="261" t="s">
        <v>1731</v>
      </c>
      <c r="G133" s="262">
        <v>3.72</v>
      </c>
      <c r="H133" s="262">
        <v>809290.64999999991</v>
      </c>
      <c r="I133" s="262"/>
      <c r="J133" s="261" t="s">
        <v>1574</v>
      </c>
      <c r="K133" s="261" t="s">
        <v>1856</v>
      </c>
    </row>
    <row r="134" spans="1:11" x14ac:dyDescent="0.25">
      <c r="A134" s="261" t="s">
        <v>987</v>
      </c>
      <c r="B134" s="261" t="s">
        <v>1114</v>
      </c>
      <c r="C134" s="261" t="s">
        <v>1558</v>
      </c>
      <c r="D134" s="261" t="s">
        <v>1046</v>
      </c>
      <c r="E134" s="263" t="s">
        <v>1068</v>
      </c>
      <c r="F134" s="261" t="s">
        <v>1731</v>
      </c>
      <c r="G134" s="262">
        <v>4.3600000000000003</v>
      </c>
      <c r="H134" s="262">
        <v>948523.45</v>
      </c>
      <c r="I134" s="262">
        <v>1296095.4342000003</v>
      </c>
      <c r="J134" s="261" t="s">
        <v>1574</v>
      </c>
      <c r="K134" s="261" t="s">
        <v>1856</v>
      </c>
    </row>
    <row r="135" spans="1:11" x14ac:dyDescent="0.25">
      <c r="A135" s="261" t="s">
        <v>987</v>
      </c>
      <c r="B135" s="261" t="s">
        <v>1127</v>
      </c>
      <c r="C135" s="261" t="s">
        <v>1558</v>
      </c>
      <c r="D135" s="261" t="s">
        <v>1046</v>
      </c>
      <c r="E135" s="263" t="s">
        <v>1068</v>
      </c>
      <c r="F135" s="261" t="s">
        <v>1731</v>
      </c>
      <c r="G135" s="262">
        <v>33.200000000000003</v>
      </c>
      <c r="H135" s="262">
        <v>7222701.5</v>
      </c>
      <c r="I135" s="262"/>
      <c r="J135" s="261" t="s">
        <v>1574</v>
      </c>
      <c r="K135" s="261" t="s">
        <v>1856</v>
      </c>
    </row>
    <row r="136" spans="1:11" x14ac:dyDescent="0.25">
      <c r="A136" s="261" t="s">
        <v>987</v>
      </c>
      <c r="B136" s="261" t="s">
        <v>1111</v>
      </c>
      <c r="C136" s="261" t="s">
        <v>1558</v>
      </c>
      <c r="D136" s="261" t="s">
        <v>1046</v>
      </c>
      <c r="E136" s="263" t="s">
        <v>1068</v>
      </c>
      <c r="F136" s="261" t="s">
        <v>1731</v>
      </c>
      <c r="G136" s="262">
        <v>3.07</v>
      </c>
      <c r="H136" s="262">
        <v>1195850.9599999997</v>
      </c>
      <c r="I136" s="262">
        <v>1634052.3465600002</v>
      </c>
      <c r="J136" s="261" t="s">
        <v>1574</v>
      </c>
      <c r="K136" s="261" t="s">
        <v>1856</v>
      </c>
    </row>
    <row r="137" spans="1:11" x14ac:dyDescent="0.25">
      <c r="A137" s="261" t="s">
        <v>987</v>
      </c>
      <c r="B137" s="261" t="s">
        <v>1131</v>
      </c>
      <c r="C137" s="261" t="s">
        <v>1558</v>
      </c>
      <c r="D137" s="261" t="s">
        <v>1046</v>
      </c>
      <c r="E137" s="263" t="s">
        <v>1068</v>
      </c>
      <c r="F137" s="261" t="s">
        <v>1731</v>
      </c>
      <c r="G137" s="262">
        <v>78.98</v>
      </c>
      <c r="H137" s="262">
        <v>1106272.8599999999</v>
      </c>
      <c r="I137" s="262">
        <v>1511649.7149600002</v>
      </c>
      <c r="J137" s="261" t="s">
        <v>1574</v>
      </c>
      <c r="K137" s="261" t="s">
        <v>1856</v>
      </c>
    </row>
    <row r="138" spans="1:11" x14ac:dyDescent="0.25">
      <c r="A138" s="261" t="s">
        <v>987</v>
      </c>
      <c r="B138" s="261" t="s">
        <v>1122</v>
      </c>
      <c r="C138" s="261" t="s">
        <v>1558</v>
      </c>
      <c r="D138" s="261" t="s">
        <v>1046</v>
      </c>
      <c r="E138" s="263" t="s">
        <v>1068</v>
      </c>
      <c r="F138" s="261" t="s">
        <v>1731</v>
      </c>
      <c r="G138" s="262">
        <v>26.4</v>
      </c>
      <c r="H138" s="262">
        <v>174569.99999999997</v>
      </c>
      <c r="I138" s="262"/>
      <c r="J138" s="261" t="s">
        <v>1574</v>
      </c>
      <c r="K138" s="261" t="s">
        <v>1856</v>
      </c>
    </row>
    <row r="139" spans="1:11" x14ac:dyDescent="0.25">
      <c r="A139" s="261" t="s">
        <v>987</v>
      </c>
      <c r="B139" s="261" t="s">
        <v>1123</v>
      </c>
      <c r="C139" s="261" t="s">
        <v>1558</v>
      </c>
      <c r="D139" s="261" t="s">
        <v>1046</v>
      </c>
      <c r="E139" s="263" t="s">
        <v>1068</v>
      </c>
      <c r="F139" s="261" t="s">
        <v>1731</v>
      </c>
      <c r="G139" s="262">
        <v>198</v>
      </c>
      <c r="H139" s="262">
        <v>314225.99999999994</v>
      </c>
      <c r="I139" s="262"/>
      <c r="J139" s="261" t="s">
        <v>1574</v>
      </c>
      <c r="K139" s="261" t="s">
        <v>1856</v>
      </c>
    </row>
    <row r="140" spans="1:11" x14ac:dyDescent="0.25">
      <c r="A140" s="261" t="s">
        <v>987</v>
      </c>
      <c r="B140" s="261" t="s">
        <v>1121</v>
      </c>
      <c r="C140" s="261" t="s">
        <v>1558</v>
      </c>
      <c r="D140" s="261" t="s">
        <v>1046</v>
      </c>
      <c r="E140" s="263" t="s">
        <v>1068</v>
      </c>
      <c r="F140" s="261" t="s">
        <v>1731</v>
      </c>
      <c r="G140" s="262">
        <v>1.65</v>
      </c>
      <c r="H140" s="262">
        <v>358959.56249999994</v>
      </c>
      <c r="I140" s="262"/>
      <c r="J140" s="261" t="s">
        <v>1574</v>
      </c>
      <c r="K140" s="261" t="s">
        <v>1856</v>
      </c>
    </row>
    <row r="141" spans="1:11" x14ac:dyDescent="0.25">
      <c r="A141" s="261" t="s">
        <v>987</v>
      </c>
      <c r="B141" s="261" t="s">
        <v>1118</v>
      </c>
      <c r="C141" s="261" t="s">
        <v>1558</v>
      </c>
      <c r="D141" s="261" t="s">
        <v>1046</v>
      </c>
      <c r="E141" s="263" t="s">
        <v>1068</v>
      </c>
      <c r="F141" s="261" t="s">
        <v>1731</v>
      </c>
      <c r="G141" s="262">
        <v>436</v>
      </c>
      <c r="H141" s="262">
        <v>691931.99999999988</v>
      </c>
      <c r="I141" s="262">
        <v>253498.24799999999</v>
      </c>
      <c r="J141" s="261" t="s">
        <v>1574</v>
      </c>
      <c r="K141" s="261" t="s">
        <v>1856</v>
      </c>
    </row>
    <row r="142" spans="1:11" x14ac:dyDescent="0.25">
      <c r="A142" s="261" t="s">
        <v>987</v>
      </c>
      <c r="B142" s="261" t="s">
        <v>1129</v>
      </c>
      <c r="C142" s="261" t="s">
        <v>1558</v>
      </c>
      <c r="D142" s="261" t="s">
        <v>1046</v>
      </c>
      <c r="E142" s="263" t="s">
        <v>1068</v>
      </c>
      <c r="F142" s="261" t="s">
        <v>1731</v>
      </c>
      <c r="G142" s="262">
        <v>66.8</v>
      </c>
      <c r="H142" s="262">
        <v>441714.99999999994</v>
      </c>
      <c r="I142" s="262"/>
      <c r="J142" s="261" t="s">
        <v>1574</v>
      </c>
      <c r="K142" s="261" t="s">
        <v>1856</v>
      </c>
    </row>
    <row r="143" spans="1:11" x14ac:dyDescent="0.25">
      <c r="A143" s="261" t="s">
        <v>987</v>
      </c>
      <c r="B143" s="261" t="s">
        <v>1130</v>
      </c>
      <c r="C143" s="261" t="s">
        <v>1558</v>
      </c>
      <c r="D143" s="261" t="s">
        <v>1046</v>
      </c>
      <c r="E143" s="263" t="s">
        <v>1068</v>
      </c>
      <c r="F143" s="261" t="s">
        <v>1731</v>
      </c>
      <c r="G143" s="262">
        <v>2324</v>
      </c>
      <c r="H143" s="262">
        <v>3688187.9999999995</v>
      </c>
      <c r="I143" s="262"/>
      <c r="J143" s="261" t="s">
        <v>1574</v>
      </c>
      <c r="K143" s="261" t="s">
        <v>1856</v>
      </c>
    </row>
    <row r="144" spans="1:11" x14ac:dyDescent="0.25">
      <c r="A144" s="261" t="s">
        <v>987</v>
      </c>
      <c r="B144" s="261" t="s">
        <v>1308</v>
      </c>
      <c r="C144" s="261" t="s">
        <v>1820</v>
      </c>
      <c r="D144" s="261" t="s">
        <v>1017</v>
      </c>
      <c r="E144" s="263" t="s">
        <v>1068</v>
      </c>
      <c r="F144" s="261" t="s">
        <v>1542</v>
      </c>
      <c r="G144" s="262">
        <v>5</v>
      </c>
      <c r="H144" s="262">
        <v>991874.99999999988</v>
      </c>
      <c r="I144" s="262">
        <v>167746.95000000001</v>
      </c>
      <c r="J144" s="261" t="s">
        <v>1575</v>
      </c>
      <c r="K144" s="261" t="s">
        <v>1852</v>
      </c>
    </row>
    <row r="145" spans="1:11" x14ac:dyDescent="0.25">
      <c r="A145" s="261" t="s">
        <v>987</v>
      </c>
      <c r="B145" s="261" t="s">
        <v>1351</v>
      </c>
      <c r="C145" s="261" t="s">
        <v>1821</v>
      </c>
      <c r="D145" s="261" t="s">
        <v>1014</v>
      </c>
      <c r="E145" s="263" t="s">
        <v>1068</v>
      </c>
      <c r="F145" s="261" t="s">
        <v>1542</v>
      </c>
      <c r="G145" s="262">
        <v>12</v>
      </c>
      <c r="H145" s="262">
        <v>7141500</v>
      </c>
      <c r="I145" s="262">
        <v>460105.92000000004</v>
      </c>
      <c r="J145" s="261" t="s">
        <v>1575</v>
      </c>
      <c r="K145" s="261" t="s">
        <v>1852</v>
      </c>
    </row>
    <row r="146" spans="1:11" x14ac:dyDescent="0.25">
      <c r="A146" s="261" t="s">
        <v>987</v>
      </c>
      <c r="B146" s="261" t="s">
        <v>1306</v>
      </c>
      <c r="C146" s="261" t="s">
        <v>1820</v>
      </c>
      <c r="D146" s="261" t="s">
        <v>1017</v>
      </c>
      <c r="E146" s="263" t="s">
        <v>1068</v>
      </c>
      <c r="F146" s="261" t="s">
        <v>1542</v>
      </c>
      <c r="G146" s="262">
        <v>10</v>
      </c>
      <c r="H146" s="262">
        <v>991874.99999999988</v>
      </c>
      <c r="I146" s="262">
        <v>134197.56</v>
      </c>
      <c r="J146" s="261" t="s">
        <v>1575</v>
      </c>
      <c r="K146" s="261" t="s">
        <v>1852</v>
      </c>
    </row>
    <row r="147" spans="1:11" x14ac:dyDescent="0.25">
      <c r="A147" s="261" t="s">
        <v>987</v>
      </c>
      <c r="B147" s="261" t="s">
        <v>1303</v>
      </c>
      <c r="C147" s="261" t="s">
        <v>1820</v>
      </c>
      <c r="D147" s="261" t="s">
        <v>1017</v>
      </c>
      <c r="E147" s="263" t="s">
        <v>1068</v>
      </c>
      <c r="F147" s="261" t="s">
        <v>1542</v>
      </c>
      <c r="G147" s="262">
        <v>20</v>
      </c>
      <c r="H147" s="262">
        <v>1983749.9999999998</v>
      </c>
      <c r="I147" s="262">
        <v>220467.42</v>
      </c>
      <c r="J147" s="261" t="s">
        <v>1575</v>
      </c>
      <c r="K147" s="261" t="s">
        <v>1852</v>
      </c>
    </row>
    <row r="148" spans="1:11" x14ac:dyDescent="0.25">
      <c r="A148" s="261" t="s">
        <v>987</v>
      </c>
      <c r="B148" s="261" t="s">
        <v>1088</v>
      </c>
      <c r="C148" s="261" t="s">
        <v>1558</v>
      </c>
      <c r="D148" s="261" t="s">
        <v>1046</v>
      </c>
      <c r="E148" s="263" t="s">
        <v>1068</v>
      </c>
      <c r="F148" s="261" t="s">
        <v>1542</v>
      </c>
      <c r="G148" s="262">
        <v>1</v>
      </c>
      <c r="H148" s="262">
        <v>4322539.5</v>
      </c>
      <c r="I148" s="262">
        <v>5906468.3220000006</v>
      </c>
      <c r="J148" s="261" t="s">
        <v>1574</v>
      </c>
      <c r="K148" s="261" t="s">
        <v>1852</v>
      </c>
    </row>
    <row r="149" spans="1:11" x14ac:dyDescent="0.25">
      <c r="A149" s="261" t="s">
        <v>987</v>
      </c>
      <c r="B149" s="261" t="s">
        <v>1310</v>
      </c>
      <c r="C149" s="261" t="s">
        <v>1820</v>
      </c>
      <c r="D149" s="261" t="s">
        <v>1017</v>
      </c>
      <c r="E149" s="263" t="s">
        <v>1068</v>
      </c>
      <c r="F149" s="261" t="s">
        <v>1542</v>
      </c>
      <c r="G149" s="262">
        <v>6</v>
      </c>
      <c r="H149" s="262">
        <v>87284.999999999985</v>
      </c>
      <c r="I149" s="262"/>
      <c r="J149" s="261" t="s">
        <v>1574</v>
      </c>
      <c r="K149" s="261" t="s">
        <v>1852</v>
      </c>
    </row>
    <row r="150" spans="1:11" x14ac:dyDescent="0.25">
      <c r="A150" s="261" t="s">
        <v>987</v>
      </c>
      <c r="B150" s="261" t="s">
        <v>1328</v>
      </c>
      <c r="C150" s="261" t="s">
        <v>1820</v>
      </c>
      <c r="D150" s="261" t="s">
        <v>1017</v>
      </c>
      <c r="E150" s="263" t="s">
        <v>1068</v>
      </c>
      <c r="F150" s="261" t="s">
        <v>1542</v>
      </c>
      <c r="G150" s="262">
        <v>4</v>
      </c>
      <c r="H150" s="262">
        <v>52899.999999999993</v>
      </c>
      <c r="I150" s="262"/>
      <c r="J150" s="261" t="s">
        <v>1574</v>
      </c>
      <c r="K150" s="261" t="s">
        <v>1852</v>
      </c>
    </row>
    <row r="151" spans="1:11" x14ac:dyDescent="0.25">
      <c r="A151" s="261" t="s">
        <v>987</v>
      </c>
      <c r="B151" s="261" t="s">
        <v>1299</v>
      </c>
      <c r="C151" s="261" t="s">
        <v>1555</v>
      </c>
      <c r="D151" s="261" t="s">
        <v>1020</v>
      </c>
      <c r="E151" s="263" t="s">
        <v>1068</v>
      </c>
      <c r="F151" s="261" t="s">
        <v>1542</v>
      </c>
      <c r="G151" s="262">
        <v>8</v>
      </c>
      <c r="H151" s="262">
        <v>899299.99999999988</v>
      </c>
      <c r="I151" s="262">
        <v>80518.536000000007</v>
      </c>
      <c r="J151" s="261" t="s">
        <v>1575</v>
      </c>
      <c r="K151" s="261" t="s">
        <v>1852</v>
      </c>
    </row>
    <row r="152" spans="1:11" x14ac:dyDescent="0.25">
      <c r="A152" s="261" t="s">
        <v>987</v>
      </c>
      <c r="B152" s="261" t="s">
        <v>1090</v>
      </c>
      <c r="C152" s="261" t="s">
        <v>1558</v>
      </c>
      <c r="D152" s="261" t="s">
        <v>1046</v>
      </c>
      <c r="E152" s="263" t="s">
        <v>1068</v>
      </c>
      <c r="F152" s="261" t="s">
        <v>1542</v>
      </c>
      <c r="G152" s="262">
        <v>1</v>
      </c>
      <c r="H152" s="262">
        <v>2883050</v>
      </c>
      <c r="I152" s="262">
        <v>3939499.8000000003</v>
      </c>
      <c r="J152" s="261" t="s">
        <v>1574</v>
      </c>
      <c r="K152" s="261" t="s">
        <v>1852</v>
      </c>
    </row>
    <row r="153" spans="1:11" x14ac:dyDescent="0.25">
      <c r="A153" s="261" t="s">
        <v>987</v>
      </c>
      <c r="B153" s="261" t="s">
        <v>1297</v>
      </c>
      <c r="C153" s="261" t="s">
        <v>1555</v>
      </c>
      <c r="D153" s="261" t="s">
        <v>1020</v>
      </c>
      <c r="E153" s="263" t="s">
        <v>1068</v>
      </c>
      <c r="F153" s="261" t="s">
        <v>1542</v>
      </c>
      <c r="G153" s="262">
        <v>10</v>
      </c>
      <c r="H153" s="262">
        <v>925750</v>
      </c>
      <c r="I153" s="262">
        <v>76684.320000000007</v>
      </c>
      <c r="J153" s="261" t="s">
        <v>1575</v>
      </c>
      <c r="K153" s="261" t="s">
        <v>1852</v>
      </c>
    </row>
    <row r="154" spans="1:11" x14ac:dyDescent="0.25">
      <c r="A154" s="261" t="s">
        <v>987</v>
      </c>
      <c r="B154" s="261" t="s">
        <v>1295</v>
      </c>
      <c r="C154" s="261" t="s">
        <v>1555</v>
      </c>
      <c r="D154" s="261" t="s">
        <v>1020</v>
      </c>
      <c r="E154" s="263" t="s">
        <v>1068</v>
      </c>
      <c r="F154" s="261" t="s">
        <v>1542</v>
      </c>
      <c r="G154" s="262">
        <v>1</v>
      </c>
      <c r="H154" s="262">
        <v>15869999.999999998</v>
      </c>
      <c r="I154" s="262"/>
      <c r="J154" s="261" t="s">
        <v>1574</v>
      </c>
      <c r="K154" s="261" t="s">
        <v>1852</v>
      </c>
    </row>
    <row r="155" spans="1:11" x14ac:dyDescent="0.25">
      <c r="A155" s="261" t="s">
        <v>987</v>
      </c>
      <c r="B155" s="261" t="s">
        <v>1293</v>
      </c>
      <c r="C155" s="261" t="s">
        <v>1555</v>
      </c>
      <c r="D155" s="261" t="s">
        <v>1020</v>
      </c>
      <c r="E155" s="263" t="s">
        <v>1068</v>
      </c>
      <c r="F155" s="261" t="s">
        <v>1542</v>
      </c>
      <c r="G155" s="262">
        <v>1</v>
      </c>
      <c r="H155" s="262">
        <v>1653124.9999999998</v>
      </c>
      <c r="I155" s="262"/>
      <c r="J155" s="261" t="s">
        <v>1574</v>
      </c>
      <c r="K155" s="261" t="s">
        <v>1852</v>
      </c>
    </row>
    <row r="156" spans="1:11" x14ac:dyDescent="0.25">
      <c r="A156" s="261" t="s">
        <v>987</v>
      </c>
      <c r="B156" s="261" t="s">
        <v>1291</v>
      </c>
      <c r="C156" s="261" t="s">
        <v>1555</v>
      </c>
      <c r="D156" s="261" t="s">
        <v>1020</v>
      </c>
      <c r="E156" s="263" t="s">
        <v>1068</v>
      </c>
      <c r="F156" s="261" t="s">
        <v>1542</v>
      </c>
      <c r="G156" s="262">
        <v>1</v>
      </c>
      <c r="H156" s="262">
        <v>1454750</v>
      </c>
      <c r="I156" s="262"/>
      <c r="J156" s="261" t="s">
        <v>1574</v>
      </c>
      <c r="K156" s="261" t="s">
        <v>1852</v>
      </c>
    </row>
    <row r="157" spans="1:11" x14ac:dyDescent="0.25">
      <c r="A157" s="261" t="s">
        <v>987</v>
      </c>
      <c r="B157" s="261" t="s">
        <v>1301</v>
      </c>
      <c r="C157" s="261" t="s">
        <v>1555</v>
      </c>
      <c r="D157" s="261" t="s">
        <v>1020</v>
      </c>
      <c r="E157" s="263" t="s">
        <v>1068</v>
      </c>
      <c r="F157" s="261" t="s">
        <v>1542</v>
      </c>
      <c r="G157" s="262">
        <v>4</v>
      </c>
      <c r="H157" s="262">
        <v>634800</v>
      </c>
      <c r="I157" s="262">
        <v>49844.808000000012</v>
      </c>
      <c r="J157" s="261" t="s">
        <v>1575</v>
      </c>
      <c r="K157" s="261" t="s">
        <v>1852</v>
      </c>
    </row>
    <row r="158" spans="1:11" x14ac:dyDescent="0.25">
      <c r="A158" s="261" t="s">
        <v>987</v>
      </c>
      <c r="B158" s="261" t="s">
        <v>1348</v>
      </c>
      <c r="C158" s="261" t="s">
        <v>1821</v>
      </c>
      <c r="D158" s="261" t="s">
        <v>1014</v>
      </c>
      <c r="E158" s="263" t="s">
        <v>1068</v>
      </c>
      <c r="F158" s="261" t="s">
        <v>1542</v>
      </c>
      <c r="G158" s="262">
        <v>34</v>
      </c>
      <c r="H158" s="262">
        <v>10341950</v>
      </c>
      <c r="I158" s="262">
        <v>1466587.62</v>
      </c>
      <c r="J158" s="261" t="s">
        <v>1575</v>
      </c>
      <c r="K158" s="261" t="s">
        <v>1852</v>
      </c>
    </row>
    <row r="159" spans="1:11" x14ac:dyDescent="0.25">
      <c r="A159" s="261" t="s">
        <v>987</v>
      </c>
      <c r="B159" s="261" t="s">
        <v>1346</v>
      </c>
      <c r="C159" s="261" t="s">
        <v>1820</v>
      </c>
      <c r="D159" s="261" t="s">
        <v>1017</v>
      </c>
      <c r="E159" s="263" t="s">
        <v>1068</v>
      </c>
      <c r="F159" s="261" t="s">
        <v>1542</v>
      </c>
      <c r="G159" s="262">
        <v>10</v>
      </c>
      <c r="H159" s="262">
        <v>2645000</v>
      </c>
      <c r="I159" s="262">
        <v>527204.69999999995</v>
      </c>
      <c r="J159" s="261" t="s">
        <v>1575</v>
      </c>
      <c r="K159" s="261" t="s">
        <v>1852</v>
      </c>
    </row>
    <row r="160" spans="1:11" x14ac:dyDescent="0.25">
      <c r="A160" s="261" t="s">
        <v>987</v>
      </c>
      <c r="B160" s="261" t="s">
        <v>1326</v>
      </c>
      <c r="C160" s="261" t="s">
        <v>1820</v>
      </c>
      <c r="D160" s="261" t="s">
        <v>1017</v>
      </c>
      <c r="E160" s="263" t="s">
        <v>1068</v>
      </c>
      <c r="F160" s="261" t="s">
        <v>1542</v>
      </c>
      <c r="G160" s="262">
        <v>1</v>
      </c>
      <c r="H160" s="262">
        <v>162667.5</v>
      </c>
      <c r="I160" s="262">
        <v>19171.080000000002</v>
      </c>
      <c r="J160" s="261" t="s">
        <v>1575</v>
      </c>
      <c r="K160" s="261" t="s">
        <v>1852</v>
      </c>
    </row>
    <row r="161" spans="1:11" x14ac:dyDescent="0.25">
      <c r="A161" s="261" t="s">
        <v>987</v>
      </c>
      <c r="B161" s="261" t="s">
        <v>1344</v>
      </c>
      <c r="C161" s="261" t="s">
        <v>1820</v>
      </c>
      <c r="D161" s="261" t="s">
        <v>1001</v>
      </c>
      <c r="E161" s="263" t="s">
        <v>1068</v>
      </c>
      <c r="F161" s="261" t="s">
        <v>1542</v>
      </c>
      <c r="G161" s="262">
        <v>1</v>
      </c>
      <c r="H161" s="262">
        <v>661250</v>
      </c>
      <c r="I161" s="262"/>
      <c r="J161" s="261" t="s">
        <v>1574</v>
      </c>
      <c r="K161" s="261" t="s">
        <v>1852</v>
      </c>
    </row>
    <row r="162" spans="1:11" x14ac:dyDescent="0.25">
      <c r="A162" s="261" t="s">
        <v>987</v>
      </c>
      <c r="B162" s="261" t="s">
        <v>1314</v>
      </c>
      <c r="C162" s="261" t="s">
        <v>1820</v>
      </c>
      <c r="D162" s="261" t="s">
        <v>1017</v>
      </c>
      <c r="E162" s="263" t="s">
        <v>1068</v>
      </c>
      <c r="F162" s="261" t="s">
        <v>1542</v>
      </c>
      <c r="G162" s="262">
        <v>6</v>
      </c>
      <c r="H162" s="262">
        <v>515775</v>
      </c>
      <c r="I162" s="262">
        <v>48886.254000000001</v>
      </c>
      <c r="J162" s="261" t="s">
        <v>1575</v>
      </c>
      <c r="K162" s="261" t="s">
        <v>1852</v>
      </c>
    </row>
    <row r="163" spans="1:11" x14ac:dyDescent="0.25">
      <c r="A163" s="261" t="s">
        <v>987</v>
      </c>
      <c r="B163" s="261" t="s">
        <v>1342</v>
      </c>
      <c r="C163" s="261" t="s">
        <v>1820</v>
      </c>
      <c r="D163" s="261" t="s">
        <v>1001</v>
      </c>
      <c r="E163" s="263" t="s">
        <v>1068</v>
      </c>
      <c r="F163" s="261" t="s">
        <v>1542</v>
      </c>
      <c r="G163" s="262">
        <v>1</v>
      </c>
      <c r="H163" s="262">
        <v>211599.99999999997</v>
      </c>
      <c r="I163" s="262">
        <v>100648.17000000001</v>
      </c>
      <c r="J163" s="261" t="s">
        <v>1575</v>
      </c>
      <c r="K163" s="261" t="s">
        <v>1852</v>
      </c>
    </row>
    <row r="164" spans="1:11" x14ac:dyDescent="0.25">
      <c r="A164" s="261" t="s">
        <v>987</v>
      </c>
      <c r="B164" s="261" t="s">
        <v>1316</v>
      </c>
      <c r="C164" s="261" t="s">
        <v>1820</v>
      </c>
      <c r="D164" s="261" t="s">
        <v>1017</v>
      </c>
      <c r="E164" s="263" t="s">
        <v>1068</v>
      </c>
      <c r="F164" s="261" t="s">
        <v>1542</v>
      </c>
      <c r="G164" s="262">
        <v>1</v>
      </c>
      <c r="H164" s="262">
        <v>1190250</v>
      </c>
      <c r="I164" s="262"/>
      <c r="J164" s="261" t="s">
        <v>1574</v>
      </c>
      <c r="K164" s="261" t="s">
        <v>1852</v>
      </c>
    </row>
    <row r="165" spans="1:11" x14ac:dyDescent="0.25">
      <c r="A165" s="261" t="s">
        <v>987</v>
      </c>
      <c r="B165" s="261" t="s">
        <v>1340</v>
      </c>
      <c r="C165" s="261" t="s">
        <v>1820</v>
      </c>
      <c r="D165" s="261" t="s">
        <v>1001</v>
      </c>
      <c r="E165" s="263" t="s">
        <v>1068</v>
      </c>
      <c r="F165" s="261" t="s">
        <v>1542</v>
      </c>
      <c r="G165" s="262">
        <v>1</v>
      </c>
      <c r="H165" s="262">
        <v>1256375</v>
      </c>
      <c r="I165" s="262">
        <v>153368.64000000001</v>
      </c>
      <c r="J165" s="261" t="s">
        <v>1575</v>
      </c>
      <c r="K165" s="261" t="s">
        <v>1852</v>
      </c>
    </row>
    <row r="166" spans="1:11" x14ac:dyDescent="0.25">
      <c r="A166" s="261" t="s">
        <v>987</v>
      </c>
      <c r="B166" s="261" t="s">
        <v>1318</v>
      </c>
      <c r="C166" s="261" t="s">
        <v>1820</v>
      </c>
      <c r="D166" s="261" t="s">
        <v>1017</v>
      </c>
      <c r="E166" s="263" t="s">
        <v>1068</v>
      </c>
      <c r="F166" s="261" t="s">
        <v>1542</v>
      </c>
      <c r="G166" s="262">
        <v>1</v>
      </c>
      <c r="H166" s="262">
        <v>661250</v>
      </c>
      <c r="I166" s="262"/>
      <c r="J166" s="261" t="s">
        <v>1574</v>
      </c>
      <c r="K166" s="261" t="s">
        <v>1852</v>
      </c>
    </row>
    <row r="167" spans="1:11" x14ac:dyDescent="0.25">
      <c r="A167" s="261" t="s">
        <v>987</v>
      </c>
      <c r="B167" s="261" t="s">
        <v>1338</v>
      </c>
      <c r="C167" s="261" t="s">
        <v>1820</v>
      </c>
      <c r="D167" s="261" t="s">
        <v>1001</v>
      </c>
      <c r="E167" s="263" t="s">
        <v>1068</v>
      </c>
      <c r="F167" s="261" t="s">
        <v>1542</v>
      </c>
      <c r="G167" s="262">
        <v>10</v>
      </c>
      <c r="H167" s="262">
        <v>2578874.9999999995</v>
      </c>
      <c r="I167" s="262">
        <v>287566.2</v>
      </c>
      <c r="J167" s="261" t="s">
        <v>1575</v>
      </c>
      <c r="K167" s="261" t="s">
        <v>1852</v>
      </c>
    </row>
    <row r="168" spans="1:11" x14ac:dyDescent="0.25">
      <c r="A168" s="261" t="s">
        <v>987</v>
      </c>
      <c r="B168" s="261" t="s">
        <v>1320</v>
      </c>
      <c r="C168" s="261" t="s">
        <v>1820</v>
      </c>
      <c r="D168" s="261" t="s">
        <v>1017</v>
      </c>
      <c r="E168" s="263" t="s">
        <v>1068</v>
      </c>
      <c r="F168" s="261" t="s">
        <v>1542</v>
      </c>
      <c r="G168" s="262">
        <v>1</v>
      </c>
      <c r="H168" s="262">
        <v>85962.5</v>
      </c>
      <c r="I168" s="262"/>
      <c r="J168" s="261" t="s">
        <v>1574</v>
      </c>
      <c r="K168" s="261" t="s">
        <v>1852</v>
      </c>
    </row>
    <row r="169" spans="1:11" x14ac:dyDescent="0.25">
      <c r="A169" s="261" t="s">
        <v>987</v>
      </c>
      <c r="B169" s="261" t="s">
        <v>1336</v>
      </c>
      <c r="C169" s="261" t="s">
        <v>1820</v>
      </c>
      <c r="D169" s="261" t="s">
        <v>1001</v>
      </c>
      <c r="E169" s="263" t="s">
        <v>1068</v>
      </c>
      <c r="F169" s="261" t="s">
        <v>1542</v>
      </c>
      <c r="G169" s="262">
        <v>5</v>
      </c>
      <c r="H169" s="262">
        <v>1565840</v>
      </c>
      <c r="I169" s="262">
        <v>191710.80000000002</v>
      </c>
      <c r="J169" s="261" t="s">
        <v>1575</v>
      </c>
      <c r="K169" s="261" t="s">
        <v>1852</v>
      </c>
    </row>
    <row r="170" spans="1:11" x14ac:dyDescent="0.25">
      <c r="A170" s="261" t="s">
        <v>987</v>
      </c>
      <c r="B170" s="261" t="s">
        <v>1322</v>
      </c>
      <c r="C170" s="261" t="s">
        <v>1820</v>
      </c>
      <c r="D170" s="261" t="s">
        <v>1017</v>
      </c>
      <c r="E170" s="263" t="s">
        <v>1068</v>
      </c>
      <c r="F170" s="261" t="s">
        <v>1542</v>
      </c>
      <c r="G170" s="262">
        <v>4</v>
      </c>
      <c r="H170" s="262">
        <v>327980</v>
      </c>
      <c r="I170" s="262">
        <v>53679.024000000005</v>
      </c>
      <c r="J170" s="261" t="s">
        <v>1575</v>
      </c>
      <c r="K170" s="261" t="s">
        <v>1852</v>
      </c>
    </row>
    <row r="171" spans="1:11" x14ac:dyDescent="0.25">
      <c r="A171" s="261" t="s">
        <v>987</v>
      </c>
      <c r="B171" s="261" t="s">
        <v>1334</v>
      </c>
      <c r="C171" s="261" t="s">
        <v>1820</v>
      </c>
      <c r="D171" s="261" t="s">
        <v>1017</v>
      </c>
      <c r="E171" s="263" t="s">
        <v>1068</v>
      </c>
      <c r="F171" s="261" t="s">
        <v>1542</v>
      </c>
      <c r="G171" s="262">
        <v>1</v>
      </c>
      <c r="H171" s="262">
        <v>661250</v>
      </c>
      <c r="I171" s="262"/>
      <c r="J171" s="261" t="s">
        <v>1574</v>
      </c>
      <c r="K171" s="261" t="s">
        <v>1852</v>
      </c>
    </row>
    <row r="172" spans="1:11" x14ac:dyDescent="0.25">
      <c r="A172" s="261" t="s">
        <v>987</v>
      </c>
      <c r="B172" s="261" t="s">
        <v>1332</v>
      </c>
      <c r="C172" s="261" t="s">
        <v>1820</v>
      </c>
      <c r="D172" s="261" t="s">
        <v>1017</v>
      </c>
      <c r="E172" s="263" t="s">
        <v>1068</v>
      </c>
      <c r="F172" s="261" t="s">
        <v>1542</v>
      </c>
      <c r="G172" s="262">
        <v>1</v>
      </c>
      <c r="H172" s="262">
        <v>925749.99999999988</v>
      </c>
      <c r="I172" s="262"/>
      <c r="J172" s="261" t="s">
        <v>1574</v>
      </c>
      <c r="K172" s="261" t="s">
        <v>1852</v>
      </c>
    </row>
    <row r="173" spans="1:11" x14ac:dyDescent="0.25">
      <c r="A173" s="261" t="s">
        <v>987</v>
      </c>
      <c r="B173" s="261" t="s">
        <v>1330</v>
      </c>
      <c r="C173" s="261" t="s">
        <v>1820</v>
      </c>
      <c r="D173" s="261" t="s">
        <v>1017</v>
      </c>
      <c r="E173" s="263" t="s">
        <v>1068</v>
      </c>
      <c r="F173" s="261" t="s">
        <v>1542</v>
      </c>
      <c r="G173" s="262">
        <v>1</v>
      </c>
      <c r="H173" s="262">
        <v>859624.99999999988</v>
      </c>
      <c r="I173" s="262"/>
      <c r="J173" s="261" t="s">
        <v>1574</v>
      </c>
      <c r="K173" s="261" t="s">
        <v>1852</v>
      </c>
    </row>
    <row r="174" spans="1:11" x14ac:dyDescent="0.25">
      <c r="A174" s="261" t="s">
        <v>987</v>
      </c>
      <c r="B174" s="261" t="s">
        <v>1312</v>
      </c>
      <c r="C174" s="261" t="s">
        <v>1820</v>
      </c>
      <c r="D174" s="261" t="s">
        <v>1017</v>
      </c>
      <c r="E174" s="263" t="s">
        <v>1068</v>
      </c>
      <c r="F174" s="261" t="s">
        <v>1542</v>
      </c>
      <c r="G174" s="262">
        <v>25</v>
      </c>
      <c r="H174" s="262">
        <v>1818437.5</v>
      </c>
      <c r="I174" s="262">
        <v>275584.27500000002</v>
      </c>
      <c r="J174" s="261" t="s">
        <v>1575</v>
      </c>
      <c r="K174" s="261" t="s">
        <v>1852</v>
      </c>
    </row>
    <row r="175" spans="1:11" x14ac:dyDescent="0.25">
      <c r="A175" s="261" t="s">
        <v>987</v>
      </c>
      <c r="B175" s="261" t="s">
        <v>1324</v>
      </c>
      <c r="C175" s="261" t="s">
        <v>1820</v>
      </c>
      <c r="D175" s="261" t="s">
        <v>1017</v>
      </c>
      <c r="E175" s="263" t="s">
        <v>1068</v>
      </c>
      <c r="F175" s="261" t="s">
        <v>1542</v>
      </c>
      <c r="G175" s="262">
        <v>4</v>
      </c>
      <c r="H175" s="262">
        <v>555450</v>
      </c>
      <c r="I175" s="262">
        <v>105440.94</v>
      </c>
      <c r="J175" s="261" t="s">
        <v>1575</v>
      </c>
      <c r="K175" s="261" t="s">
        <v>1852</v>
      </c>
    </row>
    <row r="176" spans="1:11" x14ac:dyDescent="0.25">
      <c r="A176" s="261" t="s">
        <v>987</v>
      </c>
      <c r="B176" s="261" t="s">
        <v>1393</v>
      </c>
      <c r="C176" s="261" t="s">
        <v>1821</v>
      </c>
      <c r="D176" s="261" t="s">
        <v>1014</v>
      </c>
      <c r="E176" s="263" t="s">
        <v>1068</v>
      </c>
      <c r="F176" s="261" t="s">
        <v>1542</v>
      </c>
      <c r="G176" s="262">
        <v>60</v>
      </c>
      <c r="H176" s="262">
        <v>333270</v>
      </c>
      <c r="I176" s="262"/>
      <c r="J176" s="261" t="s">
        <v>1574</v>
      </c>
      <c r="K176" s="261" t="s">
        <v>1852</v>
      </c>
    </row>
    <row r="177" spans="1:11" x14ac:dyDescent="0.25">
      <c r="A177" s="261" t="s">
        <v>987</v>
      </c>
      <c r="B177" s="261" t="s">
        <v>1433</v>
      </c>
      <c r="C177" s="261" t="s">
        <v>1823</v>
      </c>
      <c r="D177" s="261" t="s">
        <v>1039</v>
      </c>
      <c r="E177" s="263" t="s">
        <v>1068</v>
      </c>
      <c r="F177" s="261" t="s">
        <v>1542</v>
      </c>
      <c r="G177" s="262">
        <v>190</v>
      </c>
      <c r="H177" s="262">
        <v>38182874.999999993</v>
      </c>
      <c r="I177" s="262">
        <v>2914004.16</v>
      </c>
      <c r="J177" s="261" t="s">
        <v>1575</v>
      </c>
      <c r="K177" s="261" t="s">
        <v>1852</v>
      </c>
    </row>
    <row r="178" spans="1:11" x14ac:dyDescent="0.25">
      <c r="A178" s="261" t="s">
        <v>987</v>
      </c>
      <c r="B178" s="261" t="s">
        <v>1289</v>
      </c>
      <c r="C178" s="261" t="s">
        <v>1555</v>
      </c>
      <c r="D178" s="261" t="s">
        <v>1020</v>
      </c>
      <c r="E178" s="263" t="s">
        <v>1068</v>
      </c>
      <c r="F178" s="261" t="s">
        <v>1542</v>
      </c>
      <c r="G178" s="262">
        <v>1</v>
      </c>
      <c r="H178" s="262">
        <v>1190250</v>
      </c>
      <c r="I178" s="262"/>
      <c r="J178" s="261" t="s">
        <v>1574</v>
      </c>
      <c r="K178" s="261" t="s">
        <v>1852</v>
      </c>
    </row>
    <row r="179" spans="1:11" x14ac:dyDescent="0.25">
      <c r="A179" s="261" t="s">
        <v>987</v>
      </c>
      <c r="B179" s="261" t="s">
        <v>1371</v>
      </c>
      <c r="C179" s="261" t="s">
        <v>1821</v>
      </c>
      <c r="D179" s="261" t="s">
        <v>1014</v>
      </c>
      <c r="E179" s="263" t="s">
        <v>1068</v>
      </c>
      <c r="F179" s="261" t="s">
        <v>1542</v>
      </c>
      <c r="G179" s="262">
        <v>120</v>
      </c>
      <c r="H179" s="262">
        <v>1317210</v>
      </c>
      <c r="I179" s="262"/>
      <c r="J179" s="261" t="s">
        <v>1574</v>
      </c>
      <c r="K179" s="261" t="s">
        <v>1852</v>
      </c>
    </row>
    <row r="180" spans="1:11" x14ac:dyDescent="0.25">
      <c r="A180" s="261" t="s">
        <v>987</v>
      </c>
      <c r="B180" s="261" t="s">
        <v>1373</v>
      </c>
      <c r="C180" s="261" t="s">
        <v>1821</v>
      </c>
      <c r="D180" s="261" t="s">
        <v>1014</v>
      </c>
      <c r="E180" s="263" t="s">
        <v>1068</v>
      </c>
      <c r="F180" s="261" t="s">
        <v>1542</v>
      </c>
      <c r="G180" s="262">
        <v>400</v>
      </c>
      <c r="H180" s="262">
        <v>5163039.9999999991</v>
      </c>
      <c r="I180" s="262"/>
      <c r="J180" s="261" t="s">
        <v>1574</v>
      </c>
      <c r="K180" s="261" t="s">
        <v>1852</v>
      </c>
    </row>
    <row r="181" spans="1:11" x14ac:dyDescent="0.25">
      <c r="A181" s="261" t="s">
        <v>987</v>
      </c>
      <c r="B181" s="261" t="s">
        <v>1405</v>
      </c>
      <c r="C181" s="261" t="s">
        <v>1821</v>
      </c>
      <c r="D181" s="261" t="s">
        <v>1014</v>
      </c>
      <c r="E181" s="263" t="s">
        <v>1068</v>
      </c>
      <c r="F181" s="261" t="s">
        <v>1542</v>
      </c>
      <c r="G181" s="262">
        <v>15</v>
      </c>
      <c r="H181" s="262">
        <v>198374.99999999997</v>
      </c>
      <c r="I181" s="262"/>
      <c r="J181" s="261" t="s">
        <v>1574</v>
      </c>
      <c r="K181" s="261" t="s">
        <v>1852</v>
      </c>
    </row>
    <row r="182" spans="1:11" x14ac:dyDescent="0.25">
      <c r="A182" s="261" t="s">
        <v>987</v>
      </c>
      <c r="B182" s="261" t="s">
        <v>1403</v>
      </c>
      <c r="C182" s="261" t="s">
        <v>1821</v>
      </c>
      <c r="D182" s="261" t="s">
        <v>1014</v>
      </c>
      <c r="E182" s="263" t="s">
        <v>1068</v>
      </c>
      <c r="F182" s="261" t="s">
        <v>1542</v>
      </c>
      <c r="G182" s="262">
        <v>5</v>
      </c>
      <c r="H182" s="262">
        <v>2314374.9999999995</v>
      </c>
      <c r="I182" s="262"/>
      <c r="J182" s="261" t="s">
        <v>1574</v>
      </c>
      <c r="K182" s="261" t="s">
        <v>1852</v>
      </c>
    </row>
    <row r="183" spans="1:11" x14ac:dyDescent="0.25">
      <c r="A183" s="261" t="s">
        <v>987</v>
      </c>
      <c r="B183" s="261" t="s">
        <v>1399</v>
      </c>
      <c r="C183" s="261" t="s">
        <v>1821</v>
      </c>
      <c r="D183" s="261" t="s">
        <v>1014</v>
      </c>
      <c r="E183" s="263" t="s">
        <v>1068</v>
      </c>
      <c r="F183" s="261" t="s">
        <v>1542</v>
      </c>
      <c r="G183" s="262">
        <v>1</v>
      </c>
      <c r="H183" s="262">
        <v>1983749.9999999998</v>
      </c>
      <c r="I183" s="262"/>
      <c r="J183" s="261" t="s">
        <v>1574</v>
      </c>
      <c r="K183" s="261" t="s">
        <v>1852</v>
      </c>
    </row>
    <row r="184" spans="1:11" x14ac:dyDescent="0.25">
      <c r="A184" s="261" t="s">
        <v>987</v>
      </c>
      <c r="B184" s="261" t="s">
        <v>1397</v>
      </c>
      <c r="C184" s="261" t="s">
        <v>1821</v>
      </c>
      <c r="D184" s="261" t="s">
        <v>1014</v>
      </c>
      <c r="E184" s="263" t="s">
        <v>1068</v>
      </c>
      <c r="F184" s="261" t="s">
        <v>1542</v>
      </c>
      <c r="G184" s="262">
        <v>35</v>
      </c>
      <c r="H184" s="262">
        <v>22161650</v>
      </c>
      <c r="I184" s="262"/>
      <c r="J184" s="261" t="s">
        <v>1574</v>
      </c>
      <c r="K184" s="261" t="s">
        <v>1852</v>
      </c>
    </row>
    <row r="185" spans="1:11" x14ac:dyDescent="0.25">
      <c r="A185" s="261" t="s">
        <v>987</v>
      </c>
      <c r="B185" s="261" t="s">
        <v>1407</v>
      </c>
      <c r="C185" s="261" t="s">
        <v>1821</v>
      </c>
      <c r="D185" s="261" t="s">
        <v>1014</v>
      </c>
      <c r="E185" s="263" t="s">
        <v>1068</v>
      </c>
      <c r="F185" s="261" t="s">
        <v>1542</v>
      </c>
      <c r="G185" s="262">
        <v>1</v>
      </c>
      <c r="H185" s="262">
        <v>991874.99999999988</v>
      </c>
      <c r="I185" s="262"/>
      <c r="J185" s="261" t="s">
        <v>1574</v>
      </c>
      <c r="K185" s="261" t="s">
        <v>1852</v>
      </c>
    </row>
    <row r="186" spans="1:11" x14ac:dyDescent="0.25">
      <c r="A186" s="261" t="s">
        <v>987</v>
      </c>
      <c r="B186" s="261" t="s">
        <v>1375</v>
      </c>
      <c r="C186" s="261" t="s">
        <v>1821</v>
      </c>
      <c r="D186" s="261" t="s">
        <v>1014</v>
      </c>
      <c r="E186" s="263" t="s">
        <v>1068</v>
      </c>
      <c r="F186" s="261" t="s">
        <v>1542</v>
      </c>
      <c r="G186" s="262">
        <v>80</v>
      </c>
      <c r="H186" s="262">
        <v>1280179.9999999998</v>
      </c>
      <c r="I186" s="262"/>
      <c r="J186" s="261" t="s">
        <v>1574</v>
      </c>
      <c r="K186" s="261" t="s">
        <v>1852</v>
      </c>
    </row>
    <row r="187" spans="1:11" x14ac:dyDescent="0.25">
      <c r="A187" s="261" t="s">
        <v>987</v>
      </c>
      <c r="B187" s="261" t="s">
        <v>1379</v>
      </c>
      <c r="C187" s="261" t="s">
        <v>1821</v>
      </c>
      <c r="D187" s="261" t="s">
        <v>1014</v>
      </c>
      <c r="E187" s="263" t="s">
        <v>1068</v>
      </c>
      <c r="F187" s="261" t="s">
        <v>1542</v>
      </c>
      <c r="G187" s="262">
        <v>10</v>
      </c>
      <c r="H187" s="262">
        <v>271112.49999999994</v>
      </c>
      <c r="I187" s="262"/>
      <c r="J187" s="261" t="s">
        <v>1574</v>
      </c>
      <c r="K187" s="261" t="s">
        <v>1852</v>
      </c>
    </row>
    <row r="188" spans="1:11" x14ac:dyDescent="0.25">
      <c r="A188" s="261" t="s">
        <v>987</v>
      </c>
      <c r="B188" s="261" t="s">
        <v>1381</v>
      </c>
      <c r="C188" s="261" t="s">
        <v>1821</v>
      </c>
      <c r="D188" s="261" t="s">
        <v>1014</v>
      </c>
      <c r="E188" s="263" t="s">
        <v>1068</v>
      </c>
      <c r="F188" s="261" t="s">
        <v>1542</v>
      </c>
      <c r="G188" s="262">
        <v>50</v>
      </c>
      <c r="H188" s="262">
        <v>343849.99999999994</v>
      </c>
      <c r="I188" s="262"/>
      <c r="J188" s="261" t="s">
        <v>1574</v>
      </c>
      <c r="K188" s="261" t="s">
        <v>1852</v>
      </c>
    </row>
    <row r="189" spans="1:11" x14ac:dyDescent="0.25">
      <c r="A189" s="261" t="s">
        <v>987</v>
      </c>
      <c r="B189" s="261" t="s">
        <v>1383</v>
      </c>
      <c r="C189" s="261" t="s">
        <v>1821</v>
      </c>
      <c r="D189" s="261" t="s">
        <v>1014</v>
      </c>
      <c r="E189" s="263" t="s">
        <v>1068</v>
      </c>
      <c r="F189" s="261" t="s">
        <v>1542</v>
      </c>
      <c r="G189" s="262">
        <v>50</v>
      </c>
      <c r="H189" s="262">
        <v>310787.49999999994</v>
      </c>
      <c r="I189" s="262"/>
      <c r="J189" s="261" t="s">
        <v>1574</v>
      </c>
      <c r="K189" s="261" t="s">
        <v>1852</v>
      </c>
    </row>
    <row r="190" spans="1:11" x14ac:dyDescent="0.25">
      <c r="A190" s="261" t="s">
        <v>987</v>
      </c>
      <c r="B190" s="261" t="s">
        <v>1385</v>
      </c>
      <c r="C190" s="261" t="s">
        <v>1821</v>
      </c>
      <c r="D190" s="261" t="s">
        <v>1014</v>
      </c>
      <c r="E190" s="263" t="s">
        <v>1068</v>
      </c>
      <c r="F190" s="261" t="s">
        <v>1542</v>
      </c>
      <c r="G190" s="262">
        <v>150</v>
      </c>
      <c r="H190" s="262">
        <v>833175</v>
      </c>
      <c r="I190" s="262"/>
      <c r="J190" s="261" t="s">
        <v>1574</v>
      </c>
      <c r="K190" s="261" t="s">
        <v>1852</v>
      </c>
    </row>
    <row r="191" spans="1:11" x14ac:dyDescent="0.25">
      <c r="A191" s="261" t="s">
        <v>987</v>
      </c>
      <c r="B191" s="261" t="s">
        <v>1387</v>
      </c>
      <c r="C191" s="261" t="s">
        <v>1821</v>
      </c>
      <c r="D191" s="261" t="s">
        <v>1014</v>
      </c>
      <c r="E191" s="263" t="s">
        <v>1068</v>
      </c>
      <c r="F191" s="261" t="s">
        <v>1542</v>
      </c>
      <c r="G191" s="262">
        <v>40</v>
      </c>
      <c r="H191" s="262">
        <v>195730</v>
      </c>
      <c r="I191" s="262"/>
      <c r="J191" s="261" t="s">
        <v>1574</v>
      </c>
      <c r="K191" s="261" t="s">
        <v>1852</v>
      </c>
    </row>
    <row r="192" spans="1:11" x14ac:dyDescent="0.25">
      <c r="A192" s="261" t="s">
        <v>987</v>
      </c>
      <c r="B192" s="261" t="s">
        <v>1389</v>
      </c>
      <c r="C192" s="261" t="s">
        <v>1821</v>
      </c>
      <c r="D192" s="261" t="s">
        <v>1014</v>
      </c>
      <c r="E192" s="263" t="s">
        <v>1068</v>
      </c>
      <c r="F192" s="261" t="s">
        <v>1542</v>
      </c>
      <c r="G192" s="262">
        <v>150</v>
      </c>
      <c r="H192" s="262">
        <v>595124.99999999988</v>
      </c>
      <c r="I192" s="262"/>
      <c r="J192" s="261" t="s">
        <v>1574</v>
      </c>
      <c r="K192" s="261" t="s">
        <v>1852</v>
      </c>
    </row>
    <row r="193" spans="1:11" x14ac:dyDescent="0.25">
      <c r="A193" s="261" t="s">
        <v>987</v>
      </c>
      <c r="B193" s="261" t="s">
        <v>1391</v>
      </c>
      <c r="C193" s="261" t="s">
        <v>1821</v>
      </c>
      <c r="D193" s="261" t="s">
        <v>1014</v>
      </c>
      <c r="E193" s="263" t="s">
        <v>1068</v>
      </c>
      <c r="F193" s="261" t="s">
        <v>1542</v>
      </c>
      <c r="G193" s="262">
        <v>150</v>
      </c>
      <c r="H193" s="262">
        <v>733987.5</v>
      </c>
      <c r="I193" s="262"/>
      <c r="J193" s="261" t="s">
        <v>1574</v>
      </c>
      <c r="K193" s="261" t="s">
        <v>1852</v>
      </c>
    </row>
    <row r="194" spans="1:11" x14ac:dyDescent="0.25">
      <c r="A194" s="261" t="s">
        <v>987</v>
      </c>
      <c r="B194" s="261" t="s">
        <v>1377</v>
      </c>
      <c r="C194" s="261" t="s">
        <v>1821</v>
      </c>
      <c r="D194" s="261" t="s">
        <v>1014</v>
      </c>
      <c r="E194" s="263" t="s">
        <v>1068</v>
      </c>
      <c r="F194" s="261" t="s">
        <v>1542</v>
      </c>
      <c r="G194" s="262">
        <v>25</v>
      </c>
      <c r="H194" s="262">
        <v>613151.25</v>
      </c>
      <c r="I194" s="262"/>
      <c r="J194" s="261" t="s">
        <v>1574</v>
      </c>
      <c r="K194" s="261" t="s">
        <v>1852</v>
      </c>
    </row>
    <row r="195" spans="1:11" x14ac:dyDescent="0.25">
      <c r="A195" s="261" t="s">
        <v>987</v>
      </c>
      <c r="B195" s="261" t="s">
        <v>1092</v>
      </c>
      <c r="C195" s="261" t="s">
        <v>1558</v>
      </c>
      <c r="D195" s="261" t="s">
        <v>1046</v>
      </c>
      <c r="E195" s="263" t="s">
        <v>1068</v>
      </c>
      <c r="F195" s="261" t="s">
        <v>1542</v>
      </c>
      <c r="G195" s="262">
        <v>1</v>
      </c>
      <c r="H195" s="262">
        <v>4845453.6999999993</v>
      </c>
      <c r="I195" s="262">
        <v>6620996.4732000008</v>
      </c>
      <c r="J195" s="261" t="s">
        <v>1574</v>
      </c>
      <c r="K195" s="261" t="s">
        <v>1852</v>
      </c>
    </row>
    <row r="196" spans="1:11" x14ac:dyDescent="0.25">
      <c r="A196" s="261" t="s">
        <v>987</v>
      </c>
      <c r="B196" s="261" t="s">
        <v>1409</v>
      </c>
      <c r="C196" s="261" t="s">
        <v>1821</v>
      </c>
      <c r="D196" s="261" t="s">
        <v>1014</v>
      </c>
      <c r="E196" s="263" t="s">
        <v>1068</v>
      </c>
      <c r="F196" s="261" t="s">
        <v>1542</v>
      </c>
      <c r="G196" s="262">
        <v>1</v>
      </c>
      <c r="H196" s="262">
        <v>661250</v>
      </c>
      <c r="I196" s="262"/>
      <c r="J196" s="261" t="s">
        <v>1574</v>
      </c>
      <c r="K196" s="261" t="s">
        <v>1852</v>
      </c>
    </row>
    <row r="197" spans="1:11" x14ac:dyDescent="0.25">
      <c r="A197" s="261" t="s">
        <v>987</v>
      </c>
      <c r="B197" s="261" t="s">
        <v>1412</v>
      </c>
      <c r="C197" s="261" t="s">
        <v>1821</v>
      </c>
      <c r="D197" s="261" t="s">
        <v>1014</v>
      </c>
      <c r="E197" s="263" t="s">
        <v>1068</v>
      </c>
      <c r="F197" s="261" t="s">
        <v>1542</v>
      </c>
      <c r="G197" s="262">
        <v>6</v>
      </c>
      <c r="H197" s="262">
        <v>182504.99999999997</v>
      </c>
      <c r="I197" s="262"/>
      <c r="J197" s="261" t="s">
        <v>1574</v>
      </c>
      <c r="K197" s="261" t="s">
        <v>1852</v>
      </c>
    </row>
    <row r="198" spans="1:11" x14ac:dyDescent="0.25">
      <c r="A198" s="261" t="s">
        <v>987</v>
      </c>
      <c r="B198" s="261" t="s">
        <v>1353</v>
      </c>
      <c r="C198" s="261" t="s">
        <v>1821</v>
      </c>
      <c r="D198" s="261" t="s">
        <v>1014</v>
      </c>
      <c r="E198" s="263" t="s">
        <v>1068</v>
      </c>
      <c r="F198" s="261" t="s">
        <v>1542</v>
      </c>
      <c r="G198" s="262">
        <v>32</v>
      </c>
      <c r="H198" s="262">
        <v>4655200</v>
      </c>
      <c r="I198" s="262">
        <v>690158.88</v>
      </c>
      <c r="J198" s="261" t="s">
        <v>1575</v>
      </c>
      <c r="K198" s="261" t="s">
        <v>1852</v>
      </c>
    </row>
    <row r="199" spans="1:11" x14ac:dyDescent="0.25">
      <c r="A199" s="261" t="s">
        <v>987</v>
      </c>
      <c r="B199" s="261" t="s">
        <v>1355</v>
      </c>
      <c r="C199" s="261" t="s">
        <v>1821</v>
      </c>
      <c r="D199" s="261" t="s">
        <v>1014</v>
      </c>
      <c r="E199" s="263" t="s">
        <v>1068</v>
      </c>
      <c r="F199" s="261" t="s">
        <v>1542</v>
      </c>
      <c r="G199" s="262">
        <v>6</v>
      </c>
      <c r="H199" s="262">
        <v>753824.99999999988</v>
      </c>
      <c r="I199" s="262">
        <v>152410.08600000001</v>
      </c>
      <c r="J199" s="261" t="s">
        <v>1575</v>
      </c>
      <c r="K199" s="261" t="s">
        <v>1852</v>
      </c>
    </row>
    <row r="200" spans="1:11" x14ac:dyDescent="0.25">
      <c r="A200" s="261" t="s">
        <v>987</v>
      </c>
      <c r="B200" s="261" t="s">
        <v>1357</v>
      </c>
      <c r="C200" s="261" t="s">
        <v>1821</v>
      </c>
      <c r="D200" s="261" t="s">
        <v>1014</v>
      </c>
      <c r="E200" s="263" t="s">
        <v>1068</v>
      </c>
      <c r="F200" s="261" t="s">
        <v>1542</v>
      </c>
      <c r="G200" s="262">
        <v>5</v>
      </c>
      <c r="H200" s="262">
        <v>1157187.4999999998</v>
      </c>
      <c r="I200" s="262">
        <v>251620.42500000005</v>
      </c>
      <c r="J200" s="261" t="s">
        <v>1575</v>
      </c>
      <c r="K200" s="261" t="s">
        <v>1852</v>
      </c>
    </row>
    <row r="201" spans="1:11" x14ac:dyDescent="0.25">
      <c r="A201" s="261" t="s">
        <v>987</v>
      </c>
      <c r="B201" s="261" t="s">
        <v>1359</v>
      </c>
      <c r="C201" s="261" t="s">
        <v>1821</v>
      </c>
      <c r="D201" s="261" t="s">
        <v>1014</v>
      </c>
      <c r="E201" s="263" t="s">
        <v>1068</v>
      </c>
      <c r="F201" s="261" t="s">
        <v>1542</v>
      </c>
      <c r="G201" s="262">
        <v>5</v>
      </c>
      <c r="H201" s="262">
        <v>1421687.5</v>
      </c>
      <c r="I201" s="262">
        <v>323511.97500000003</v>
      </c>
      <c r="J201" s="261" t="s">
        <v>1575</v>
      </c>
      <c r="K201" s="261" t="s">
        <v>1852</v>
      </c>
    </row>
    <row r="202" spans="1:11" x14ac:dyDescent="0.25">
      <c r="A202" s="261" t="s">
        <v>987</v>
      </c>
      <c r="B202" s="261" t="s">
        <v>1361</v>
      </c>
      <c r="C202" s="261" t="s">
        <v>1821</v>
      </c>
      <c r="D202" s="261" t="s">
        <v>1014</v>
      </c>
      <c r="E202" s="263" t="s">
        <v>1068</v>
      </c>
      <c r="F202" s="261" t="s">
        <v>1542</v>
      </c>
      <c r="G202" s="262">
        <v>2</v>
      </c>
      <c r="H202" s="262">
        <v>727375</v>
      </c>
      <c r="I202" s="262">
        <v>153368.64000000001</v>
      </c>
      <c r="J202" s="261" t="s">
        <v>1575</v>
      </c>
      <c r="K202" s="261" t="s">
        <v>1852</v>
      </c>
    </row>
    <row r="203" spans="1:11" x14ac:dyDescent="0.25">
      <c r="A203" s="261" t="s">
        <v>987</v>
      </c>
      <c r="B203" s="261" t="s">
        <v>1363</v>
      </c>
      <c r="C203" s="261" t="s">
        <v>1821</v>
      </c>
      <c r="D203" s="261" t="s">
        <v>1014</v>
      </c>
      <c r="E203" s="263" t="s">
        <v>1068</v>
      </c>
      <c r="F203" s="261" t="s">
        <v>1542</v>
      </c>
      <c r="G203" s="262">
        <v>100</v>
      </c>
      <c r="H203" s="262">
        <v>489325</v>
      </c>
      <c r="I203" s="262"/>
      <c r="J203" s="261" t="s">
        <v>1574</v>
      </c>
      <c r="K203" s="261" t="s">
        <v>1852</v>
      </c>
    </row>
    <row r="204" spans="1:11" x14ac:dyDescent="0.25">
      <c r="A204" s="261" t="s">
        <v>987</v>
      </c>
      <c r="B204" s="261" t="s">
        <v>1094</v>
      </c>
      <c r="C204" s="261" t="s">
        <v>1558</v>
      </c>
      <c r="D204" s="261" t="s">
        <v>1046</v>
      </c>
      <c r="E204" s="263" t="s">
        <v>1068</v>
      </c>
      <c r="F204" s="261" t="s">
        <v>1542</v>
      </c>
      <c r="G204" s="262">
        <v>1</v>
      </c>
      <c r="H204" s="262">
        <v>5686750</v>
      </c>
      <c r="I204" s="262">
        <v>7770573.0000000009</v>
      </c>
      <c r="J204" s="261" t="s">
        <v>1574</v>
      </c>
      <c r="K204" s="261" t="s">
        <v>1852</v>
      </c>
    </row>
    <row r="205" spans="1:11" x14ac:dyDescent="0.25">
      <c r="A205" s="261" t="s">
        <v>987</v>
      </c>
      <c r="B205" s="261" t="s">
        <v>1411</v>
      </c>
      <c r="C205" s="261" t="s">
        <v>1821</v>
      </c>
      <c r="D205" s="261" t="s">
        <v>1014</v>
      </c>
      <c r="E205" s="263" t="s">
        <v>1068</v>
      </c>
      <c r="F205" s="261" t="s">
        <v>1542</v>
      </c>
      <c r="G205" s="262">
        <v>1</v>
      </c>
      <c r="H205" s="262">
        <v>462874.99999999994</v>
      </c>
      <c r="I205" s="262"/>
      <c r="J205" s="261" t="s">
        <v>1574</v>
      </c>
      <c r="K205" s="261" t="s">
        <v>1852</v>
      </c>
    </row>
    <row r="206" spans="1:11" x14ac:dyDescent="0.25">
      <c r="A206" s="261" t="s">
        <v>987</v>
      </c>
      <c r="B206" s="261" t="s">
        <v>1395</v>
      </c>
      <c r="C206" s="261" t="s">
        <v>1821</v>
      </c>
      <c r="D206" s="261" t="s">
        <v>1014</v>
      </c>
      <c r="E206" s="263" t="s">
        <v>1068</v>
      </c>
      <c r="F206" s="261" t="s">
        <v>1542</v>
      </c>
      <c r="G206" s="262">
        <v>60</v>
      </c>
      <c r="H206" s="262">
        <v>515775</v>
      </c>
      <c r="I206" s="262"/>
      <c r="J206" s="261" t="s">
        <v>1574</v>
      </c>
      <c r="K206" s="261" t="s">
        <v>1852</v>
      </c>
    </row>
    <row r="207" spans="1:11" x14ac:dyDescent="0.25">
      <c r="A207" s="261" t="s">
        <v>987</v>
      </c>
      <c r="B207" s="261" t="s">
        <v>1365</v>
      </c>
      <c r="C207" s="261" t="s">
        <v>1821</v>
      </c>
      <c r="D207" s="261" t="s">
        <v>1014</v>
      </c>
      <c r="E207" s="263" t="s">
        <v>1068</v>
      </c>
      <c r="F207" s="261" t="s">
        <v>1542</v>
      </c>
      <c r="G207" s="262">
        <v>100</v>
      </c>
      <c r="H207" s="262">
        <v>648024.99999999988</v>
      </c>
      <c r="I207" s="262"/>
      <c r="J207" s="261" t="s">
        <v>1574</v>
      </c>
      <c r="K207" s="261" t="s">
        <v>1852</v>
      </c>
    </row>
    <row r="208" spans="1:11" x14ac:dyDescent="0.25">
      <c r="A208" s="261" t="s">
        <v>987</v>
      </c>
      <c r="B208" s="261" t="s">
        <v>1367</v>
      </c>
      <c r="C208" s="261" t="s">
        <v>1821</v>
      </c>
      <c r="D208" s="261" t="s">
        <v>1014</v>
      </c>
      <c r="E208" s="263" t="s">
        <v>1068</v>
      </c>
      <c r="F208" s="261" t="s">
        <v>1542</v>
      </c>
      <c r="G208" s="262">
        <v>80</v>
      </c>
      <c r="H208" s="262">
        <v>550159.99999999988</v>
      </c>
      <c r="I208" s="262"/>
      <c r="J208" s="261" t="s">
        <v>1574</v>
      </c>
      <c r="K208" s="261" t="s">
        <v>1852</v>
      </c>
    </row>
    <row r="209" spans="1:11" x14ac:dyDescent="0.25">
      <c r="A209" s="261" t="s">
        <v>987</v>
      </c>
      <c r="B209" s="261" t="s">
        <v>1369</v>
      </c>
      <c r="C209" s="261" t="s">
        <v>1821</v>
      </c>
      <c r="D209" s="261" t="s">
        <v>1014</v>
      </c>
      <c r="E209" s="263" t="s">
        <v>1068</v>
      </c>
      <c r="F209" s="261" t="s">
        <v>1542</v>
      </c>
      <c r="G209" s="262">
        <v>90</v>
      </c>
      <c r="H209" s="262">
        <v>833175</v>
      </c>
      <c r="I209" s="262"/>
      <c r="J209" s="261" t="s">
        <v>1574</v>
      </c>
      <c r="K209" s="261" t="s">
        <v>1852</v>
      </c>
    </row>
    <row r="210" spans="1:11" x14ac:dyDescent="0.25">
      <c r="A210" s="261" t="s">
        <v>987</v>
      </c>
      <c r="B210" s="261" t="s">
        <v>1419</v>
      </c>
      <c r="C210" s="261" t="s">
        <v>1821</v>
      </c>
      <c r="D210" s="261" t="s">
        <v>1014</v>
      </c>
      <c r="E210" s="263" t="s">
        <v>1068</v>
      </c>
      <c r="F210" s="261" t="s">
        <v>1542</v>
      </c>
      <c r="G210" s="262">
        <v>30</v>
      </c>
      <c r="H210" s="262">
        <v>1007745</v>
      </c>
      <c r="I210" s="262"/>
      <c r="J210" s="261" t="s">
        <v>1574</v>
      </c>
      <c r="K210" s="261" t="s">
        <v>1852</v>
      </c>
    </row>
    <row r="211" spans="1:11" x14ac:dyDescent="0.25">
      <c r="A211" s="261" t="s">
        <v>987</v>
      </c>
      <c r="B211" s="261" t="s">
        <v>1417</v>
      </c>
      <c r="C211" s="261" t="s">
        <v>1821</v>
      </c>
      <c r="D211" s="261" t="s">
        <v>1014</v>
      </c>
      <c r="E211" s="263" t="s">
        <v>1068</v>
      </c>
      <c r="F211" s="261" t="s">
        <v>1542</v>
      </c>
      <c r="G211" s="262">
        <v>80</v>
      </c>
      <c r="H211" s="262">
        <v>1798600</v>
      </c>
      <c r="I211" s="262"/>
      <c r="J211" s="261" t="s">
        <v>1574</v>
      </c>
      <c r="K211" s="261" t="s">
        <v>1852</v>
      </c>
    </row>
    <row r="212" spans="1:11" x14ac:dyDescent="0.25">
      <c r="A212" s="261" t="s">
        <v>987</v>
      </c>
      <c r="B212" s="261" t="s">
        <v>1415</v>
      </c>
      <c r="C212" s="261" t="s">
        <v>1821</v>
      </c>
      <c r="D212" s="261" t="s">
        <v>1014</v>
      </c>
      <c r="E212" s="263" t="s">
        <v>1068</v>
      </c>
      <c r="F212" s="261" t="s">
        <v>1542</v>
      </c>
      <c r="G212" s="262">
        <v>50</v>
      </c>
      <c r="H212" s="262">
        <v>826562.5</v>
      </c>
      <c r="I212" s="262"/>
      <c r="J212" s="261" t="s">
        <v>1574</v>
      </c>
      <c r="K212" s="261" t="s">
        <v>1852</v>
      </c>
    </row>
    <row r="213" spans="1:11" x14ac:dyDescent="0.25">
      <c r="A213" s="261" t="s">
        <v>987</v>
      </c>
      <c r="B213" s="261" t="s">
        <v>1414</v>
      </c>
      <c r="C213" s="261" t="s">
        <v>1821</v>
      </c>
      <c r="D213" s="261" t="s">
        <v>1014</v>
      </c>
      <c r="E213" s="263" t="s">
        <v>1068</v>
      </c>
      <c r="F213" s="261" t="s">
        <v>1542</v>
      </c>
      <c r="G213" s="262">
        <v>5</v>
      </c>
      <c r="H213" s="262">
        <v>165312.5</v>
      </c>
      <c r="I213" s="262"/>
      <c r="J213" s="261" t="s">
        <v>1574</v>
      </c>
      <c r="K213" s="261" t="s">
        <v>1852</v>
      </c>
    </row>
    <row r="214" spans="1:11" x14ac:dyDescent="0.25">
      <c r="A214" s="261" t="s">
        <v>987</v>
      </c>
      <c r="B214" s="261" t="s">
        <v>1096</v>
      </c>
      <c r="C214" s="261" t="s">
        <v>1558</v>
      </c>
      <c r="D214" s="261" t="s">
        <v>1046</v>
      </c>
      <c r="E214" s="263" t="s">
        <v>1068</v>
      </c>
      <c r="F214" s="261" t="s">
        <v>1542</v>
      </c>
      <c r="G214" s="262">
        <v>1</v>
      </c>
      <c r="H214" s="262">
        <v>5514825</v>
      </c>
      <c r="I214" s="262">
        <v>7535648.7000000002</v>
      </c>
      <c r="J214" s="261" t="s">
        <v>1574</v>
      </c>
      <c r="K214" s="261" t="s">
        <v>1852</v>
      </c>
    </row>
    <row r="215" spans="1:11" x14ac:dyDescent="0.25">
      <c r="A215" s="261" t="s">
        <v>987</v>
      </c>
      <c r="B215" s="261" t="s">
        <v>1287</v>
      </c>
      <c r="C215" s="261" t="s">
        <v>1555</v>
      </c>
      <c r="D215" s="261" t="s">
        <v>1020</v>
      </c>
      <c r="E215" s="263" t="s">
        <v>1068</v>
      </c>
      <c r="F215" s="261" t="s">
        <v>1542</v>
      </c>
      <c r="G215" s="262">
        <v>62</v>
      </c>
      <c r="H215" s="262">
        <v>9019450</v>
      </c>
      <c r="I215" s="262">
        <v>267436.56600000005</v>
      </c>
      <c r="J215" s="261" t="s">
        <v>1575</v>
      </c>
      <c r="K215" s="261" t="s">
        <v>1852</v>
      </c>
    </row>
    <row r="216" spans="1:11" x14ac:dyDescent="0.25">
      <c r="A216" s="261" t="s">
        <v>987</v>
      </c>
      <c r="B216" s="261" t="s">
        <v>1081</v>
      </c>
      <c r="C216" s="261" t="s">
        <v>1558</v>
      </c>
      <c r="D216" s="261" t="s">
        <v>1046</v>
      </c>
      <c r="E216" s="263" t="s">
        <v>1068</v>
      </c>
      <c r="F216" s="261" t="s">
        <v>1542</v>
      </c>
      <c r="G216" s="262">
        <v>1</v>
      </c>
      <c r="H216" s="262">
        <v>5468537.5</v>
      </c>
      <c r="I216" s="262">
        <v>7472399.8500000006</v>
      </c>
      <c r="J216" s="261" t="s">
        <v>1574</v>
      </c>
      <c r="K216" s="261" t="s">
        <v>1852</v>
      </c>
    </row>
    <row r="217" spans="1:11" x14ac:dyDescent="0.25">
      <c r="A217" s="261" t="s">
        <v>987</v>
      </c>
      <c r="B217" s="261" t="s">
        <v>1283</v>
      </c>
      <c r="C217" s="261" t="s">
        <v>1555</v>
      </c>
      <c r="D217" s="261" t="s">
        <v>1020</v>
      </c>
      <c r="E217" s="263" t="s">
        <v>1068</v>
      </c>
      <c r="F217" s="261" t="s">
        <v>1542</v>
      </c>
      <c r="G217" s="262">
        <v>12</v>
      </c>
      <c r="H217" s="262">
        <v>7935000</v>
      </c>
      <c r="I217" s="262">
        <v>2875662.0000000005</v>
      </c>
      <c r="J217" s="261" t="s">
        <v>1575</v>
      </c>
      <c r="K217" s="261" t="s">
        <v>1852</v>
      </c>
    </row>
    <row r="218" spans="1:11" x14ac:dyDescent="0.25">
      <c r="A218" s="261" t="s">
        <v>987</v>
      </c>
      <c r="B218" s="261" t="s">
        <v>1240</v>
      </c>
      <c r="C218" s="261" t="s">
        <v>1554</v>
      </c>
      <c r="D218" s="261" t="s">
        <v>1023</v>
      </c>
      <c r="E218" s="263" t="s">
        <v>1068</v>
      </c>
      <c r="F218" s="261" t="s">
        <v>1542</v>
      </c>
      <c r="G218" s="262">
        <v>12</v>
      </c>
      <c r="H218" s="262">
        <v>285659.99999999994</v>
      </c>
      <c r="I218" s="262">
        <v>92021.184000000008</v>
      </c>
      <c r="J218" s="261" t="s">
        <v>1575</v>
      </c>
      <c r="K218" s="261" t="s">
        <v>1852</v>
      </c>
    </row>
    <row r="219" spans="1:11" x14ac:dyDescent="0.25">
      <c r="A219" s="261" t="s">
        <v>987</v>
      </c>
      <c r="B219" s="261" t="s">
        <v>1238</v>
      </c>
      <c r="C219" s="261" t="s">
        <v>1554</v>
      </c>
      <c r="D219" s="261" t="s">
        <v>1023</v>
      </c>
      <c r="E219" s="263" t="s">
        <v>1068</v>
      </c>
      <c r="F219" s="261" t="s">
        <v>1542</v>
      </c>
      <c r="G219" s="262">
        <v>8</v>
      </c>
      <c r="H219" s="262">
        <v>126959.99999999999</v>
      </c>
      <c r="I219" s="262">
        <v>42176.376000000011</v>
      </c>
      <c r="J219" s="261" t="s">
        <v>1575</v>
      </c>
      <c r="K219" s="261" t="s">
        <v>1852</v>
      </c>
    </row>
    <row r="220" spans="1:11" x14ac:dyDescent="0.25">
      <c r="A220" s="261" t="s">
        <v>987</v>
      </c>
      <c r="B220" s="261" t="s">
        <v>1234</v>
      </c>
      <c r="C220" s="261" t="s">
        <v>1554</v>
      </c>
      <c r="D220" s="261" t="s">
        <v>1023</v>
      </c>
      <c r="E220" s="263" t="s">
        <v>1068</v>
      </c>
      <c r="F220" s="261" t="s">
        <v>1542</v>
      </c>
      <c r="G220" s="262">
        <v>36</v>
      </c>
      <c r="H220" s="262">
        <v>196650</v>
      </c>
      <c r="I220" s="262">
        <v>431349.30000000005</v>
      </c>
      <c r="J220" s="261" t="s">
        <v>1574</v>
      </c>
      <c r="K220" s="261" t="s">
        <v>1852</v>
      </c>
    </row>
    <row r="221" spans="1:11" x14ac:dyDescent="0.25">
      <c r="A221" s="261" t="s">
        <v>987</v>
      </c>
      <c r="B221" s="261" t="s">
        <v>1232</v>
      </c>
      <c r="C221" s="261" t="s">
        <v>1554</v>
      </c>
      <c r="D221" s="261" t="s">
        <v>1023</v>
      </c>
      <c r="E221" s="263" t="s">
        <v>1068</v>
      </c>
      <c r="F221" s="261" t="s">
        <v>1542</v>
      </c>
      <c r="G221" s="262">
        <v>20</v>
      </c>
      <c r="H221" s="262">
        <v>925750</v>
      </c>
      <c r="I221" s="262">
        <v>191710.80000000002</v>
      </c>
      <c r="J221" s="261" t="s">
        <v>1575</v>
      </c>
      <c r="K221" s="261" t="s">
        <v>1852</v>
      </c>
    </row>
    <row r="222" spans="1:11" x14ac:dyDescent="0.25">
      <c r="A222" s="261" t="s">
        <v>987</v>
      </c>
      <c r="B222" s="261" t="s">
        <v>1230</v>
      </c>
      <c r="C222" s="261" t="s">
        <v>1554</v>
      </c>
      <c r="D222" s="261" t="s">
        <v>1023</v>
      </c>
      <c r="E222" s="263" t="s">
        <v>1068</v>
      </c>
      <c r="F222" s="261" t="s">
        <v>1542</v>
      </c>
      <c r="G222" s="262">
        <v>257</v>
      </c>
      <c r="H222" s="262">
        <v>1403862.5</v>
      </c>
      <c r="I222" s="262">
        <v>2093961.2130000002</v>
      </c>
      <c r="J222" s="261" t="s">
        <v>1574</v>
      </c>
      <c r="K222" s="261" t="s">
        <v>1852</v>
      </c>
    </row>
    <row r="223" spans="1:11" x14ac:dyDescent="0.25">
      <c r="A223" s="261" t="s">
        <v>987</v>
      </c>
      <c r="B223" s="261" t="s">
        <v>1227</v>
      </c>
      <c r="C223" s="261" t="s">
        <v>1554</v>
      </c>
      <c r="D223" s="261" t="s">
        <v>1023</v>
      </c>
      <c r="E223" s="263" t="s">
        <v>1068</v>
      </c>
      <c r="F223" s="261" t="s">
        <v>1542</v>
      </c>
      <c r="G223" s="262">
        <v>135</v>
      </c>
      <c r="H223" s="262">
        <v>6248812.5</v>
      </c>
      <c r="I223" s="262">
        <v>1552857.4800000002</v>
      </c>
      <c r="J223" s="261" t="s">
        <v>1575</v>
      </c>
      <c r="K223" s="261" t="s">
        <v>1852</v>
      </c>
    </row>
    <row r="224" spans="1:11" x14ac:dyDescent="0.25">
      <c r="A224" s="261" t="s">
        <v>987</v>
      </c>
      <c r="B224" s="261" t="s">
        <v>1098</v>
      </c>
      <c r="C224" s="261" t="s">
        <v>1558</v>
      </c>
      <c r="D224" s="261" t="s">
        <v>1046</v>
      </c>
      <c r="E224" s="263" t="s">
        <v>1068</v>
      </c>
      <c r="F224" s="261" t="s">
        <v>1542</v>
      </c>
      <c r="G224" s="262">
        <v>1</v>
      </c>
      <c r="H224" s="262">
        <v>1454750</v>
      </c>
      <c r="I224" s="262">
        <v>1987821.0000000002</v>
      </c>
      <c r="J224" s="261" t="s">
        <v>1574</v>
      </c>
      <c r="K224" s="261" t="s">
        <v>1852</v>
      </c>
    </row>
    <row r="225" spans="1:11" x14ac:dyDescent="0.25">
      <c r="A225" s="261" t="s">
        <v>987</v>
      </c>
      <c r="B225" s="261" t="s">
        <v>1106</v>
      </c>
      <c r="C225" s="261" t="s">
        <v>1558</v>
      </c>
      <c r="D225" s="261" t="s">
        <v>1046</v>
      </c>
      <c r="E225" s="263" t="s">
        <v>1068</v>
      </c>
      <c r="F225" s="261" t="s">
        <v>1542</v>
      </c>
      <c r="G225" s="262">
        <v>1</v>
      </c>
      <c r="H225" s="262">
        <v>634800</v>
      </c>
      <c r="I225" s="262">
        <v>867412.8</v>
      </c>
      <c r="J225" s="261" t="s">
        <v>1574</v>
      </c>
      <c r="K225" s="261" t="s">
        <v>1852</v>
      </c>
    </row>
    <row r="226" spans="1:11" x14ac:dyDescent="0.25">
      <c r="A226" s="261" t="s">
        <v>987</v>
      </c>
      <c r="B226" s="261" t="s">
        <v>1212</v>
      </c>
      <c r="C226" s="261" t="s">
        <v>1564</v>
      </c>
      <c r="D226" s="261" t="s">
        <v>1032</v>
      </c>
      <c r="E226" s="263" t="s">
        <v>1068</v>
      </c>
      <c r="F226" s="261" t="s">
        <v>1542</v>
      </c>
      <c r="G226" s="262">
        <v>11.24</v>
      </c>
      <c r="H226" s="262">
        <v>1263516.4999999998</v>
      </c>
      <c r="I226" s="262">
        <v>215482.93920000002</v>
      </c>
      <c r="J226" s="261" t="s">
        <v>1575</v>
      </c>
      <c r="K226" s="261" t="s">
        <v>1852</v>
      </c>
    </row>
    <row r="227" spans="1:11" x14ac:dyDescent="0.25">
      <c r="A227" s="261" t="s">
        <v>987</v>
      </c>
      <c r="B227" s="261" t="s">
        <v>1210</v>
      </c>
      <c r="C227" s="261" t="s">
        <v>1564</v>
      </c>
      <c r="D227" s="261" t="s">
        <v>1032</v>
      </c>
      <c r="E227" s="263" t="s">
        <v>1068</v>
      </c>
      <c r="F227" s="261" t="s">
        <v>1542</v>
      </c>
      <c r="G227" s="262">
        <v>6.74</v>
      </c>
      <c r="H227" s="262">
        <v>757660.24999999988</v>
      </c>
      <c r="I227" s="262">
        <v>242274.52350000001</v>
      </c>
      <c r="J227" s="261" t="s">
        <v>1575</v>
      </c>
      <c r="K227" s="261" t="s">
        <v>1852</v>
      </c>
    </row>
    <row r="228" spans="1:11" x14ac:dyDescent="0.25">
      <c r="A228" s="261" t="s">
        <v>987</v>
      </c>
      <c r="B228" s="261" t="s">
        <v>1208</v>
      </c>
      <c r="C228" s="261" t="s">
        <v>1564</v>
      </c>
      <c r="D228" s="261" t="s">
        <v>1032</v>
      </c>
      <c r="E228" s="263" t="s">
        <v>1068</v>
      </c>
      <c r="F228" s="261" t="s">
        <v>1542</v>
      </c>
      <c r="G228" s="262">
        <v>1</v>
      </c>
      <c r="H228" s="262">
        <v>1256375</v>
      </c>
      <c r="I228" s="262">
        <v>575132.4</v>
      </c>
      <c r="J228" s="261" t="s">
        <v>1575</v>
      </c>
      <c r="K228" s="261" t="s">
        <v>1852</v>
      </c>
    </row>
    <row r="229" spans="1:11" x14ac:dyDescent="0.25">
      <c r="A229" s="261" t="s">
        <v>987</v>
      </c>
      <c r="B229" s="261" t="s">
        <v>1206</v>
      </c>
      <c r="C229" s="261" t="s">
        <v>1564</v>
      </c>
      <c r="D229" s="261" t="s">
        <v>1032</v>
      </c>
      <c r="E229" s="263" t="s">
        <v>1068</v>
      </c>
      <c r="F229" s="261" t="s">
        <v>1542</v>
      </c>
      <c r="G229" s="262">
        <v>43.16</v>
      </c>
      <c r="H229" s="262">
        <v>9418051.4999999981</v>
      </c>
      <c r="I229" s="262">
        <v>2689127.3915999997</v>
      </c>
      <c r="J229" s="261" t="s">
        <v>1575</v>
      </c>
      <c r="K229" s="261" t="s">
        <v>1852</v>
      </c>
    </row>
    <row r="230" spans="1:11" x14ac:dyDescent="0.25">
      <c r="A230" s="261" t="s">
        <v>987</v>
      </c>
      <c r="B230" s="261" t="s">
        <v>1204</v>
      </c>
      <c r="C230" s="261" t="s">
        <v>1564</v>
      </c>
      <c r="D230" s="261" t="s">
        <v>1032</v>
      </c>
      <c r="E230" s="263" t="s">
        <v>1068</v>
      </c>
      <c r="F230" s="261" t="s">
        <v>1542</v>
      </c>
      <c r="G230" s="262">
        <v>1</v>
      </c>
      <c r="H230" s="262">
        <v>264500</v>
      </c>
      <c r="I230" s="262">
        <v>119819.25000000001</v>
      </c>
      <c r="J230" s="261" t="s">
        <v>1575</v>
      </c>
      <c r="K230" s="261" t="s">
        <v>1852</v>
      </c>
    </row>
    <row r="231" spans="1:11" x14ac:dyDescent="0.25">
      <c r="A231" s="261" t="s">
        <v>987</v>
      </c>
      <c r="B231" s="261" t="s">
        <v>1201</v>
      </c>
      <c r="C231" s="261" t="s">
        <v>1564</v>
      </c>
      <c r="D231" s="261" t="s">
        <v>1032</v>
      </c>
      <c r="E231" s="263" t="s">
        <v>1068</v>
      </c>
      <c r="F231" s="261" t="s">
        <v>1542</v>
      </c>
      <c r="G231" s="262">
        <v>1</v>
      </c>
      <c r="H231" s="262">
        <v>396749.99999999994</v>
      </c>
      <c r="I231" s="262">
        <v>206089.11000000002</v>
      </c>
      <c r="J231" s="261" t="s">
        <v>1575</v>
      </c>
      <c r="K231" s="261" t="s">
        <v>1852</v>
      </c>
    </row>
    <row r="232" spans="1:11" x14ac:dyDescent="0.25">
      <c r="A232" s="261" t="s">
        <v>987</v>
      </c>
      <c r="B232" s="261" t="s">
        <v>1285</v>
      </c>
      <c r="C232" s="261" t="s">
        <v>1555</v>
      </c>
      <c r="D232" s="261" t="s">
        <v>1020</v>
      </c>
      <c r="E232" s="263" t="s">
        <v>1068</v>
      </c>
      <c r="F232" s="261" t="s">
        <v>1542</v>
      </c>
      <c r="G232" s="262">
        <v>1</v>
      </c>
      <c r="H232" s="262">
        <v>793499.99999999988</v>
      </c>
      <c r="I232" s="262"/>
      <c r="J232" s="261" t="s">
        <v>1574</v>
      </c>
      <c r="K232" s="261" t="s">
        <v>1852</v>
      </c>
    </row>
    <row r="233" spans="1:11" x14ac:dyDescent="0.25">
      <c r="A233" s="261" t="s">
        <v>987</v>
      </c>
      <c r="B233" s="261" t="s">
        <v>1242</v>
      </c>
      <c r="C233" s="261" t="s">
        <v>1554</v>
      </c>
      <c r="D233" s="261" t="s">
        <v>1023</v>
      </c>
      <c r="E233" s="263" t="s">
        <v>1068</v>
      </c>
      <c r="F233" s="261" t="s">
        <v>1542</v>
      </c>
      <c r="G233" s="262">
        <v>76</v>
      </c>
      <c r="H233" s="262">
        <v>3015300</v>
      </c>
      <c r="I233" s="262">
        <v>327825.46800000005</v>
      </c>
      <c r="J233" s="261" t="s">
        <v>1575</v>
      </c>
      <c r="K233" s="261" t="s">
        <v>1852</v>
      </c>
    </row>
    <row r="234" spans="1:11" x14ac:dyDescent="0.25">
      <c r="A234" s="261" t="s">
        <v>987</v>
      </c>
      <c r="B234" s="261" t="s">
        <v>1244</v>
      </c>
      <c r="C234" s="261" t="s">
        <v>1554</v>
      </c>
      <c r="D234" s="261" t="s">
        <v>1023</v>
      </c>
      <c r="E234" s="263" t="s">
        <v>1068</v>
      </c>
      <c r="F234" s="261" t="s">
        <v>1542</v>
      </c>
      <c r="G234" s="262">
        <v>40</v>
      </c>
      <c r="H234" s="262">
        <v>846400</v>
      </c>
      <c r="I234" s="262">
        <v>153368.64000000001</v>
      </c>
      <c r="J234" s="261" t="s">
        <v>1575</v>
      </c>
      <c r="K234" s="261" t="s">
        <v>1852</v>
      </c>
    </row>
    <row r="235" spans="1:11" x14ac:dyDescent="0.25">
      <c r="A235" s="261" t="s">
        <v>987</v>
      </c>
      <c r="B235" s="261" t="s">
        <v>1236</v>
      </c>
      <c r="C235" s="261" t="s">
        <v>1554</v>
      </c>
      <c r="D235" s="261" t="s">
        <v>1023</v>
      </c>
      <c r="E235" s="263" t="s">
        <v>1068</v>
      </c>
      <c r="F235" s="261" t="s">
        <v>1542</v>
      </c>
      <c r="G235" s="262">
        <v>32</v>
      </c>
      <c r="H235" s="262">
        <v>380879.99999999994</v>
      </c>
      <c r="I235" s="262">
        <v>122694.91200000001</v>
      </c>
      <c r="J235" s="261" t="s">
        <v>1575</v>
      </c>
      <c r="K235" s="261" t="s">
        <v>1852</v>
      </c>
    </row>
    <row r="236" spans="1:11" x14ac:dyDescent="0.25">
      <c r="A236" s="261" t="s">
        <v>987</v>
      </c>
      <c r="B236" s="261" t="s">
        <v>1248</v>
      </c>
      <c r="C236" s="261" t="s">
        <v>1554</v>
      </c>
      <c r="D236" s="261" t="s">
        <v>1023</v>
      </c>
      <c r="E236" s="263" t="s">
        <v>1068</v>
      </c>
      <c r="F236" s="261" t="s">
        <v>1542</v>
      </c>
      <c r="G236" s="262">
        <v>20</v>
      </c>
      <c r="H236" s="262">
        <v>158699.99999999997</v>
      </c>
      <c r="I236" s="262">
        <v>52799.040000000008</v>
      </c>
      <c r="J236" s="261" t="s">
        <v>1575</v>
      </c>
      <c r="K236" s="261" t="s">
        <v>1852</v>
      </c>
    </row>
    <row r="237" spans="1:11" x14ac:dyDescent="0.25">
      <c r="A237" s="261" t="s">
        <v>987</v>
      </c>
      <c r="B237" s="261" t="s">
        <v>1281</v>
      </c>
      <c r="C237" s="261" t="s">
        <v>1555</v>
      </c>
      <c r="D237" s="261" t="s">
        <v>1020</v>
      </c>
      <c r="E237" s="263" t="s">
        <v>1068</v>
      </c>
      <c r="F237" s="261" t="s">
        <v>1542</v>
      </c>
      <c r="G237" s="262">
        <v>20</v>
      </c>
      <c r="H237" s="262">
        <v>10580000</v>
      </c>
      <c r="I237" s="262">
        <v>3738360.6</v>
      </c>
      <c r="J237" s="261" t="s">
        <v>1575</v>
      </c>
      <c r="K237" s="261" t="s">
        <v>1852</v>
      </c>
    </row>
    <row r="238" spans="1:11" x14ac:dyDescent="0.25">
      <c r="A238" s="261" t="s">
        <v>987</v>
      </c>
      <c r="B238" s="261" t="s">
        <v>1279</v>
      </c>
      <c r="C238" s="261" t="s">
        <v>1555</v>
      </c>
      <c r="D238" s="261" t="s">
        <v>1020</v>
      </c>
      <c r="E238" s="263" t="s">
        <v>1068</v>
      </c>
      <c r="F238" s="261" t="s">
        <v>1542</v>
      </c>
      <c r="G238" s="262">
        <v>30</v>
      </c>
      <c r="H238" s="262">
        <v>11902499.999999998</v>
      </c>
      <c r="I238" s="262">
        <v>4313493</v>
      </c>
      <c r="J238" s="261" t="s">
        <v>1575</v>
      </c>
      <c r="K238" s="261" t="s">
        <v>1852</v>
      </c>
    </row>
    <row r="239" spans="1:11" x14ac:dyDescent="0.25">
      <c r="A239" s="261" t="s">
        <v>987</v>
      </c>
      <c r="B239" s="261" t="s">
        <v>1276</v>
      </c>
      <c r="C239" s="261" t="s">
        <v>1555</v>
      </c>
      <c r="D239" s="261" t="s">
        <v>1020</v>
      </c>
      <c r="E239" s="263" t="s">
        <v>1068</v>
      </c>
      <c r="F239" s="261" t="s">
        <v>1542</v>
      </c>
      <c r="G239" s="262">
        <v>6</v>
      </c>
      <c r="H239" s="262">
        <v>15870000</v>
      </c>
      <c r="I239" s="262">
        <v>4313493</v>
      </c>
      <c r="J239" s="261" t="s">
        <v>1575</v>
      </c>
      <c r="K239" s="261" t="s">
        <v>1852</v>
      </c>
    </row>
    <row r="240" spans="1:11" x14ac:dyDescent="0.25">
      <c r="A240" s="261" t="s">
        <v>987</v>
      </c>
      <c r="B240" s="261" t="s">
        <v>1274</v>
      </c>
      <c r="C240" s="261" t="s">
        <v>1554</v>
      </c>
      <c r="D240" s="261" t="s">
        <v>1023</v>
      </c>
      <c r="E240" s="263" t="s">
        <v>1068</v>
      </c>
      <c r="F240" s="261" t="s">
        <v>1542</v>
      </c>
      <c r="G240" s="262">
        <v>25</v>
      </c>
      <c r="H240" s="262">
        <v>231437.5</v>
      </c>
      <c r="I240" s="262">
        <v>38302.875</v>
      </c>
      <c r="J240" s="261" t="s">
        <v>1575</v>
      </c>
      <c r="K240" s="261" t="s">
        <v>1852</v>
      </c>
    </row>
    <row r="241" spans="1:11" x14ac:dyDescent="0.25">
      <c r="A241" s="261" t="s">
        <v>987</v>
      </c>
      <c r="B241" s="261" t="s">
        <v>1272</v>
      </c>
      <c r="C241" s="261" t="s">
        <v>1554</v>
      </c>
      <c r="D241" s="261" t="s">
        <v>1023</v>
      </c>
      <c r="E241" s="263" t="s">
        <v>1068</v>
      </c>
      <c r="F241" s="261" t="s">
        <v>1542</v>
      </c>
      <c r="G241" s="262">
        <v>46</v>
      </c>
      <c r="H241" s="262">
        <v>304174.99999999994</v>
      </c>
      <c r="I241" s="262">
        <v>50599.08</v>
      </c>
      <c r="J241" s="261" t="s">
        <v>1575</v>
      </c>
      <c r="K241" s="261" t="s">
        <v>1852</v>
      </c>
    </row>
    <row r="242" spans="1:11" x14ac:dyDescent="0.25">
      <c r="A242" s="261" t="s">
        <v>987</v>
      </c>
      <c r="B242" s="261" t="s">
        <v>1246</v>
      </c>
      <c r="C242" s="261" t="s">
        <v>1554</v>
      </c>
      <c r="D242" s="261" t="s">
        <v>1023</v>
      </c>
      <c r="E242" s="263" t="s">
        <v>1068</v>
      </c>
      <c r="F242" s="261" t="s">
        <v>1542</v>
      </c>
      <c r="G242" s="262">
        <v>24</v>
      </c>
      <c r="H242" s="262">
        <v>571319.99999999988</v>
      </c>
      <c r="I242" s="262">
        <v>115026.48000000001</v>
      </c>
      <c r="J242" s="261" t="s">
        <v>1575</v>
      </c>
      <c r="K242" s="261" t="s">
        <v>1852</v>
      </c>
    </row>
    <row r="243" spans="1:11" x14ac:dyDescent="0.25">
      <c r="A243" s="261" t="s">
        <v>987</v>
      </c>
      <c r="B243" s="261" t="s">
        <v>1268</v>
      </c>
      <c r="C243" s="261" t="s">
        <v>1554</v>
      </c>
      <c r="D243" s="261" t="s">
        <v>1023</v>
      </c>
      <c r="E243" s="263" t="s">
        <v>1068</v>
      </c>
      <c r="F243" s="261" t="s">
        <v>1542</v>
      </c>
      <c r="G243" s="262">
        <v>50</v>
      </c>
      <c r="H243" s="262">
        <v>330624.99999999994</v>
      </c>
      <c r="I243" s="262">
        <v>71891.55</v>
      </c>
      <c r="J243" s="261" t="s">
        <v>1575</v>
      </c>
      <c r="K243" s="261" t="s">
        <v>1852</v>
      </c>
    </row>
    <row r="244" spans="1:11" x14ac:dyDescent="0.25">
      <c r="A244" s="261" t="s">
        <v>987</v>
      </c>
      <c r="B244" s="261" t="s">
        <v>1266</v>
      </c>
      <c r="C244" s="261" t="s">
        <v>1554</v>
      </c>
      <c r="D244" s="261" t="s">
        <v>1023</v>
      </c>
      <c r="E244" s="263" t="s">
        <v>1068</v>
      </c>
      <c r="F244" s="261" t="s">
        <v>1542</v>
      </c>
      <c r="G244" s="262">
        <v>100</v>
      </c>
      <c r="H244" s="262">
        <v>925750</v>
      </c>
      <c r="I244" s="262">
        <v>100569.60000000002</v>
      </c>
      <c r="J244" s="261" t="s">
        <v>1575</v>
      </c>
      <c r="K244" s="261" t="s">
        <v>1852</v>
      </c>
    </row>
    <row r="245" spans="1:11" x14ac:dyDescent="0.25">
      <c r="A245" s="261" t="s">
        <v>987</v>
      </c>
      <c r="B245" s="261" t="s">
        <v>1270</v>
      </c>
      <c r="C245" s="261" t="s">
        <v>1554</v>
      </c>
      <c r="D245" s="261" t="s">
        <v>1023</v>
      </c>
      <c r="E245" s="263" t="s">
        <v>1068</v>
      </c>
      <c r="F245" s="261" t="s">
        <v>1542</v>
      </c>
      <c r="G245" s="262">
        <v>46</v>
      </c>
      <c r="H245" s="262">
        <v>304174.99999999994</v>
      </c>
      <c r="I245" s="262">
        <v>50599.08</v>
      </c>
      <c r="J245" s="261" t="s">
        <v>1575</v>
      </c>
      <c r="K245" s="261" t="s">
        <v>1852</v>
      </c>
    </row>
    <row r="246" spans="1:11" x14ac:dyDescent="0.25">
      <c r="A246" s="261" t="s">
        <v>987</v>
      </c>
      <c r="B246" s="261" t="s">
        <v>1262</v>
      </c>
      <c r="C246" s="261" t="s">
        <v>1554</v>
      </c>
      <c r="D246" s="261" t="s">
        <v>1023</v>
      </c>
      <c r="E246" s="263" t="s">
        <v>1068</v>
      </c>
      <c r="F246" s="261" t="s">
        <v>1542</v>
      </c>
      <c r="G246" s="262">
        <v>1</v>
      </c>
      <c r="H246" s="262">
        <v>4827125</v>
      </c>
      <c r="I246" s="262">
        <v>958554.00000000012</v>
      </c>
      <c r="J246" s="261" t="s">
        <v>1575</v>
      </c>
      <c r="K246" s="261" t="s">
        <v>1852</v>
      </c>
    </row>
    <row r="247" spans="1:11" x14ac:dyDescent="0.25">
      <c r="A247" s="261" t="s">
        <v>987</v>
      </c>
      <c r="B247" s="261" t="s">
        <v>1260</v>
      </c>
      <c r="C247" s="261" t="s">
        <v>1554</v>
      </c>
      <c r="D247" s="261" t="s">
        <v>1023</v>
      </c>
      <c r="E247" s="263" t="s">
        <v>1068</v>
      </c>
      <c r="F247" s="261" t="s">
        <v>1542</v>
      </c>
      <c r="G247" s="262">
        <v>15</v>
      </c>
      <c r="H247" s="262">
        <v>793499.99999999988</v>
      </c>
      <c r="I247" s="262">
        <v>100648.17000000001</v>
      </c>
      <c r="J247" s="261" t="s">
        <v>1575</v>
      </c>
      <c r="K247" s="261" t="s">
        <v>1852</v>
      </c>
    </row>
    <row r="248" spans="1:11" x14ac:dyDescent="0.25">
      <c r="A248" s="261" t="s">
        <v>987</v>
      </c>
      <c r="B248" s="261" t="s">
        <v>1258</v>
      </c>
      <c r="C248" s="261" t="s">
        <v>1554</v>
      </c>
      <c r="D248" s="261" t="s">
        <v>1023</v>
      </c>
      <c r="E248" s="263" t="s">
        <v>1068</v>
      </c>
      <c r="F248" s="261" t="s">
        <v>1542</v>
      </c>
      <c r="G248" s="262">
        <v>20</v>
      </c>
      <c r="H248" s="262">
        <v>238049.99999999997</v>
      </c>
      <c r="I248" s="262">
        <v>26870.940000000006</v>
      </c>
      <c r="J248" s="261" t="s">
        <v>1575</v>
      </c>
      <c r="K248" s="261" t="s">
        <v>1852</v>
      </c>
    </row>
    <row r="249" spans="1:11" x14ac:dyDescent="0.25">
      <c r="A249" s="261" t="s">
        <v>987</v>
      </c>
      <c r="B249" s="261" t="s">
        <v>1256</v>
      </c>
      <c r="C249" s="261" t="s">
        <v>1554</v>
      </c>
      <c r="D249" s="261" t="s">
        <v>1023</v>
      </c>
      <c r="E249" s="263" t="s">
        <v>1068</v>
      </c>
      <c r="F249" s="261" t="s">
        <v>1542</v>
      </c>
      <c r="G249" s="262">
        <v>90</v>
      </c>
      <c r="H249" s="262">
        <v>833175</v>
      </c>
      <c r="I249" s="262">
        <v>90512.640000000014</v>
      </c>
      <c r="J249" s="261" t="s">
        <v>1575</v>
      </c>
      <c r="K249" s="261" t="s">
        <v>1852</v>
      </c>
    </row>
    <row r="250" spans="1:11" x14ac:dyDescent="0.25">
      <c r="A250" s="261" t="s">
        <v>987</v>
      </c>
      <c r="B250" s="261" t="s">
        <v>1254</v>
      </c>
      <c r="C250" s="261" t="s">
        <v>1554</v>
      </c>
      <c r="D250" s="261" t="s">
        <v>1023</v>
      </c>
      <c r="E250" s="263" t="s">
        <v>1068</v>
      </c>
      <c r="F250" s="261" t="s">
        <v>1542</v>
      </c>
      <c r="G250" s="262">
        <v>128</v>
      </c>
      <c r="H250" s="262">
        <v>1184960</v>
      </c>
      <c r="I250" s="262">
        <v>116660.73600000002</v>
      </c>
      <c r="J250" s="261" t="s">
        <v>1575</v>
      </c>
      <c r="K250" s="261" t="s">
        <v>1852</v>
      </c>
    </row>
    <row r="251" spans="1:11" x14ac:dyDescent="0.25">
      <c r="A251" s="261" t="s">
        <v>987</v>
      </c>
      <c r="B251" s="261" t="s">
        <v>1252</v>
      </c>
      <c r="C251" s="261" t="s">
        <v>1554</v>
      </c>
      <c r="D251" s="261" t="s">
        <v>1023</v>
      </c>
      <c r="E251" s="263" t="s">
        <v>1068</v>
      </c>
      <c r="F251" s="261" t="s">
        <v>1542</v>
      </c>
      <c r="G251" s="262">
        <v>76</v>
      </c>
      <c r="H251" s="262">
        <v>3769124.9999999995</v>
      </c>
      <c r="I251" s="262">
        <v>1165601.6640000001</v>
      </c>
      <c r="J251" s="261" t="s">
        <v>1575</v>
      </c>
      <c r="K251" s="261" t="s">
        <v>1852</v>
      </c>
    </row>
    <row r="252" spans="1:11" x14ac:dyDescent="0.25">
      <c r="A252" s="261" t="s">
        <v>987</v>
      </c>
      <c r="B252" s="261" t="s">
        <v>1264</v>
      </c>
      <c r="C252" s="261" t="s">
        <v>1554</v>
      </c>
      <c r="D252" s="261" t="s">
        <v>1023</v>
      </c>
      <c r="E252" s="263" t="s">
        <v>1068</v>
      </c>
      <c r="F252" s="261" t="s">
        <v>1542</v>
      </c>
      <c r="G252" s="262">
        <v>324</v>
      </c>
      <c r="H252" s="262">
        <v>2142449.9999999995</v>
      </c>
      <c r="I252" s="262">
        <v>249475.46400000004</v>
      </c>
      <c r="J252" s="261" t="s">
        <v>1575</v>
      </c>
      <c r="K252" s="261" t="s">
        <v>1852</v>
      </c>
    </row>
    <row r="253" spans="1:11" x14ac:dyDescent="0.25">
      <c r="A253" s="261" t="s">
        <v>987</v>
      </c>
      <c r="B253" s="261" t="s">
        <v>1250</v>
      </c>
      <c r="C253" s="261" t="s">
        <v>1554</v>
      </c>
      <c r="D253" s="261" t="s">
        <v>1023</v>
      </c>
      <c r="E253" s="263" t="s">
        <v>1068</v>
      </c>
      <c r="F253" s="261" t="s">
        <v>1542</v>
      </c>
      <c r="G253" s="262">
        <v>64</v>
      </c>
      <c r="H253" s="262">
        <v>4951440</v>
      </c>
      <c r="I253" s="262">
        <v>1410991.4880000001</v>
      </c>
      <c r="J253" s="261" t="s">
        <v>1575</v>
      </c>
      <c r="K253" s="261" t="s">
        <v>1852</v>
      </c>
    </row>
    <row r="254" spans="1:11" x14ac:dyDescent="0.25">
      <c r="A254" s="261" t="s">
        <v>987</v>
      </c>
      <c r="B254" s="261" t="s">
        <v>1153</v>
      </c>
      <c r="C254" s="261" t="s">
        <v>1558</v>
      </c>
      <c r="D254" s="261" t="s">
        <v>1046</v>
      </c>
      <c r="E254" s="263" t="s">
        <v>1068</v>
      </c>
      <c r="F254" s="261" t="s">
        <v>1727</v>
      </c>
      <c r="G254" s="262">
        <v>1113.5999999999999</v>
      </c>
      <c r="H254" s="262">
        <v>7363679.9999999981</v>
      </c>
      <c r="I254" s="262"/>
      <c r="J254" s="261" t="s">
        <v>1574</v>
      </c>
      <c r="K254" s="261" t="s">
        <v>1853</v>
      </c>
    </row>
    <row r="255" spans="1:11" x14ac:dyDescent="0.25">
      <c r="A255" s="261" t="s">
        <v>987</v>
      </c>
      <c r="B255" s="261" t="s">
        <v>1146</v>
      </c>
      <c r="C255" s="261" t="s">
        <v>1558</v>
      </c>
      <c r="D255" s="261" t="s">
        <v>1046</v>
      </c>
      <c r="E255" s="263" t="s">
        <v>1068</v>
      </c>
      <c r="F255" s="261" t="s">
        <v>1727</v>
      </c>
      <c r="G255" s="262">
        <v>1113.5999999999999</v>
      </c>
      <c r="H255" s="262">
        <v>1767283.1999999995</v>
      </c>
      <c r="I255" s="262"/>
      <c r="J255" s="261" t="s">
        <v>1574</v>
      </c>
      <c r="K255" s="261" t="s">
        <v>1853</v>
      </c>
    </row>
    <row r="256" spans="1:11" x14ac:dyDescent="0.25">
      <c r="A256" s="261" t="s">
        <v>987</v>
      </c>
      <c r="B256" s="261" t="s">
        <v>1147</v>
      </c>
      <c r="C256" s="261" t="s">
        <v>1558</v>
      </c>
      <c r="D256" s="261" t="s">
        <v>1046</v>
      </c>
      <c r="E256" s="263" t="s">
        <v>1068</v>
      </c>
      <c r="F256" s="261" t="s">
        <v>1727</v>
      </c>
      <c r="G256" s="262">
        <v>4.74</v>
      </c>
      <c r="H256" s="262">
        <v>1031192.9249999999</v>
      </c>
      <c r="I256" s="262"/>
      <c r="J256" s="261" t="s">
        <v>1574</v>
      </c>
      <c r="K256" s="261" t="s">
        <v>1853</v>
      </c>
    </row>
    <row r="257" spans="1:11" x14ac:dyDescent="0.25">
      <c r="A257" s="261" t="s">
        <v>987</v>
      </c>
      <c r="B257" s="261" t="s">
        <v>1148</v>
      </c>
      <c r="C257" s="261" t="s">
        <v>1558</v>
      </c>
      <c r="D257" s="261" t="s">
        <v>1046</v>
      </c>
      <c r="E257" s="263" t="s">
        <v>1068</v>
      </c>
      <c r="F257" s="261" t="s">
        <v>1727</v>
      </c>
      <c r="G257" s="262">
        <v>71.099999999999994</v>
      </c>
      <c r="H257" s="262">
        <v>470148.74999999988</v>
      </c>
      <c r="I257" s="262"/>
      <c r="J257" s="261" t="s">
        <v>1574</v>
      </c>
      <c r="K257" s="261" t="s">
        <v>1853</v>
      </c>
    </row>
    <row r="258" spans="1:11" x14ac:dyDescent="0.25">
      <c r="A258" s="261" t="s">
        <v>987</v>
      </c>
      <c r="B258" s="261" t="s">
        <v>1151</v>
      </c>
      <c r="C258" s="261" t="s">
        <v>1558</v>
      </c>
      <c r="D258" s="261" t="s">
        <v>1046</v>
      </c>
      <c r="E258" s="263" t="s">
        <v>1068</v>
      </c>
      <c r="F258" s="261" t="s">
        <v>1727</v>
      </c>
      <c r="G258" s="262">
        <v>51.33</v>
      </c>
      <c r="H258" s="262">
        <v>840048.81449999998</v>
      </c>
      <c r="I258" s="262"/>
      <c r="J258" s="261" t="s">
        <v>1574</v>
      </c>
      <c r="K258" s="261" t="s">
        <v>1853</v>
      </c>
    </row>
    <row r="259" spans="1:11" x14ac:dyDescent="0.25">
      <c r="A259" s="261" t="s">
        <v>987</v>
      </c>
      <c r="B259" s="261" t="s">
        <v>1421</v>
      </c>
      <c r="C259" s="261" t="s">
        <v>1822</v>
      </c>
      <c r="D259" s="261" t="s">
        <v>1011</v>
      </c>
      <c r="E259" s="263" t="s">
        <v>1068</v>
      </c>
      <c r="F259" s="261" t="s">
        <v>1727</v>
      </c>
      <c r="G259" s="262">
        <v>559</v>
      </c>
      <c r="H259" s="262">
        <v>17003382.499999996</v>
      </c>
      <c r="I259" s="262"/>
      <c r="J259" s="261" t="s">
        <v>1574</v>
      </c>
      <c r="K259" s="261" t="s">
        <v>1853</v>
      </c>
    </row>
    <row r="260" spans="1:11" x14ac:dyDescent="0.25">
      <c r="A260" s="261" t="s">
        <v>987</v>
      </c>
      <c r="B260" s="261" t="s">
        <v>1150</v>
      </c>
      <c r="C260" s="261" t="s">
        <v>1558</v>
      </c>
      <c r="D260" s="261" t="s">
        <v>1046</v>
      </c>
      <c r="E260" s="263" t="s">
        <v>1068</v>
      </c>
      <c r="F260" s="261" t="s">
        <v>1727</v>
      </c>
      <c r="G260" s="262">
        <v>9.2799999999999994</v>
      </c>
      <c r="H260" s="262">
        <v>2018875.5999999996</v>
      </c>
      <c r="I260" s="262"/>
      <c r="J260" s="261" t="s">
        <v>1574</v>
      </c>
      <c r="K260" s="261" t="s">
        <v>1853</v>
      </c>
    </row>
    <row r="261" spans="1:11" x14ac:dyDescent="0.25">
      <c r="A261" s="261" t="s">
        <v>987</v>
      </c>
      <c r="B261" s="261" t="s">
        <v>1145</v>
      </c>
      <c r="C261" s="261" t="s">
        <v>1558</v>
      </c>
      <c r="D261" s="261" t="s">
        <v>1046</v>
      </c>
      <c r="E261" s="263" t="s">
        <v>1068</v>
      </c>
      <c r="F261" s="261" t="s">
        <v>1727</v>
      </c>
      <c r="G261" s="262">
        <v>79.63</v>
      </c>
      <c r="H261" s="262">
        <v>526553.37499999988</v>
      </c>
      <c r="I261" s="262"/>
      <c r="J261" s="261" t="s">
        <v>1574</v>
      </c>
      <c r="K261" s="261" t="s">
        <v>1853</v>
      </c>
    </row>
    <row r="262" spans="1:11" x14ac:dyDescent="0.25">
      <c r="A262" s="261" t="s">
        <v>987</v>
      </c>
      <c r="B262" s="261" t="s">
        <v>1149</v>
      </c>
      <c r="C262" s="261" t="s">
        <v>1558</v>
      </c>
      <c r="D262" s="261" t="s">
        <v>1046</v>
      </c>
      <c r="E262" s="263" t="s">
        <v>1068</v>
      </c>
      <c r="F262" s="261" t="s">
        <v>1727</v>
      </c>
      <c r="G262" s="262">
        <v>331.8</v>
      </c>
      <c r="H262" s="262">
        <v>526566.6</v>
      </c>
      <c r="I262" s="262"/>
      <c r="J262" s="261" t="s">
        <v>1574</v>
      </c>
      <c r="K262" s="261" t="s">
        <v>1853</v>
      </c>
    </row>
    <row r="263" spans="1:11" x14ac:dyDescent="0.25">
      <c r="A263" s="261" t="s">
        <v>987</v>
      </c>
      <c r="B263" s="261" t="s">
        <v>1143</v>
      </c>
      <c r="C263" s="261" t="s">
        <v>1558</v>
      </c>
      <c r="D263" s="261" t="s">
        <v>1046</v>
      </c>
      <c r="E263" s="263" t="s">
        <v>1068</v>
      </c>
      <c r="F263" s="261" t="s">
        <v>1727</v>
      </c>
      <c r="G263" s="262">
        <v>5.31</v>
      </c>
      <c r="H263" s="262">
        <v>1155197.1374999997</v>
      </c>
      <c r="I263" s="262"/>
      <c r="J263" s="261" t="s">
        <v>1574</v>
      </c>
      <c r="K263" s="261" t="s">
        <v>1853</v>
      </c>
    </row>
    <row r="264" spans="1:11" x14ac:dyDescent="0.25">
      <c r="A264" s="261" t="s">
        <v>987</v>
      </c>
      <c r="B264" s="261" t="s">
        <v>1192</v>
      </c>
      <c r="C264" s="261" t="s">
        <v>1551</v>
      </c>
      <c r="D264" s="261" t="s">
        <v>1035</v>
      </c>
      <c r="E264" s="263" t="s">
        <v>1068</v>
      </c>
      <c r="F264" s="261" t="s">
        <v>1727</v>
      </c>
      <c r="G264" s="262">
        <v>418.68</v>
      </c>
      <c r="H264" s="262">
        <v>2768521.4999999995</v>
      </c>
      <c r="I264" s="262">
        <v>1805973.2492400003</v>
      </c>
      <c r="J264" s="261" t="s">
        <v>1575</v>
      </c>
      <c r="K264" s="261" t="s">
        <v>1853</v>
      </c>
    </row>
    <row r="265" spans="1:11" x14ac:dyDescent="0.25">
      <c r="A265" s="261" t="s">
        <v>987</v>
      </c>
      <c r="B265" s="261" t="s">
        <v>1436</v>
      </c>
      <c r="C265" s="261" t="s">
        <v>1824</v>
      </c>
      <c r="D265" s="261" t="s">
        <v>1005</v>
      </c>
      <c r="E265" s="263" t="s">
        <v>1068</v>
      </c>
      <c r="F265" s="261" t="s">
        <v>1727</v>
      </c>
      <c r="G265" s="262">
        <v>1701</v>
      </c>
      <c r="H265" s="262">
        <v>1124786.25</v>
      </c>
      <c r="I265" s="262">
        <v>1536947.0550000002</v>
      </c>
      <c r="J265" s="261" t="s">
        <v>1574</v>
      </c>
      <c r="K265" s="261" t="s">
        <v>1853</v>
      </c>
    </row>
    <row r="266" spans="1:11" x14ac:dyDescent="0.25">
      <c r="A266" s="261" t="s">
        <v>987</v>
      </c>
      <c r="B266" s="261" t="s">
        <v>1439</v>
      </c>
      <c r="C266" s="261" t="s">
        <v>1824</v>
      </c>
      <c r="D266" s="261" t="s">
        <v>1005</v>
      </c>
      <c r="E266" s="263" t="s">
        <v>1068</v>
      </c>
      <c r="F266" s="261" t="s">
        <v>1727</v>
      </c>
      <c r="G266" s="262">
        <v>1701</v>
      </c>
      <c r="H266" s="262">
        <v>12372648.749999998</v>
      </c>
      <c r="I266" s="262">
        <v>16906417.605000004</v>
      </c>
      <c r="J266" s="261" t="s">
        <v>1574</v>
      </c>
      <c r="K266" s="261" t="s">
        <v>1853</v>
      </c>
    </row>
    <row r="267" spans="1:11" x14ac:dyDescent="0.25">
      <c r="A267" s="261" t="s">
        <v>987</v>
      </c>
      <c r="B267" s="261" t="s">
        <v>1441</v>
      </c>
      <c r="C267" s="261" t="s">
        <v>1824</v>
      </c>
      <c r="D267" s="261" t="s">
        <v>1005</v>
      </c>
      <c r="E267" s="263" t="s">
        <v>1068</v>
      </c>
      <c r="F267" s="261" t="s">
        <v>1727</v>
      </c>
      <c r="G267" s="262">
        <v>210</v>
      </c>
      <c r="H267" s="262">
        <v>138862.5</v>
      </c>
      <c r="I267" s="262">
        <v>189746.55000000002</v>
      </c>
      <c r="J267" s="261" t="s">
        <v>1574</v>
      </c>
      <c r="K267" s="261" t="s">
        <v>1853</v>
      </c>
    </row>
    <row r="268" spans="1:11" x14ac:dyDescent="0.25">
      <c r="A268" s="261" t="s">
        <v>987</v>
      </c>
      <c r="B268" s="261" t="s">
        <v>1442</v>
      </c>
      <c r="C268" s="261" t="s">
        <v>1824</v>
      </c>
      <c r="D268" s="261" t="s">
        <v>1005</v>
      </c>
      <c r="E268" s="263" t="s">
        <v>1068</v>
      </c>
      <c r="F268" s="261" t="s">
        <v>1727</v>
      </c>
      <c r="G268" s="262">
        <v>210</v>
      </c>
      <c r="H268" s="262">
        <v>1527487.4999999998</v>
      </c>
      <c r="I268" s="262">
        <v>2087212.0500000003</v>
      </c>
      <c r="J268" s="261" t="s">
        <v>1574</v>
      </c>
      <c r="K268" s="261" t="s">
        <v>1853</v>
      </c>
    </row>
    <row r="269" spans="1:11" x14ac:dyDescent="0.25">
      <c r="A269" s="261" t="s">
        <v>987</v>
      </c>
      <c r="B269" s="261" t="s">
        <v>1141</v>
      </c>
      <c r="C269" s="261" t="s">
        <v>1558</v>
      </c>
      <c r="D269" s="261" t="s">
        <v>1046</v>
      </c>
      <c r="E269" s="263" t="s">
        <v>1068</v>
      </c>
      <c r="F269" s="261" t="s">
        <v>1727</v>
      </c>
      <c r="G269" s="262">
        <v>46.46</v>
      </c>
      <c r="H269" s="262">
        <v>307216.74999999994</v>
      </c>
      <c r="I269" s="262"/>
      <c r="J269" s="261" t="s">
        <v>1574</v>
      </c>
      <c r="K269" s="261" t="s">
        <v>1853</v>
      </c>
    </row>
    <row r="270" spans="1:11" x14ac:dyDescent="0.25">
      <c r="A270" s="261" t="s">
        <v>987</v>
      </c>
      <c r="B270" s="261" t="s">
        <v>1140</v>
      </c>
      <c r="C270" s="261" t="s">
        <v>1558</v>
      </c>
      <c r="D270" s="261" t="s">
        <v>1046</v>
      </c>
      <c r="E270" s="263" t="s">
        <v>1068</v>
      </c>
      <c r="F270" s="261" t="s">
        <v>1727</v>
      </c>
      <c r="G270" s="262">
        <v>3.72</v>
      </c>
      <c r="H270" s="262">
        <v>809290.64999999991</v>
      </c>
      <c r="I270" s="262"/>
      <c r="J270" s="261" t="s">
        <v>1574</v>
      </c>
      <c r="K270" s="261" t="s">
        <v>1853</v>
      </c>
    </row>
    <row r="271" spans="1:11" x14ac:dyDescent="0.25">
      <c r="A271" s="261" t="s">
        <v>987</v>
      </c>
      <c r="B271" s="261" t="s">
        <v>1139</v>
      </c>
      <c r="C271" s="261" t="s">
        <v>1558</v>
      </c>
      <c r="D271" s="261" t="s">
        <v>1046</v>
      </c>
      <c r="E271" s="263" t="s">
        <v>1068</v>
      </c>
      <c r="F271" s="261" t="s">
        <v>1727</v>
      </c>
      <c r="G271" s="262">
        <v>297.60000000000002</v>
      </c>
      <c r="H271" s="262">
        <v>472291.19999999995</v>
      </c>
      <c r="I271" s="262"/>
      <c r="J271" s="261" t="s">
        <v>1574</v>
      </c>
      <c r="K271" s="261" t="s">
        <v>1853</v>
      </c>
    </row>
    <row r="272" spans="1:11" x14ac:dyDescent="0.25">
      <c r="A272" s="261" t="s">
        <v>987</v>
      </c>
      <c r="B272" s="261" t="s">
        <v>1138</v>
      </c>
      <c r="C272" s="261" t="s">
        <v>1558</v>
      </c>
      <c r="D272" s="261" t="s">
        <v>1046</v>
      </c>
      <c r="E272" s="263" t="s">
        <v>1068</v>
      </c>
      <c r="F272" s="261" t="s">
        <v>1727</v>
      </c>
      <c r="G272" s="262">
        <v>39.6</v>
      </c>
      <c r="H272" s="262">
        <v>261854.99999999997</v>
      </c>
      <c r="I272" s="262"/>
      <c r="J272" s="261" t="s">
        <v>1574</v>
      </c>
      <c r="K272" s="261" t="s">
        <v>1853</v>
      </c>
    </row>
    <row r="273" spans="1:11" x14ac:dyDescent="0.25">
      <c r="A273" s="261" t="s">
        <v>987</v>
      </c>
      <c r="B273" s="261" t="s">
        <v>1136</v>
      </c>
      <c r="C273" s="261" t="s">
        <v>1558</v>
      </c>
      <c r="D273" s="261" t="s">
        <v>1046</v>
      </c>
      <c r="E273" s="263" t="s">
        <v>1068</v>
      </c>
      <c r="F273" s="261" t="s">
        <v>1727</v>
      </c>
      <c r="G273" s="262">
        <v>2.48</v>
      </c>
      <c r="H273" s="262">
        <v>539527.1</v>
      </c>
      <c r="I273" s="262"/>
      <c r="J273" s="261" t="s">
        <v>1574</v>
      </c>
      <c r="K273" s="261" t="s">
        <v>1853</v>
      </c>
    </row>
    <row r="274" spans="1:11" x14ac:dyDescent="0.25">
      <c r="A274" s="261" t="s">
        <v>987</v>
      </c>
      <c r="B274" s="261" t="s">
        <v>1154</v>
      </c>
      <c r="C274" s="261" t="s">
        <v>1558</v>
      </c>
      <c r="D274" s="261" t="s">
        <v>1046</v>
      </c>
      <c r="E274" s="263" t="s">
        <v>1068</v>
      </c>
      <c r="F274" s="261" t="s">
        <v>1727</v>
      </c>
      <c r="G274" s="262">
        <v>1113.5999999999999</v>
      </c>
      <c r="H274" s="262">
        <v>1767283.1999999995</v>
      </c>
      <c r="I274" s="262"/>
      <c r="J274" s="261" t="s">
        <v>1574</v>
      </c>
      <c r="K274" s="261" t="s">
        <v>1853</v>
      </c>
    </row>
    <row r="275" spans="1:11" x14ac:dyDescent="0.25">
      <c r="A275" s="261" t="s">
        <v>987</v>
      </c>
      <c r="B275" s="261" t="s">
        <v>1142</v>
      </c>
      <c r="C275" s="261" t="s">
        <v>1558</v>
      </c>
      <c r="D275" s="261" t="s">
        <v>1046</v>
      </c>
      <c r="E275" s="263" t="s">
        <v>1068</v>
      </c>
      <c r="F275" s="261" t="s">
        <v>1727</v>
      </c>
      <c r="G275" s="262">
        <v>483.6</v>
      </c>
      <c r="H275" s="262">
        <v>767473.2</v>
      </c>
      <c r="I275" s="262"/>
      <c r="J275" s="261" t="s">
        <v>1574</v>
      </c>
      <c r="K275" s="261" t="s">
        <v>1853</v>
      </c>
    </row>
    <row r="276" spans="1:11" x14ac:dyDescent="0.25">
      <c r="A276" s="261" t="s">
        <v>987</v>
      </c>
      <c r="B276" s="261" t="s">
        <v>1161</v>
      </c>
      <c r="C276" s="261" t="s">
        <v>1558</v>
      </c>
      <c r="D276" s="261" t="s">
        <v>1046</v>
      </c>
      <c r="E276" s="263" t="s">
        <v>1068</v>
      </c>
      <c r="F276" s="261" t="s">
        <v>1727</v>
      </c>
      <c r="G276" s="262">
        <v>1</v>
      </c>
      <c r="H276" s="262">
        <v>1.1499999999999999</v>
      </c>
      <c r="I276" s="262"/>
      <c r="J276" s="261" t="s">
        <v>1574</v>
      </c>
      <c r="K276" s="261" t="s">
        <v>1853</v>
      </c>
    </row>
    <row r="277" spans="1:11" x14ac:dyDescent="0.25">
      <c r="A277" s="261" t="s">
        <v>987</v>
      </c>
      <c r="B277" s="261" t="s">
        <v>1196</v>
      </c>
      <c r="C277" s="261" t="s">
        <v>1552</v>
      </c>
      <c r="D277" s="261" t="s">
        <v>1032</v>
      </c>
      <c r="E277" s="263" t="s">
        <v>1068</v>
      </c>
      <c r="F277" s="261" t="s">
        <v>1727</v>
      </c>
      <c r="G277" s="262">
        <v>19.36</v>
      </c>
      <c r="H277" s="262">
        <v>3072432</v>
      </c>
      <c r="I277" s="262">
        <v>1067062.3128</v>
      </c>
      <c r="J277" s="261" t="s">
        <v>1575</v>
      </c>
      <c r="K277" s="261" t="s">
        <v>1853</v>
      </c>
    </row>
    <row r="278" spans="1:11" x14ac:dyDescent="0.25">
      <c r="A278" s="261" t="s">
        <v>987</v>
      </c>
      <c r="B278" s="261" t="s">
        <v>1165</v>
      </c>
      <c r="C278" s="261" t="s">
        <v>1558</v>
      </c>
      <c r="D278" s="261" t="s">
        <v>1046</v>
      </c>
      <c r="E278" s="263" t="s">
        <v>1068</v>
      </c>
      <c r="F278" s="261" t="s">
        <v>1727</v>
      </c>
      <c r="G278" s="262">
        <v>1</v>
      </c>
      <c r="H278" s="262">
        <v>217551.24999999997</v>
      </c>
      <c r="I278" s="262"/>
      <c r="J278" s="261" t="s">
        <v>1574</v>
      </c>
      <c r="K278" s="261" t="s">
        <v>1853</v>
      </c>
    </row>
    <row r="279" spans="1:11" x14ac:dyDescent="0.25">
      <c r="A279" s="261" t="s">
        <v>987</v>
      </c>
      <c r="B279" s="261" t="s">
        <v>1100</v>
      </c>
      <c r="C279" s="261" t="s">
        <v>1558</v>
      </c>
      <c r="D279" s="261" t="s">
        <v>1046</v>
      </c>
      <c r="E279" s="263" t="s">
        <v>1068</v>
      </c>
      <c r="F279" s="261" t="s">
        <v>1727</v>
      </c>
      <c r="G279" s="262">
        <v>1</v>
      </c>
      <c r="H279" s="262">
        <v>1983749.9999999998</v>
      </c>
      <c r="I279" s="262">
        <v>2710665</v>
      </c>
      <c r="J279" s="261" t="s">
        <v>1574</v>
      </c>
      <c r="K279" s="261" t="s">
        <v>1853</v>
      </c>
    </row>
    <row r="280" spans="1:11" x14ac:dyDescent="0.25">
      <c r="A280" s="261" t="s">
        <v>987</v>
      </c>
      <c r="B280" s="261" t="s">
        <v>1155</v>
      </c>
      <c r="C280" s="261" t="s">
        <v>1558</v>
      </c>
      <c r="D280" s="261" t="s">
        <v>1046</v>
      </c>
      <c r="E280" s="263" t="s">
        <v>1068</v>
      </c>
      <c r="F280" s="261" t="s">
        <v>1727</v>
      </c>
      <c r="G280" s="262">
        <v>1</v>
      </c>
      <c r="H280" s="262">
        <v>12862.749999999998</v>
      </c>
      <c r="I280" s="262">
        <v>17576.109000000004</v>
      </c>
      <c r="J280" s="261" t="s">
        <v>1574</v>
      </c>
      <c r="K280" s="261" t="s">
        <v>1853</v>
      </c>
    </row>
    <row r="281" spans="1:11" x14ac:dyDescent="0.25">
      <c r="A281" s="261" t="s">
        <v>987</v>
      </c>
      <c r="B281" s="261" t="s">
        <v>1157</v>
      </c>
      <c r="C281" s="261" t="s">
        <v>1558</v>
      </c>
      <c r="D281" s="261" t="s">
        <v>1046</v>
      </c>
      <c r="E281" s="263" t="s">
        <v>1068</v>
      </c>
      <c r="F281" s="261" t="s">
        <v>1727</v>
      </c>
      <c r="G281" s="262">
        <v>1</v>
      </c>
      <c r="H281" s="262">
        <v>4401.0499999999993</v>
      </c>
      <c r="I281" s="262">
        <v>6013.7478000000001</v>
      </c>
      <c r="J281" s="261" t="s">
        <v>1574</v>
      </c>
      <c r="K281" s="261" t="s">
        <v>1853</v>
      </c>
    </row>
    <row r="282" spans="1:11" x14ac:dyDescent="0.25">
      <c r="A282" s="261" t="s">
        <v>987</v>
      </c>
      <c r="B282" s="261" t="s">
        <v>1159</v>
      </c>
      <c r="C282" s="261" t="s">
        <v>1558</v>
      </c>
      <c r="D282" s="261" t="s">
        <v>1046</v>
      </c>
      <c r="E282" s="263" t="s">
        <v>1068</v>
      </c>
      <c r="F282" s="261" t="s">
        <v>1727</v>
      </c>
      <c r="G282" s="262">
        <v>1</v>
      </c>
      <c r="H282" s="262">
        <v>4401.0499999999993</v>
      </c>
      <c r="I282" s="262">
        <v>6013.7478000000001</v>
      </c>
      <c r="J282" s="261" t="s">
        <v>1574</v>
      </c>
      <c r="K282" s="261" t="s">
        <v>1853</v>
      </c>
    </row>
    <row r="283" spans="1:11" x14ac:dyDescent="0.25">
      <c r="A283" s="261" t="s">
        <v>987</v>
      </c>
      <c r="B283" s="261" t="s">
        <v>1196</v>
      </c>
      <c r="C283" s="261" t="s">
        <v>1552</v>
      </c>
      <c r="D283" s="261" t="s">
        <v>1032</v>
      </c>
      <c r="E283" s="263" t="s">
        <v>1068</v>
      </c>
      <c r="F283" s="261" t="s">
        <v>1727</v>
      </c>
      <c r="G283" s="262">
        <v>31.68</v>
      </c>
      <c r="H283" s="262">
        <v>5027616</v>
      </c>
      <c r="I283" s="262">
        <v>1746101.9664</v>
      </c>
      <c r="J283" s="261" t="s">
        <v>1575</v>
      </c>
      <c r="K283" s="261" t="s">
        <v>1853</v>
      </c>
    </row>
    <row r="284" spans="1:11" x14ac:dyDescent="0.25">
      <c r="A284" s="261" t="s">
        <v>987</v>
      </c>
      <c r="B284" s="261" t="s">
        <v>1196</v>
      </c>
      <c r="C284" s="261" t="s">
        <v>1552</v>
      </c>
      <c r="D284" s="261" t="s">
        <v>1032</v>
      </c>
      <c r="E284" s="263" t="s">
        <v>1068</v>
      </c>
      <c r="F284" s="261" t="s">
        <v>1727</v>
      </c>
      <c r="G284" s="262">
        <v>5.28</v>
      </c>
      <c r="H284" s="262">
        <v>837936</v>
      </c>
      <c r="I284" s="262">
        <v>291016.99440000003</v>
      </c>
      <c r="J284" s="261" t="s">
        <v>1575</v>
      </c>
      <c r="K284" s="261" t="s">
        <v>1853</v>
      </c>
    </row>
    <row r="285" spans="1:11" x14ac:dyDescent="0.25">
      <c r="A285" s="261" t="s">
        <v>987</v>
      </c>
      <c r="B285" s="261" t="s">
        <v>1196</v>
      </c>
      <c r="C285" s="261" t="s">
        <v>1552</v>
      </c>
      <c r="D285" s="261" t="s">
        <v>1032</v>
      </c>
      <c r="E285" s="263" t="s">
        <v>1068</v>
      </c>
      <c r="F285" s="261" t="s">
        <v>1727</v>
      </c>
      <c r="G285" s="262">
        <v>9.9</v>
      </c>
      <c r="H285" s="262">
        <v>1571130</v>
      </c>
      <c r="I285" s="262">
        <v>545656.86450000003</v>
      </c>
      <c r="J285" s="261" t="s">
        <v>1575</v>
      </c>
      <c r="K285" s="261" t="s">
        <v>1853</v>
      </c>
    </row>
    <row r="286" spans="1:11" x14ac:dyDescent="0.25">
      <c r="A286" s="261" t="s">
        <v>987</v>
      </c>
      <c r="B286" s="261" t="s">
        <v>1196</v>
      </c>
      <c r="C286" s="261" t="s">
        <v>1552</v>
      </c>
      <c r="D286" s="261" t="s">
        <v>1032</v>
      </c>
      <c r="E286" s="263" t="s">
        <v>1068</v>
      </c>
      <c r="F286" s="261" t="s">
        <v>1727</v>
      </c>
      <c r="G286" s="262">
        <v>5.39</v>
      </c>
      <c r="H286" s="262">
        <v>855393</v>
      </c>
      <c r="I286" s="262">
        <v>297079.84844999999</v>
      </c>
      <c r="J286" s="261" t="s">
        <v>1575</v>
      </c>
      <c r="K286" s="261" t="s">
        <v>1853</v>
      </c>
    </row>
    <row r="287" spans="1:11" x14ac:dyDescent="0.25">
      <c r="A287" s="261" t="s">
        <v>987</v>
      </c>
      <c r="B287" s="261" t="s">
        <v>1163</v>
      </c>
      <c r="C287" s="261" t="s">
        <v>1558</v>
      </c>
      <c r="D287" s="261" t="s">
        <v>1046</v>
      </c>
      <c r="E287" s="263" t="s">
        <v>1068</v>
      </c>
      <c r="F287" s="261" t="s">
        <v>1727</v>
      </c>
      <c r="G287" s="262">
        <v>1</v>
      </c>
      <c r="H287" s="262">
        <v>1.1499999999999999</v>
      </c>
      <c r="I287" s="262"/>
      <c r="J287" s="261" t="s">
        <v>1574</v>
      </c>
      <c r="K287" s="261" t="s">
        <v>1853</v>
      </c>
    </row>
    <row r="288" spans="1:11" x14ac:dyDescent="0.25">
      <c r="A288" s="261" t="s">
        <v>987</v>
      </c>
      <c r="B288" s="261" t="s">
        <v>1196</v>
      </c>
      <c r="C288" s="261" t="s">
        <v>1552</v>
      </c>
      <c r="D288" s="261" t="s">
        <v>1032</v>
      </c>
      <c r="E288" s="263" t="s">
        <v>1068</v>
      </c>
      <c r="F288" s="261" t="s">
        <v>1727</v>
      </c>
      <c r="G288" s="262">
        <v>1.44</v>
      </c>
      <c r="H288" s="262">
        <v>228528</v>
      </c>
      <c r="I288" s="262">
        <v>79368.271200000003</v>
      </c>
      <c r="J288" s="261" t="s">
        <v>1575</v>
      </c>
      <c r="K288" s="261" t="s">
        <v>1853</v>
      </c>
    </row>
    <row r="289" spans="1:11" x14ac:dyDescent="0.25">
      <c r="A289" s="261" t="s">
        <v>987</v>
      </c>
      <c r="B289" s="261" t="s">
        <v>1196</v>
      </c>
      <c r="C289" s="261" t="s">
        <v>1552</v>
      </c>
      <c r="D289" s="261" t="s">
        <v>1032</v>
      </c>
      <c r="E289" s="263" t="s">
        <v>1068</v>
      </c>
      <c r="F289" s="261" t="s">
        <v>1727</v>
      </c>
      <c r="G289" s="262">
        <v>1.92</v>
      </c>
      <c r="H289" s="262">
        <v>304704</v>
      </c>
      <c r="I289" s="262">
        <v>105824.3616</v>
      </c>
      <c r="J289" s="261" t="s">
        <v>1575</v>
      </c>
      <c r="K289" s="261" t="s">
        <v>1853</v>
      </c>
    </row>
    <row r="290" spans="1:11" x14ac:dyDescent="0.25">
      <c r="A290" s="261" t="s">
        <v>987</v>
      </c>
      <c r="B290" s="261" t="s">
        <v>1196</v>
      </c>
      <c r="C290" s="261" t="s">
        <v>1552</v>
      </c>
      <c r="D290" s="261" t="s">
        <v>1032</v>
      </c>
      <c r="E290" s="263" t="s">
        <v>1068</v>
      </c>
      <c r="F290" s="261" t="s">
        <v>1727</v>
      </c>
      <c r="G290" s="262">
        <v>3.36</v>
      </c>
      <c r="H290" s="262">
        <v>533232</v>
      </c>
      <c r="I290" s="262">
        <v>185192.63279999999</v>
      </c>
      <c r="J290" s="261" t="s">
        <v>1575</v>
      </c>
      <c r="K290" s="261" t="s">
        <v>1853</v>
      </c>
    </row>
    <row r="291" spans="1:11" x14ac:dyDescent="0.25">
      <c r="A291" s="261" t="s">
        <v>987</v>
      </c>
      <c r="B291" s="261" t="s">
        <v>1196</v>
      </c>
      <c r="C291" s="261" t="s">
        <v>1552</v>
      </c>
      <c r="D291" s="261" t="s">
        <v>1032</v>
      </c>
      <c r="E291" s="263" t="s">
        <v>1068</v>
      </c>
      <c r="F291" s="261" t="s">
        <v>1727</v>
      </c>
      <c r="G291" s="262">
        <v>12</v>
      </c>
      <c r="H291" s="262">
        <v>1904400</v>
      </c>
      <c r="I291" s="262">
        <v>661402.26</v>
      </c>
      <c r="J291" s="261" t="s">
        <v>1575</v>
      </c>
      <c r="K291" s="261" t="s">
        <v>1853</v>
      </c>
    </row>
    <row r="292" spans="1:11" x14ac:dyDescent="0.25">
      <c r="A292" s="261" t="s">
        <v>987</v>
      </c>
      <c r="B292" s="261" t="s">
        <v>1196</v>
      </c>
      <c r="C292" s="261" t="s">
        <v>1552</v>
      </c>
      <c r="D292" s="261" t="s">
        <v>1032</v>
      </c>
      <c r="E292" s="263" t="s">
        <v>1068</v>
      </c>
      <c r="F292" s="261" t="s">
        <v>1727</v>
      </c>
      <c r="G292" s="262">
        <v>5.32</v>
      </c>
      <c r="H292" s="262">
        <v>844284</v>
      </c>
      <c r="I292" s="262">
        <v>293221.66860000003</v>
      </c>
      <c r="J292" s="261" t="s">
        <v>1575</v>
      </c>
      <c r="K292" s="261" t="s">
        <v>1853</v>
      </c>
    </row>
    <row r="293" spans="1:11" x14ac:dyDescent="0.25">
      <c r="A293" s="261" t="s">
        <v>987</v>
      </c>
      <c r="B293" s="261" t="s">
        <v>1196</v>
      </c>
      <c r="C293" s="261" t="s">
        <v>1552</v>
      </c>
      <c r="D293" s="261" t="s">
        <v>1032</v>
      </c>
      <c r="E293" s="263" t="s">
        <v>1068</v>
      </c>
      <c r="F293" s="261" t="s">
        <v>1727</v>
      </c>
      <c r="G293" s="262">
        <v>46.38</v>
      </c>
      <c r="H293" s="262">
        <v>7360506</v>
      </c>
      <c r="I293" s="262">
        <v>2556319.7349000005</v>
      </c>
      <c r="J293" s="261" t="s">
        <v>1575</v>
      </c>
      <c r="K293" s="261" t="s">
        <v>1853</v>
      </c>
    </row>
    <row r="294" spans="1:11" x14ac:dyDescent="0.25">
      <c r="A294" s="261" t="s">
        <v>987</v>
      </c>
      <c r="B294" s="261" t="s">
        <v>1187</v>
      </c>
      <c r="C294" s="261" t="s">
        <v>1551</v>
      </c>
      <c r="D294" s="261" t="s">
        <v>1035</v>
      </c>
      <c r="E294" s="263" t="s">
        <v>1068</v>
      </c>
      <c r="F294" s="261" t="s">
        <v>1727</v>
      </c>
      <c r="G294" s="262">
        <v>314.58999999999997</v>
      </c>
      <c r="H294" s="262">
        <v>10193109.237499999</v>
      </c>
      <c r="I294" s="262">
        <v>2713963.52574</v>
      </c>
      <c r="J294" s="261" t="s">
        <v>1575</v>
      </c>
      <c r="K294" s="261" t="s">
        <v>1853</v>
      </c>
    </row>
    <row r="295" spans="1:11" x14ac:dyDescent="0.25">
      <c r="A295" s="261" t="s">
        <v>987</v>
      </c>
      <c r="B295" s="261" t="s">
        <v>1190</v>
      </c>
      <c r="C295" s="261" t="s">
        <v>1551</v>
      </c>
      <c r="D295" s="261" t="s">
        <v>1035</v>
      </c>
      <c r="E295" s="263" t="s">
        <v>1068</v>
      </c>
      <c r="F295" s="261" t="s">
        <v>1727</v>
      </c>
      <c r="G295" s="262">
        <v>559</v>
      </c>
      <c r="H295" s="262">
        <v>21808686.25</v>
      </c>
      <c r="I295" s="262">
        <v>8841222.8190000001</v>
      </c>
      <c r="J295" s="261" t="s">
        <v>1575</v>
      </c>
      <c r="K295" s="261" t="s">
        <v>1853</v>
      </c>
    </row>
    <row r="296" spans="1:11" x14ac:dyDescent="0.25">
      <c r="A296" s="261" t="s">
        <v>987</v>
      </c>
      <c r="B296" s="261" t="s">
        <v>1166</v>
      </c>
      <c r="C296" s="261" t="s">
        <v>1558</v>
      </c>
      <c r="D296" s="261" t="s">
        <v>1046</v>
      </c>
      <c r="E296" s="263" t="s">
        <v>1068</v>
      </c>
      <c r="F296" s="261" t="s">
        <v>1727</v>
      </c>
      <c r="G296" s="262">
        <v>1</v>
      </c>
      <c r="H296" s="262">
        <v>6612.4999999999991</v>
      </c>
      <c r="I296" s="262"/>
      <c r="J296" s="261" t="s">
        <v>1574</v>
      </c>
      <c r="K296" s="261" t="s">
        <v>1853</v>
      </c>
    </row>
    <row r="297" spans="1:11" x14ac:dyDescent="0.25">
      <c r="A297" s="261" t="s">
        <v>987</v>
      </c>
      <c r="B297" s="261" t="s">
        <v>1196</v>
      </c>
      <c r="C297" s="261" t="s">
        <v>1552</v>
      </c>
      <c r="D297" s="261" t="s">
        <v>1032</v>
      </c>
      <c r="E297" s="263" t="s">
        <v>1068</v>
      </c>
      <c r="F297" s="261" t="s">
        <v>1727</v>
      </c>
      <c r="G297" s="262">
        <v>1.2</v>
      </c>
      <c r="H297" s="262">
        <v>190440</v>
      </c>
      <c r="I297" s="262">
        <v>66140.225999999995</v>
      </c>
      <c r="J297" s="261" t="s">
        <v>1575</v>
      </c>
      <c r="K297" s="261" t="s">
        <v>1853</v>
      </c>
    </row>
    <row r="298" spans="1:11" x14ac:dyDescent="0.25">
      <c r="A298" s="261" t="s">
        <v>987</v>
      </c>
      <c r="B298" s="261" t="s">
        <v>1108</v>
      </c>
      <c r="C298" s="261" t="s">
        <v>1558</v>
      </c>
      <c r="D298" s="261" t="s">
        <v>1046</v>
      </c>
      <c r="E298" s="263" t="s">
        <v>1068</v>
      </c>
      <c r="F298" s="261" t="s">
        <v>1727</v>
      </c>
      <c r="G298" s="262">
        <v>460</v>
      </c>
      <c r="H298" s="262">
        <v>3041749.9999999995</v>
      </c>
      <c r="I298" s="262"/>
      <c r="J298" s="261" t="s">
        <v>1574</v>
      </c>
      <c r="K298" s="261" t="s">
        <v>1853</v>
      </c>
    </row>
    <row r="299" spans="1:11" x14ac:dyDescent="0.25">
      <c r="A299" s="261" t="s">
        <v>987</v>
      </c>
      <c r="B299" s="261" t="s">
        <v>1184</v>
      </c>
      <c r="C299" s="261" t="s">
        <v>1549</v>
      </c>
      <c r="D299" s="261" t="s">
        <v>1042</v>
      </c>
      <c r="E299" s="263" t="s">
        <v>1068</v>
      </c>
      <c r="F299" s="261" t="s">
        <v>1766</v>
      </c>
      <c r="G299" s="262">
        <v>83</v>
      </c>
      <c r="H299" s="262">
        <v>1648994.1999999997</v>
      </c>
      <c r="I299" s="262">
        <v>596699.86500000011</v>
      </c>
      <c r="J299" s="261" t="s">
        <v>1575</v>
      </c>
      <c r="K299" s="261" t="s">
        <v>1861</v>
      </c>
    </row>
    <row r="300" spans="1:11" x14ac:dyDescent="0.25">
      <c r="A300" s="261" t="s">
        <v>987</v>
      </c>
      <c r="B300" s="261" t="s">
        <v>1183</v>
      </c>
      <c r="C300" s="261" t="s">
        <v>1549</v>
      </c>
      <c r="D300" s="261" t="s">
        <v>1042</v>
      </c>
      <c r="E300" s="263" t="s">
        <v>1068</v>
      </c>
      <c r="F300" s="261" t="s">
        <v>1766</v>
      </c>
      <c r="G300" s="262">
        <v>83</v>
      </c>
      <c r="H300" s="262">
        <v>1125641.8499999999</v>
      </c>
      <c r="I300" s="262">
        <v>1538116.1766000001</v>
      </c>
      <c r="J300" s="261" t="s">
        <v>1574</v>
      </c>
      <c r="K300" s="261" t="s">
        <v>1861</v>
      </c>
    </row>
    <row r="301" spans="1:11" x14ac:dyDescent="0.25">
      <c r="A301" s="261" t="s">
        <v>987</v>
      </c>
      <c r="B301" s="261" t="s">
        <v>1186</v>
      </c>
      <c r="C301" s="261" t="s">
        <v>1549</v>
      </c>
      <c r="D301" s="261" t="s">
        <v>1042</v>
      </c>
      <c r="E301" s="263" t="s">
        <v>1068</v>
      </c>
      <c r="F301" s="261" t="s">
        <v>1766</v>
      </c>
      <c r="G301" s="262">
        <v>11.87</v>
      </c>
      <c r="H301" s="262">
        <v>117953.97049999998</v>
      </c>
      <c r="I301" s="262">
        <v>56890.179900000003</v>
      </c>
      <c r="J301" s="261" t="s">
        <v>1575</v>
      </c>
      <c r="K301" s="261" t="s">
        <v>1861</v>
      </c>
    </row>
  </sheetData>
  <phoneticPr fontId="38" type="noConversion"/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B7B9E-A99D-4984-AF40-DFAF945C2039}">
  <sheetPr>
    <tabColor rgb="FFFF0000"/>
  </sheetPr>
  <dimension ref="A1"/>
  <sheetViews>
    <sheetView workbookViewId="0"/>
  </sheetViews>
  <sheetFormatPr baseColWidth="10" defaultRowHeight="15" x14ac:dyDescent="0.25"/>
  <cols>
    <col min="1" max="16384" width="11.42578125" style="1"/>
  </cols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8F8AC-2A58-4094-9FE5-45C60BFF7543}">
  <sheetPr>
    <tabColor theme="3" tint="0.39997558519241921"/>
  </sheetPr>
  <dimension ref="A1:D5"/>
  <sheetViews>
    <sheetView workbookViewId="0">
      <selection activeCell="C19" sqref="C19"/>
    </sheetView>
  </sheetViews>
  <sheetFormatPr baseColWidth="10" defaultRowHeight="15" x14ac:dyDescent="0.25"/>
  <cols>
    <col min="1" max="1" width="17.85546875" style="1" bestFit="1" customWidth="1"/>
    <col min="2" max="2" width="21" style="1" bestFit="1" customWidth="1"/>
    <col min="3" max="3" width="22.42578125" style="1" bestFit="1" customWidth="1"/>
    <col min="4" max="4" width="8.28515625" style="1" bestFit="1" customWidth="1"/>
    <col min="5" max="16384" width="11.42578125" style="1"/>
  </cols>
  <sheetData>
    <row r="1" spans="1:4" x14ac:dyDescent="0.25">
      <c r="A1" s="1" t="s">
        <v>1050</v>
      </c>
      <c r="B1" s="1" t="s">
        <v>1054</v>
      </c>
      <c r="C1" s="1" t="s">
        <v>1055</v>
      </c>
      <c r="D1" s="1" t="s">
        <v>1080</v>
      </c>
    </row>
    <row r="2" spans="1:4" x14ac:dyDescent="0.25">
      <c r="A2" s="1" t="s">
        <v>1043</v>
      </c>
      <c r="B2" s="1" t="s">
        <v>1058</v>
      </c>
      <c r="C2" s="1" t="s">
        <v>1580</v>
      </c>
      <c r="D2" s="1">
        <v>1</v>
      </c>
    </row>
    <row r="3" spans="1:4" x14ac:dyDescent="0.25">
      <c r="A3" s="1" t="s">
        <v>1036</v>
      </c>
      <c r="B3" s="1" t="s">
        <v>1060</v>
      </c>
      <c r="C3" s="1" t="s">
        <v>1581</v>
      </c>
      <c r="D3" s="1">
        <v>1</v>
      </c>
    </row>
    <row r="4" spans="1:4" x14ac:dyDescent="0.25">
      <c r="A4" s="1" t="s">
        <v>1002</v>
      </c>
      <c r="B4" s="1" t="s">
        <v>1582</v>
      </c>
      <c r="C4" s="1" t="s">
        <v>1583</v>
      </c>
      <c r="D4" s="1">
        <v>1</v>
      </c>
    </row>
    <row r="5" spans="1:4" x14ac:dyDescent="0.25">
      <c r="A5" s="1" t="s">
        <v>992</v>
      </c>
      <c r="B5" s="1" t="s">
        <v>1584</v>
      </c>
      <c r="C5" s="1" t="s">
        <v>1585</v>
      </c>
      <c r="D5" s="1">
        <v>1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39E3-0036-4410-B861-B38180C82593}">
  <sheetPr>
    <tabColor theme="3" tint="0.39997558519241921"/>
  </sheetPr>
  <dimension ref="A1:G18"/>
  <sheetViews>
    <sheetView workbookViewId="0">
      <selection activeCell="H33" sqref="H33"/>
    </sheetView>
  </sheetViews>
  <sheetFormatPr baseColWidth="10" defaultRowHeight="15" x14ac:dyDescent="0.25"/>
  <cols>
    <col min="1" max="1" width="18.42578125" style="1" bestFit="1" customWidth="1"/>
    <col min="2" max="2" width="21.85546875" style="1" bestFit="1" customWidth="1"/>
    <col min="3" max="3" width="31" style="1" bestFit="1" customWidth="1"/>
    <col min="4" max="4" width="17.85546875" style="1" bestFit="1" customWidth="1"/>
    <col min="5" max="5" width="14.7109375" style="1" bestFit="1" customWidth="1"/>
    <col min="6" max="6" width="22.7109375" style="1" bestFit="1" customWidth="1"/>
    <col min="7" max="7" width="18" style="1" bestFit="1" customWidth="1"/>
    <col min="8" max="8" width="21.42578125" style="1" bestFit="1" customWidth="1"/>
    <col min="9" max="9" width="23.85546875" style="1" bestFit="1" customWidth="1"/>
    <col min="10" max="10" width="17.85546875" style="1" bestFit="1" customWidth="1"/>
    <col min="11" max="11" width="14.7109375" style="1" bestFit="1" customWidth="1"/>
    <col min="12" max="12" width="22.7109375" style="1" bestFit="1" customWidth="1"/>
    <col min="13" max="13" width="18" style="1" bestFit="1" customWidth="1"/>
    <col min="14" max="16384" width="11.42578125" style="1"/>
  </cols>
  <sheetData>
    <row r="1" spans="1:7" x14ac:dyDescent="0.25">
      <c r="A1" s="1" t="s">
        <v>1053</v>
      </c>
      <c r="B1" s="1" t="s">
        <v>1052</v>
      </c>
      <c r="C1" s="1" t="s">
        <v>1051</v>
      </c>
      <c r="D1" s="1" t="s">
        <v>1050</v>
      </c>
      <c r="E1" s="1" t="s">
        <v>1049</v>
      </c>
      <c r="F1" s="1" t="s">
        <v>1048</v>
      </c>
      <c r="G1" s="1" t="s">
        <v>1047</v>
      </c>
    </row>
    <row r="2" spans="1:7" x14ac:dyDescent="0.25">
      <c r="A2" s="1" t="s">
        <v>1046</v>
      </c>
      <c r="B2" s="1" t="s">
        <v>1045</v>
      </c>
      <c r="C2" s="1" t="s">
        <v>1044</v>
      </c>
      <c r="D2" s="1" t="s">
        <v>1043</v>
      </c>
      <c r="E2" s="1">
        <v>0</v>
      </c>
      <c r="F2" s="1">
        <v>0.4</v>
      </c>
      <c r="G2" s="1">
        <v>0</v>
      </c>
    </row>
    <row r="3" spans="1:7" x14ac:dyDescent="0.25">
      <c r="A3" s="1" t="s">
        <v>1042</v>
      </c>
      <c r="B3" s="1" t="s">
        <v>1041</v>
      </c>
      <c r="C3" s="1" t="s">
        <v>1040</v>
      </c>
      <c r="D3" s="1" t="s">
        <v>1036</v>
      </c>
      <c r="E3" s="1">
        <v>1</v>
      </c>
      <c r="F3" s="1">
        <v>0.3</v>
      </c>
      <c r="G3" s="1">
        <v>1</v>
      </c>
    </row>
    <row r="4" spans="1:7" x14ac:dyDescent="0.25">
      <c r="A4" s="1" t="s">
        <v>1039</v>
      </c>
      <c r="B4" s="1" t="s">
        <v>1038</v>
      </c>
      <c r="C4" s="1" t="s">
        <v>1037</v>
      </c>
      <c r="D4" s="1" t="s">
        <v>1036</v>
      </c>
      <c r="E4" s="1">
        <v>1</v>
      </c>
      <c r="F4" s="1">
        <v>0.2</v>
      </c>
      <c r="G4" s="1">
        <v>2</v>
      </c>
    </row>
    <row r="5" spans="1:7" x14ac:dyDescent="0.25">
      <c r="A5" s="1" t="s">
        <v>1035</v>
      </c>
      <c r="B5" s="1" t="s">
        <v>1034</v>
      </c>
      <c r="C5" s="1" t="s">
        <v>1033</v>
      </c>
      <c r="D5" s="1" t="s">
        <v>1002</v>
      </c>
      <c r="E5" s="1">
        <v>1</v>
      </c>
      <c r="F5" s="1">
        <v>0.2</v>
      </c>
      <c r="G5" s="1">
        <v>2</v>
      </c>
    </row>
    <row r="6" spans="1:7" x14ac:dyDescent="0.25">
      <c r="A6" s="1" t="s">
        <v>1032</v>
      </c>
      <c r="B6" s="1" t="s">
        <v>1031</v>
      </c>
      <c r="C6" s="1" t="s">
        <v>1030</v>
      </c>
      <c r="D6" s="1" t="s">
        <v>1002</v>
      </c>
      <c r="E6" s="1">
        <v>1</v>
      </c>
      <c r="F6" s="1">
        <v>0.25</v>
      </c>
      <c r="G6" s="1">
        <v>2</v>
      </c>
    </row>
    <row r="7" spans="1:7" x14ac:dyDescent="0.25">
      <c r="A7" s="1" t="s">
        <v>1029</v>
      </c>
      <c r="B7" s="1" t="s">
        <v>1028</v>
      </c>
      <c r="C7" s="1" t="s">
        <v>1027</v>
      </c>
      <c r="D7" s="1" t="s">
        <v>1002</v>
      </c>
      <c r="E7" s="1">
        <v>1</v>
      </c>
      <c r="F7" s="1">
        <v>0.3</v>
      </c>
      <c r="G7" s="1">
        <v>2</v>
      </c>
    </row>
    <row r="8" spans="1:7" x14ac:dyDescent="0.25">
      <c r="A8" s="1" t="s">
        <v>1026</v>
      </c>
      <c r="B8" s="1" t="s">
        <v>1025</v>
      </c>
      <c r="C8" s="1" t="s">
        <v>1024</v>
      </c>
      <c r="D8" s="1" t="s">
        <v>1002</v>
      </c>
      <c r="E8" s="1">
        <v>1</v>
      </c>
      <c r="F8" s="1">
        <v>0.2</v>
      </c>
      <c r="G8" s="1">
        <v>2</v>
      </c>
    </row>
    <row r="9" spans="1:7" x14ac:dyDescent="0.25">
      <c r="A9" s="1" t="s">
        <v>1023</v>
      </c>
      <c r="B9" s="1" t="s">
        <v>1022</v>
      </c>
      <c r="C9" s="1" t="s">
        <v>1021</v>
      </c>
      <c r="D9" s="1" t="s">
        <v>992</v>
      </c>
      <c r="E9" s="1">
        <v>1</v>
      </c>
      <c r="F9" s="1">
        <v>0.15</v>
      </c>
      <c r="G9" s="1">
        <v>3</v>
      </c>
    </row>
    <row r="10" spans="1:7" x14ac:dyDescent="0.25">
      <c r="A10" s="1" t="s">
        <v>1020</v>
      </c>
      <c r="B10" s="1" t="s">
        <v>1019</v>
      </c>
      <c r="C10" s="1" t="s">
        <v>1018</v>
      </c>
      <c r="D10" s="1" t="s">
        <v>992</v>
      </c>
      <c r="E10" s="1">
        <v>1</v>
      </c>
      <c r="F10" s="1">
        <v>0.1</v>
      </c>
      <c r="G10" s="1">
        <v>2.5</v>
      </c>
    </row>
    <row r="11" spans="1:7" x14ac:dyDescent="0.25">
      <c r="A11" s="1" t="s">
        <v>1017</v>
      </c>
      <c r="B11" s="1" t="s">
        <v>1016</v>
      </c>
      <c r="C11" s="1" t="s">
        <v>1015</v>
      </c>
      <c r="D11" s="1" t="s">
        <v>992</v>
      </c>
      <c r="E11" s="1">
        <v>1</v>
      </c>
      <c r="F11" s="1">
        <v>0.25</v>
      </c>
      <c r="G11" s="1">
        <v>2</v>
      </c>
    </row>
    <row r="12" spans="1:7" x14ac:dyDescent="0.25">
      <c r="A12" s="1" t="s">
        <v>1014</v>
      </c>
      <c r="B12" s="1" t="s">
        <v>1013</v>
      </c>
      <c r="C12" s="1" t="s">
        <v>1012</v>
      </c>
      <c r="D12" s="1" t="s">
        <v>992</v>
      </c>
      <c r="E12" s="1">
        <v>1</v>
      </c>
      <c r="F12" s="1">
        <v>0.2</v>
      </c>
      <c r="G12" s="1">
        <v>1.5</v>
      </c>
    </row>
    <row r="13" spans="1:7" x14ac:dyDescent="0.25">
      <c r="A13" s="1" t="s">
        <v>1011</v>
      </c>
      <c r="B13" s="1" t="s">
        <v>1010</v>
      </c>
      <c r="C13" s="1" t="s">
        <v>1009</v>
      </c>
      <c r="D13" s="1" t="s">
        <v>1002</v>
      </c>
      <c r="E13" s="1">
        <v>1</v>
      </c>
      <c r="F13" s="1">
        <v>0.1</v>
      </c>
      <c r="G13" s="1">
        <v>3.5</v>
      </c>
    </row>
    <row r="14" spans="1:7" x14ac:dyDescent="0.25">
      <c r="A14" s="1" t="s">
        <v>1008</v>
      </c>
      <c r="B14" s="1" t="s">
        <v>1007</v>
      </c>
      <c r="C14" s="1" t="s">
        <v>1006</v>
      </c>
      <c r="D14" s="1" t="s">
        <v>992</v>
      </c>
      <c r="E14" s="1">
        <v>1</v>
      </c>
      <c r="F14" s="1">
        <v>0.25</v>
      </c>
      <c r="G14" s="1">
        <v>2</v>
      </c>
    </row>
    <row r="15" spans="1:7" x14ac:dyDescent="0.25">
      <c r="A15" s="1" t="s">
        <v>1005</v>
      </c>
      <c r="B15" s="1" t="s">
        <v>1004</v>
      </c>
      <c r="C15" s="1" t="s">
        <v>1003</v>
      </c>
      <c r="D15" s="1" t="s">
        <v>1002</v>
      </c>
      <c r="E15" s="1">
        <v>1</v>
      </c>
      <c r="F15" s="1">
        <v>0.4</v>
      </c>
      <c r="G15" s="1">
        <v>2</v>
      </c>
    </row>
    <row r="16" spans="1:7" x14ac:dyDescent="0.25">
      <c r="A16" s="1" t="s">
        <v>1001</v>
      </c>
      <c r="B16" s="1" t="s">
        <v>1000</v>
      </c>
      <c r="C16" s="1" t="s">
        <v>999</v>
      </c>
      <c r="D16" s="1" t="s">
        <v>992</v>
      </c>
      <c r="E16" s="1">
        <v>1</v>
      </c>
      <c r="F16" s="1">
        <v>0.1</v>
      </c>
      <c r="G16" s="1">
        <v>2.5</v>
      </c>
    </row>
    <row r="17" spans="1:7" x14ac:dyDescent="0.25">
      <c r="A17" s="1" t="s">
        <v>998</v>
      </c>
      <c r="B17" s="1" t="s">
        <v>997</v>
      </c>
      <c r="C17" s="1" t="s">
        <v>996</v>
      </c>
      <c r="D17" s="1" t="s">
        <v>992</v>
      </c>
      <c r="E17" s="1">
        <v>1</v>
      </c>
      <c r="F17" s="1">
        <v>0.15</v>
      </c>
      <c r="G17" s="1">
        <v>2</v>
      </c>
    </row>
    <row r="18" spans="1:7" x14ac:dyDescent="0.25">
      <c r="A18" s="1" t="s">
        <v>995</v>
      </c>
      <c r="B18" s="1" t="s">
        <v>994</v>
      </c>
      <c r="C18" s="1" t="s">
        <v>993</v>
      </c>
      <c r="D18" s="1" t="s">
        <v>992</v>
      </c>
      <c r="E18" s="1">
        <v>1</v>
      </c>
      <c r="F18" s="1">
        <v>0.1</v>
      </c>
      <c r="G18" s="1">
        <v>3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2094D-A43C-41FB-B27D-65D04A9F59F3}">
  <sheetPr>
    <tabColor theme="3" tint="0.79998168889431442"/>
  </sheetPr>
  <dimension ref="A1:E14"/>
  <sheetViews>
    <sheetView workbookViewId="0">
      <selection activeCell="I23" sqref="I23"/>
    </sheetView>
  </sheetViews>
  <sheetFormatPr baseColWidth="10" defaultRowHeight="15" x14ac:dyDescent="0.25"/>
  <cols>
    <col min="1" max="1" width="21.5703125" style="1" bestFit="1" customWidth="1"/>
    <col min="2" max="2" width="15.42578125" style="1" bestFit="1" customWidth="1"/>
    <col min="3" max="3" width="13.140625" style="1" bestFit="1" customWidth="1"/>
    <col min="4" max="4" width="27.28515625" style="1" bestFit="1" customWidth="1"/>
    <col min="5" max="5" width="17.42578125" style="1" bestFit="1" customWidth="1"/>
    <col min="6" max="16384" width="11.42578125" style="1"/>
  </cols>
  <sheetData>
    <row r="1" spans="1:5" x14ac:dyDescent="0.25">
      <c r="A1" s="1" t="s">
        <v>979</v>
      </c>
      <c r="B1" s="1" t="s">
        <v>1066</v>
      </c>
      <c r="C1" s="1" t="s">
        <v>1538</v>
      </c>
      <c r="D1" t="s">
        <v>1851</v>
      </c>
      <c r="E1" t="s">
        <v>2155</v>
      </c>
    </row>
    <row r="2" spans="1:5" x14ac:dyDescent="0.25">
      <c r="A2" s="1" t="s">
        <v>987</v>
      </c>
      <c r="B2" s="1" t="s">
        <v>1070</v>
      </c>
      <c r="C2" s="1" t="s">
        <v>1731</v>
      </c>
      <c r="D2" s="261" t="s">
        <v>1857</v>
      </c>
      <c r="E2">
        <v>0</v>
      </c>
    </row>
    <row r="3" spans="1:5" x14ac:dyDescent="0.25">
      <c r="A3" t="s">
        <v>987</v>
      </c>
      <c r="B3" t="s">
        <v>1070</v>
      </c>
      <c r="C3" t="s">
        <v>1727</v>
      </c>
      <c r="D3" s="261" t="s">
        <v>1863</v>
      </c>
      <c r="E3">
        <v>1</v>
      </c>
    </row>
    <row r="4" spans="1:5" x14ac:dyDescent="0.25">
      <c r="A4" t="s">
        <v>987</v>
      </c>
      <c r="B4" t="s">
        <v>1070</v>
      </c>
      <c r="C4" t="s">
        <v>1729</v>
      </c>
      <c r="D4" s="261" t="s">
        <v>1854</v>
      </c>
      <c r="E4">
        <v>2</v>
      </c>
    </row>
    <row r="5" spans="1:5" x14ac:dyDescent="0.25">
      <c r="A5" t="s">
        <v>987</v>
      </c>
      <c r="B5" t="s">
        <v>1070</v>
      </c>
      <c r="C5" t="s">
        <v>1766</v>
      </c>
      <c r="D5" s="261" t="s">
        <v>1862</v>
      </c>
      <c r="E5">
        <v>4</v>
      </c>
    </row>
    <row r="6" spans="1:5" x14ac:dyDescent="0.25">
      <c r="A6" t="s">
        <v>987</v>
      </c>
      <c r="B6" t="s">
        <v>1070</v>
      </c>
      <c r="C6" t="s">
        <v>1542</v>
      </c>
      <c r="D6" s="261" t="s">
        <v>1864</v>
      </c>
      <c r="E6">
        <v>99</v>
      </c>
    </row>
    <row r="7" spans="1:5" x14ac:dyDescent="0.25">
      <c r="A7" t="s">
        <v>987</v>
      </c>
      <c r="B7" t="s">
        <v>1068</v>
      </c>
      <c r="C7" t="s">
        <v>1731</v>
      </c>
      <c r="D7" s="261" t="s">
        <v>1856</v>
      </c>
      <c r="E7">
        <v>0</v>
      </c>
    </row>
    <row r="8" spans="1:5" x14ac:dyDescent="0.25">
      <c r="A8" t="s">
        <v>987</v>
      </c>
      <c r="B8" t="s">
        <v>1068</v>
      </c>
      <c r="C8" t="s">
        <v>1727</v>
      </c>
      <c r="D8" s="261" t="s">
        <v>1853</v>
      </c>
      <c r="E8">
        <v>1</v>
      </c>
    </row>
    <row r="9" spans="1:5" x14ac:dyDescent="0.25">
      <c r="A9" t="s">
        <v>987</v>
      </c>
      <c r="B9" t="s">
        <v>1068</v>
      </c>
      <c r="C9" t="s">
        <v>1729</v>
      </c>
      <c r="D9" s="261" t="s">
        <v>1859</v>
      </c>
      <c r="E9">
        <v>2</v>
      </c>
    </row>
    <row r="10" spans="1:5" x14ac:dyDescent="0.25">
      <c r="A10" t="s">
        <v>987</v>
      </c>
      <c r="B10" t="s">
        <v>1068</v>
      </c>
      <c r="C10" t="s">
        <v>1730</v>
      </c>
      <c r="D10" s="261" t="s">
        <v>1855</v>
      </c>
      <c r="E10">
        <v>3</v>
      </c>
    </row>
    <row r="11" spans="1:5" x14ac:dyDescent="0.25">
      <c r="A11" t="s">
        <v>987</v>
      </c>
      <c r="B11" t="s">
        <v>1068</v>
      </c>
      <c r="C11" t="s">
        <v>1766</v>
      </c>
      <c r="D11" s="261" t="s">
        <v>1861</v>
      </c>
      <c r="E11">
        <v>4</v>
      </c>
    </row>
    <row r="12" spans="1:5" x14ac:dyDescent="0.25">
      <c r="A12" t="s">
        <v>987</v>
      </c>
      <c r="B12" t="s">
        <v>1068</v>
      </c>
      <c r="C12" t="s">
        <v>1762</v>
      </c>
      <c r="D12" s="261" t="s">
        <v>1858</v>
      </c>
      <c r="E12">
        <v>5</v>
      </c>
    </row>
    <row r="13" spans="1:5" x14ac:dyDescent="0.25">
      <c r="A13" t="s">
        <v>987</v>
      </c>
      <c r="B13" t="s">
        <v>1068</v>
      </c>
      <c r="C13" t="s">
        <v>1765</v>
      </c>
      <c r="D13" s="261" t="s">
        <v>1860</v>
      </c>
      <c r="E13">
        <v>5</v>
      </c>
    </row>
    <row r="14" spans="1:5" x14ac:dyDescent="0.25">
      <c r="A14" t="s">
        <v>987</v>
      </c>
      <c r="B14" t="s">
        <v>1068</v>
      </c>
      <c r="C14" t="s">
        <v>1542</v>
      </c>
      <c r="D14" s="261" t="s">
        <v>1852</v>
      </c>
      <c r="E14">
        <v>99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CC523-F941-4DCE-B095-851BF135A1CA}">
  <sheetPr>
    <tabColor theme="3" tint="0.79998168889431442"/>
  </sheetPr>
  <dimension ref="A1:E4"/>
  <sheetViews>
    <sheetView workbookViewId="0">
      <selection activeCell="D14" sqref="D14"/>
    </sheetView>
  </sheetViews>
  <sheetFormatPr baseColWidth="10" defaultRowHeight="15" x14ac:dyDescent="0.25"/>
  <cols>
    <col min="1" max="1" width="15.42578125" style="1" bestFit="1" customWidth="1"/>
    <col min="2" max="2" width="28.42578125" style="1" bestFit="1" customWidth="1"/>
    <col min="3" max="3" width="21.5703125" style="1" bestFit="1" customWidth="1"/>
    <col min="4" max="4" width="20.42578125" style="1" bestFit="1" customWidth="1"/>
    <col min="5" max="5" width="21.5703125" style="1" bestFit="1" customWidth="1"/>
    <col min="6" max="16384" width="11.42578125" style="1"/>
  </cols>
  <sheetData>
    <row r="1" spans="1:5" x14ac:dyDescent="0.25">
      <c r="A1" s="1" t="s">
        <v>1066</v>
      </c>
      <c r="B1" s="1" t="s">
        <v>1067</v>
      </c>
      <c r="C1" s="1" t="s">
        <v>979</v>
      </c>
      <c r="D1" s="1" t="s">
        <v>1057</v>
      </c>
      <c r="E1" t="s">
        <v>2149</v>
      </c>
    </row>
    <row r="2" spans="1:5" x14ac:dyDescent="0.25">
      <c r="A2" s="264" t="s">
        <v>1070</v>
      </c>
      <c r="B2" s="264" t="s">
        <v>1071</v>
      </c>
      <c r="C2" s="264" t="s">
        <v>987</v>
      </c>
      <c r="D2" s="264">
        <v>0</v>
      </c>
      <c r="E2" s="262" t="s">
        <v>2150</v>
      </c>
    </row>
    <row r="3" spans="1:5" x14ac:dyDescent="0.25">
      <c r="A3" s="264" t="s">
        <v>1068</v>
      </c>
      <c r="B3" s="264" t="s">
        <v>1069</v>
      </c>
      <c r="C3" s="264" t="s">
        <v>987</v>
      </c>
      <c r="D3" s="264">
        <v>1</v>
      </c>
      <c r="E3" s="262" t="s">
        <v>2151</v>
      </c>
    </row>
    <row r="4" spans="1:5" x14ac:dyDescent="0.25">
      <c r="A4" s="264" t="s">
        <v>2152</v>
      </c>
      <c r="B4" s="264" t="s">
        <v>2153</v>
      </c>
      <c r="C4" s="264" t="s">
        <v>987</v>
      </c>
      <c r="D4" s="264">
        <v>99</v>
      </c>
      <c r="E4" s="262" t="s">
        <v>2154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A4CA-78DB-4AB2-9E0F-0089F514D928}">
  <sheetPr codeName="Feuil18">
    <tabColor rgb="FF833C00"/>
  </sheetPr>
  <dimension ref="A1:K19"/>
  <sheetViews>
    <sheetView topLeftCell="B1" zoomScaleNormal="100" workbookViewId="0">
      <selection activeCell="E32" sqref="E32"/>
    </sheetView>
  </sheetViews>
  <sheetFormatPr baseColWidth="10" defaultColWidth="8.7109375" defaultRowHeight="15" x14ac:dyDescent="0.25"/>
  <cols>
    <col min="1" max="11" width="20" style="1" customWidth="1"/>
    <col min="12" max="16384" width="8.7109375" style="1"/>
  </cols>
  <sheetData>
    <row r="1" spans="1:11" ht="15" customHeight="1" x14ac:dyDescent="0.25">
      <c r="A1" s="79" t="s">
        <v>1074</v>
      </c>
      <c r="B1" s="79" t="s">
        <v>1586</v>
      </c>
      <c r="C1" s="79" t="s">
        <v>1053</v>
      </c>
      <c r="D1" s="79" t="s">
        <v>1587</v>
      </c>
      <c r="E1" s="79" t="s">
        <v>1576</v>
      </c>
      <c r="F1" s="79" t="s">
        <v>1588</v>
      </c>
      <c r="G1" s="79" t="s">
        <v>1578</v>
      </c>
      <c r="H1" s="79" t="s">
        <v>1579</v>
      </c>
      <c r="I1" s="79" t="s">
        <v>1589</v>
      </c>
      <c r="J1" s="79" t="s">
        <v>1590</v>
      </c>
      <c r="K1" s="79" t="s">
        <v>1591</v>
      </c>
    </row>
    <row r="2" spans="1:11" ht="15" customHeight="1" x14ac:dyDescent="0.25">
      <c r="A2" s="80" t="s">
        <v>1541</v>
      </c>
      <c r="B2" s="80" t="s">
        <v>1592</v>
      </c>
      <c r="C2" s="80" t="s">
        <v>1046</v>
      </c>
      <c r="D2" s="80">
        <v>142</v>
      </c>
      <c r="E2" s="81">
        <v>209451853.22999999</v>
      </c>
      <c r="F2" s="81">
        <v>209451853.22999999</v>
      </c>
      <c r="G2" s="81">
        <v>0</v>
      </c>
      <c r="H2" s="82">
        <v>0</v>
      </c>
      <c r="I2" s="80">
        <v>0</v>
      </c>
      <c r="J2" s="80">
        <v>142</v>
      </c>
      <c r="K2" s="82">
        <v>0</v>
      </c>
    </row>
    <row r="3" spans="1:11" ht="15" customHeight="1" x14ac:dyDescent="0.25">
      <c r="A3" s="83" t="s">
        <v>1543</v>
      </c>
      <c r="B3" s="83" t="s">
        <v>1040</v>
      </c>
      <c r="C3" s="83" t="s">
        <v>1042</v>
      </c>
      <c r="D3" s="83">
        <v>2</v>
      </c>
      <c r="E3" s="84">
        <v>7302400</v>
      </c>
      <c r="F3" s="84">
        <v>2900100</v>
      </c>
      <c r="G3" s="84">
        <v>4402300</v>
      </c>
      <c r="H3" s="85">
        <v>0.60285659509202505</v>
      </c>
      <c r="I3" s="83">
        <v>2</v>
      </c>
      <c r="J3" s="83">
        <v>0</v>
      </c>
      <c r="K3" s="85">
        <v>1</v>
      </c>
    </row>
    <row r="4" spans="1:11" ht="15" customHeight="1" x14ac:dyDescent="0.25">
      <c r="A4" s="86" t="s">
        <v>1544</v>
      </c>
      <c r="B4" s="86" t="s">
        <v>1033</v>
      </c>
      <c r="C4" s="86" t="s">
        <v>1035</v>
      </c>
      <c r="D4" s="86">
        <v>6</v>
      </c>
      <c r="E4" s="87">
        <v>159290477.75</v>
      </c>
      <c r="F4" s="87">
        <v>119132500</v>
      </c>
      <c r="G4" s="87">
        <v>40157977.75</v>
      </c>
      <c r="H4" s="88">
        <v>0.25210532554887799</v>
      </c>
      <c r="I4" s="86">
        <v>6</v>
      </c>
      <c r="J4" s="86">
        <v>0</v>
      </c>
      <c r="K4" s="88">
        <v>1</v>
      </c>
    </row>
    <row r="5" spans="1:11" ht="15" customHeight="1" x14ac:dyDescent="0.25">
      <c r="A5" s="89" t="s">
        <v>1545</v>
      </c>
      <c r="B5" s="89" t="s">
        <v>1593</v>
      </c>
      <c r="C5" s="89" t="s">
        <v>1032</v>
      </c>
      <c r="D5" s="89">
        <v>39</v>
      </c>
      <c r="E5" s="90">
        <v>43886340</v>
      </c>
      <c r="F5" s="90">
        <v>30723519</v>
      </c>
      <c r="G5" s="90">
        <v>13162821</v>
      </c>
      <c r="H5" s="91">
        <v>0.29992979592283198</v>
      </c>
      <c r="I5" s="89">
        <v>30</v>
      </c>
      <c r="J5" s="89">
        <v>9</v>
      </c>
      <c r="K5" s="91">
        <v>0.76923076923076905</v>
      </c>
    </row>
    <row r="6" spans="1:11" ht="15" customHeight="1" x14ac:dyDescent="0.25">
      <c r="A6" s="92" t="s">
        <v>1546</v>
      </c>
      <c r="B6" s="92" t="s">
        <v>1027</v>
      </c>
      <c r="C6" s="92" t="s">
        <v>1029</v>
      </c>
      <c r="D6" s="92">
        <v>2</v>
      </c>
      <c r="E6" s="93">
        <v>575000</v>
      </c>
      <c r="F6" s="93">
        <v>402500</v>
      </c>
      <c r="G6" s="93">
        <v>172500</v>
      </c>
      <c r="H6" s="94">
        <v>0.3</v>
      </c>
      <c r="I6" s="92">
        <v>2</v>
      </c>
      <c r="J6" s="92">
        <v>0</v>
      </c>
      <c r="K6" s="94">
        <v>1</v>
      </c>
    </row>
    <row r="7" spans="1:11" ht="15" customHeight="1" x14ac:dyDescent="0.25">
      <c r="A7" s="95" t="s">
        <v>1547</v>
      </c>
      <c r="B7" s="95" t="s">
        <v>1024</v>
      </c>
      <c r="C7" s="95" t="s">
        <v>1026</v>
      </c>
      <c r="D7" s="95">
        <v>4</v>
      </c>
      <c r="E7" s="96">
        <v>4008900</v>
      </c>
      <c r="F7" s="96">
        <v>2605785</v>
      </c>
      <c r="G7" s="96">
        <v>1403115</v>
      </c>
      <c r="H7" s="97">
        <v>0.35</v>
      </c>
      <c r="I7" s="95">
        <v>4</v>
      </c>
      <c r="J7" s="95">
        <v>0</v>
      </c>
      <c r="K7" s="97">
        <v>1</v>
      </c>
    </row>
    <row r="8" spans="1:11" ht="15" customHeight="1" x14ac:dyDescent="0.25">
      <c r="A8" s="98" t="s">
        <v>1548</v>
      </c>
      <c r="B8" s="98" t="s">
        <v>1021</v>
      </c>
      <c r="C8" s="98" t="s">
        <v>1023</v>
      </c>
      <c r="D8" s="98">
        <v>55</v>
      </c>
      <c r="E8" s="99">
        <v>68801225</v>
      </c>
      <c r="F8" s="99">
        <v>45971000</v>
      </c>
      <c r="G8" s="99">
        <v>22830225</v>
      </c>
      <c r="H8" s="100">
        <v>0.33182875740947898</v>
      </c>
      <c r="I8" s="98">
        <v>53</v>
      </c>
      <c r="J8" s="98">
        <v>2</v>
      </c>
      <c r="K8" s="100">
        <v>0.96363636363636396</v>
      </c>
    </row>
    <row r="9" spans="1:11" ht="15" customHeight="1" x14ac:dyDescent="0.25">
      <c r="A9" s="101" t="s">
        <v>1550</v>
      </c>
      <c r="B9" s="101" t="s">
        <v>1018</v>
      </c>
      <c r="C9" s="101" t="s">
        <v>1020</v>
      </c>
      <c r="D9" s="101">
        <v>6</v>
      </c>
      <c r="E9" s="102">
        <v>16699510</v>
      </c>
      <c r="F9" s="102">
        <v>3270500</v>
      </c>
      <c r="G9" s="102">
        <v>13429010</v>
      </c>
      <c r="H9" s="103">
        <v>0.80415593032370403</v>
      </c>
      <c r="I9" s="101">
        <v>4</v>
      </c>
      <c r="J9" s="101">
        <v>2</v>
      </c>
      <c r="K9" s="103">
        <v>0.66666666666666696</v>
      </c>
    </row>
    <row r="10" spans="1:11" ht="15" customHeight="1" x14ac:dyDescent="0.25">
      <c r="A10" s="104" t="s">
        <v>1556</v>
      </c>
      <c r="B10" s="104" t="s">
        <v>1015</v>
      </c>
      <c r="C10" s="104" t="s">
        <v>1017</v>
      </c>
      <c r="D10" s="104">
        <v>13</v>
      </c>
      <c r="E10" s="105">
        <v>13570000</v>
      </c>
      <c r="F10" s="105">
        <v>7463500</v>
      </c>
      <c r="G10" s="105">
        <v>6106500</v>
      </c>
      <c r="H10" s="106">
        <v>0.45</v>
      </c>
      <c r="I10" s="104">
        <v>13</v>
      </c>
      <c r="J10" s="104">
        <v>0</v>
      </c>
      <c r="K10" s="106">
        <v>1</v>
      </c>
    </row>
    <row r="11" spans="1:11" ht="15" customHeight="1" x14ac:dyDescent="0.25">
      <c r="A11" s="107" t="s">
        <v>1557</v>
      </c>
      <c r="B11" s="107" t="s">
        <v>1012</v>
      </c>
      <c r="C11" s="107" t="s">
        <v>1014</v>
      </c>
      <c r="D11" s="107">
        <v>32</v>
      </c>
      <c r="E11" s="108">
        <v>28038380</v>
      </c>
      <c r="F11" s="108">
        <v>10140400</v>
      </c>
      <c r="G11" s="108">
        <v>17897980</v>
      </c>
      <c r="H11" s="109">
        <v>0.63833859160193995</v>
      </c>
      <c r="I11" s="107">
        <v>32</v>
      </c>
      <c r="J11" s="107">
        <v>0</v>
      </c>
      <c r="K11" s="109">
        <v>1</v>
      </c>
    </row>
    <row r="12" spans="1:11" ht="15" customHeight="1" x14ac:dyDescent="0.25">
      <c r="A12" s="110" t="s">
        <v>1559</v>
      </c>
      <c r="B12" s="110" t="s">
        <v>1009</v>
      </c>
      <c r="C12" s="110" t="s">
        <v>1011</v>
      </c>
      <c r="D12" s="110">
        <v>2</v>
      </c>
      <c r="E12" s="111">
        <v>15682458</v>
      </c>
      <c r="F12" s="111">
        <v>3036000</v>
      </c>
      <c r="G12" s="111">
        <v>12646458</v>
      </c>
      <c r="H12" s="112">
        <v>0.80640789855773898</v>
      </c>
      <c r="I12" s="110">
        <v>2</v>
      </c>
      <c r="J12" s="110">
        <v>0</v>
      </c>
      <c r="K12" s="112">
        <v>1</v>
      </c>
    </row>
    <row r="13" spans="1:11" ht="15" customHeight="1" x14ac:dyDescent="0.25">
      <c r="A13" s="113" t="s">
        <v>1560</v>
      </c>
      <c r="B13" s="113" t="s">
        <v>1006</v>
      </c>
      <c r="C13" s="113" t="s">
        <v>1008</v>
      </c>
      <c r="D13" s="113">
        <v>1</v>
      </c>
      <c r="E13" s="114">
        <v>25300000</v>
      </c>
      <c r="F13" s="114">
        <v>10000000</v>
      </c>
      <c r="G13" s="114">
        <v>15300000</v>
      </c>
      <c r="H13" s="115">
        <v>0.60474308300395296</v>
      </c>
      <c r="I13" s="113">
        <v>1</v>
      </c>
      <c r="J13" s="113">
        <v>0</v>
      </c>
      <c r="K13" s="115">
        <v>1</v>
      </c>
    </row>
    <row r="14" spans="1:11" ht="15" customHeight="1" x14ac:dyDescent="0.25">
      <c r="A14" s="116" t="s">
        <v>1561</v>
      </c>
      <c r="B14" s="116" t="s">
        <v>1037</v>
      </c>
      <c r="C14" s="116" t="s">
        <v>1039</v>
      </c>
      <c r="D14" s="116">
        <v>2</v>
      </c>
      <c r="E14" s="117">
        <v>159589381.25</v>
      </c>
      <c r="F14" s="117">
        <v>56184002.100000001</v>
      </c>
      <c r="G14" s="117">
        <v>103405379.15000001</v>
      </c>
      <c r="H14" s="118">
        <v>0.647946488294314</v>
      </c>
      <c r="I14" s="116">
        <v>2</v>
      </c>
      <c r="J14" s="116">
        <v>0</v>
      </c>
      <c r="K14" s="118">
        <v>1</v>
      </c>
    </row>
    <row r="15" spans="1:11" ht="15" customHeight="1" x14ac:dyDescent="0.25">
      <c r="A15" s="119" t="s">
        <v>1562</v>
      </c>
      <c r="B15" s="119" t="s">
        <v>1003</v>
      </c>
      <c r="C15" s="119" t="s">
        <v>1005</v>
      </c>
      <c r="D15" s="119">
        <v>2</v>
      </c>
      <c r="E15" s="120">
        <v>21100000</v>
      </c>
      <c r="F15" s="120">
        <v>9000000</v>
      </c>
      <c r="G15" s="120">
        <v>12100000</v>
      </c>
      <c r="H15" s="121">
        <v>0.57345971563981102</v>
      </c>
      <c r="I15" s="119">
        <v>2</v>
      </c>
      <c r="J15" s="119">
        <v>0</v>
      </c>
      <c r="K15" s="121">
        <v>1</v>
      </c>
    </row>
    <row r="16" spans="1:11" ht="15" customHeight="1" x14ac:dyDescent="0.25">
      <c r="A16" s="122" t="s">
        <v>1563</v>
      </c>
      <c r="B16" s="122" t="s">
        <v>999</v>
      </c>
      <c r="C16" s="122" t="s">
        <v>1001</v>
      </c>
      <c r="D16" s="122">
        <v>5</v>
      </c>
      <c r="E16" s="123">
        <v>4062030</v>
      </c>
      <c r="F16" s="123">
        <v>1250000</v>
      </c>
      <c r="G16" s="123">
        <v>2812030</v>
      </c>
      <c r="H16" s="124">
        <v>0.69227209055570704</v>
      </c>
      <c r="I16" s="122">
        <v>5</v>
      </c>
      <c r="J16" s="122">
        <v>0</v>
      </c>
      <c r="K16" s="124">
        <v>1</v>
      </c>
    </row>
    <row r="17" spans="1:11" ht="15" customHeight="1" x14ac:dyDescent="0.25">
      <c r="A17" s="125" t="s">
        <v>1565</v>
      </c>
      <c r="B17" s="125" t="s">
        <v>996</v>
      </c>
      <c r="C17" s="125" t="s">
        <v>998</v>
      </c>
      <c r="D17" s="125">
        <v>4</v>
      </c>
      <c r="E17" s="126">
        <v>18998000</v>
      </c>
      <c r="F17" s="126">
        <v>11398800</v>
      </c>
      <c r="G17" s="126">
        <v>7599200</v>
      </c>
      <c r="H17" s="127">
        <v>0.4</v>
      </c>
      <c r="I17" s="125">
        <v>4</v>
      </c>
      <c r="J17" s="125">
        <v>0</v>
      </c>
      <c r="K17" s="127">
        <v>1</v>
      </c>
    </row>
    <row r="18" spans="1:11" ht="15" customHeight="1" x14ac:dyDescent="0.25">
      <c r="A18" s="128" t="s">
        <v>1566</v>
      </c>
      <c r="B18" s="128" t="s">
        <v>993</v>
      </c>
      <c r="C18" s="128" t="s">
        <v>995</v>
      </c>
      <c r="D18" s="128">
        <v>1</v>
      </c>
      <c r="E18" s="129">
        <v>17250000</v>
      </c>
      <c r="F18" s="129">
        <v>11000000</v>
      </c>
      <c r="G18" s="129">
        <v>6250000</v>
      </c>
      <c r="H18" s="130">
        <v>0.36231884057970998</v>
      </c>
      <c r="I18" s="128">
        <v>1</v>
      </c>
      <c r="J18" s="128">
        <v>0</v>
      </c>
      <c r="K18" s="130">
        <v>1</v>
      </c>
    </row>
    <row r="19" spans="1:11" ht="15" customHeight="1" x14ac:dyDescent="0.25">
      <c r="A19" s="131" t="s">
        <v>1594</v>
      </c>
      <c r="B19" s="131"/>
      <c r="C19" s="131"/>
      <c r="D19" s="131">
        <f>SUM(D2:D18)</f>
        <v>318</v>
      </c>
      <c r="E19" s="132">
        <f>SUM(E2:E18)</f>
        <v>813605955.23000002</v>
      </c>
      <c r="F19" s="132">
        <f>SUM(F2:F18)</f>
        <v>533930459.33000004</v>
      </c>
      <c r="G19" s="132">
        <f>SUM(G2:G18)</f>
        <v>279675495.89999998</v>
      </c>
      <c r="H19" s="131"/>
      <c r="I19" s="131">
        <f>SUM(I2:I18)</f>
        <v>163</v>
      </c>
      <c r="J19" s="131">
        <f>SUM(J2:J18)</f>
        <v>155</v>
      </c>
      <c r="K19" s="13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F655-C7CD-4E1C-A1A9-BB7762DCDFFB}">
  <sheetPr codeName="Feuil19">
    <tabColor rgb="FF833C00"/>
  </sheetPr>
  <dimension ref="A1:I18"/>
  <sheetViews>
    <sheetView zoomScaleNormal="100" workbookViewId="0">
      <selection activeCell="M29" sqref="M29"/>
    </sheetView>
  </sheetViews>
  <sheetFormatPr baseColWidth="10" defaultColWidth="8.7109375" defaultRowHeight="15" x14ac:dyDescent="0.25"/>
  <cols>
    <col min="1" max="9" width="22" style="1" customWidth="1"/>
    <col min="10" max="16384" width="8.7109375" style="1"/>
  </cols>
  <sheetData>
    <row r="1" spans="1:9" ht="15" customHeight="1" x14ac:dyDescent="0.25">
      <c r="A1" s="79" t="s">
        <v>1053</v>
      </c>
      <c r="B1" s="79" t="s">
        <v>1052</v>
      </c>
      <c r="C1" s="79" t="s">
        <v>1595</v>
      </c>
      <c r="D1" s="79" t="s">
        <v>1050</v>
      </c>
      <c r="E1" s="79" t="s">
        <v>1587</v>
      </c>
      <c r="F1" s="79" t="s">
        <v>1576</v>
      </c>
      <c r="G1" s="79" t="s">
        <v>1588</v>
      </c>
      <c r="H1" s="79" t="s">
        <v>1578</v>
      </c>
      <c r="I1" s="79" t="s">
        <v>1579</v>
      </c>
    </row>
    <row r="2" spans="1:9" ht="15" customHeight="1" x14ac:dyDescent="0.25">
      <c r="A2" s="54" t="s">
        <v>1046</v>
      </c>
      <c r="B2" s="54" t="s">
        <v>1045</v>
      </c>
      <c r="C2" s="54" t="s">
        <v>1044</v>
      </c>
      <c r="D2" s="54" t="s">
        <v>1043</v>
      </c>
      <c r="E2" s="54">
        <v>142</v>
      </c>
      <c r="F2" s="133">
        <v>209451853.22999999</v>
      </c>
      <c r="G2" s="133">
        <v>209451853.22999999</v>
      </c>
      <c r="H2" s="133">
        <v>0</v>
      </c>
      <c r="I2" s="134">
        <v>0</v>
      </c>
    </row>
    <row r="3" spans="1:9" ht="15" customHeight="1" x14ac:dyDescent="0.25">
      <c r="A3" s="54" t="s">
        <v>1042</v>
      </c>
      <c r="B3" s="54" t="s">
        <v>1041</v>
      </c>
      <c r="C3" s="54" t="s">
        <v>1040</v>
      </c>
      <c r="D3" s="54" t="s">
        <v>1036</v>
      </c>
      <c r="E3" s="54">
        <v>2</v>
      </c>
      <c r="F3" s="133">
        <v>7302400</v>
      </c>
      <c r="G3" s="133">
        <v>2900100</v>
      </c>
      <c r="H3" s="133">
        <v>4402300</v>
      </c>
      <c r="I3" s="134">
        <v>0.60285659509202505</v>
      </c>
    </row>
    <row r="4" spans="1:9" ht="15" customHeight="1" x14ac:dyDescent="0.25">
      <c r="A4" s="54" t="s">
        <v>1039</v>
      </c>
      <c r="B4" s="54" t="s">
        <v>1038</v>
      </c>
      <c r="C4" s="54" t="s">
        <v>1596</v>
      </c>
      <c r="D4" s="54" t="s">
        <v>1036</v>
      </c>
      <c r="E4" s="54">
        <v>2</v>
      </c>
      <c r="F4" s="133">
        <v>159589381.25</v>
      </c>
      <c r="G4" s="133">
        <v>56184002.100000001</v>
      </c>
      <c r="H4" s="133">
        <v>103405379.15000001</v>
      </c>
      <c r="I4" s="134">
        <v>0.647946488294314</v>
      </c>
    </row>
    <row r="5" spans="1:9" ht="15" customHeight="1" x14ac:dyDescent="0.25">
      <c r="A5" s="54" t="s">
        <v>1035</v>
      </c>
      <c r="B5" s="54" t="s">
        <v>1034</v>
      </c>
      <c r="C5" s="54" t="s">
        <v>1033</v>
      </c>
      <c r="D5" s="54" t="s">
        <v>1002</v>
      </c>
      <c r="E5" s="54">
        <v>6</v>
      </c>
      <c r="F5" s="133">
        <v>159290477.75</v>
      </c>
      <c r="G5" s="133">
        <v>119132500</v>
      </c>
      <c r="H5" s="133">
        <v>40157977.75</v>
      </c>
      <c r="I5" s="134">
        <v>0.25210532554887799</v>
      </c>
    </row>
    <row r="6" spans="1:9" ht="15" customHeight="1" x14ac:dyDescent="0.25">
      <c r="A6" s="54" t="s">
        <v>1032</v>
      </c>
      <c r="B6" s="54" t="s">
        <v>1031</v>
      </c>
      <c r="C6" s="54" t="s">
        <v>1597</v>
      </c>
      <c r="D6" s="54" t="s">
        <v>1002</v>
      </c>
      <c r="E6" s="54">
        <v>39</v>
      </c>
      <c r="F6" s="133">
        <v>43886340</v>
      </c>
      <c r="G6" s="133">
        <v>30723519</v>
      </c>
      <c r="H6" s="133">
        <v>13162821</v>
      </c>
      <c r="I6" s="134">
        <v>0.29992979592283198</v>
      </c>
    </row>
    <row r="7" spans="1:9" ht="15" customHeight="1" x14ac:dyDescent="0.25">
      <c r="A7" s="54" t="s">
        <v>1029</v>
      </c>
      <c r="B7" s="54" t="s">
        <v>1028</v>
      </c>
      <c r="C7" s="54" t="s">
        <v>1027</v>
      </c>
      <c r="D7" s="54" t="s">
        <v>1002</v>
      </c>
      <c r="E7" s="54">
        <v>2</v>
      </c>
      <c r="F7" s="133">
        <v>575000</v>
      </c>
      <c r="G7" s="133">
        <v>402500</v>
      </c>
      <c r="H7" s="133">
        <v>172500</v>
      </c>
      <c r="I7" s="134">
        <v>0.3</v>
      </c>
    </row>
    <row r="8" spans="1:9" ht="15" customHeight="1" x14ac:dyDescent="0.25">
      <c r="A8" s="54" t="s">
        <v>1026</v>
      </c>
      <c r="B8" s="54" t="s">
        <v>1025</v>
      </c>
      <c r="C8" s="54" t="s">
        <v>1024</v>
      </c>
      <c r="D8" s="54" t="s">
        <v>1002</v>
      </c>
      <c r="E8" s="54">
        <v>4</v>
      </c>
      <c r="F8" s="133">
        <v>4008900</v>
      </c>
      <c r="G8" s="133">
        <v>2605785</v>
      </c>
      <c r="H8" s="133">
        <v>1403115</v>
      </c>
      <c r="I8" s="134">
        <v>0.35</v>
      </c>
    </row>
    <row r="9" spans="1:9" ht="15" customHeight="1" x14ac:dyDescent="0.25">
      <c r="A9" s="54" t="s">
        <v>1023</v>
      </c>
      <c r="B9" s="54" t="s">
        <v>1022</v>
      </c>
      <c r="C9" s="54" t="s">
        <v>1021</v>
      </c>
      <c r="D9" s="54" t="s">
        <v>992</v>
      </c>
      <c r="E9" s="54">
        <v>55</v>
      </c>
      <c r="F9" s="133">
        <v>68801225</v>
      </c>
      <c r="G9" s="133">
        <v>45971000</v>
      </c>
      <c r="H9" s="133">
        <v>22830225</v>
      </c>
      <c r="I9" s="134">
        <v>0.33182875740947898</v>
      </c>
    </row>
    <row r="10" spans="1:9" ht="15" customHeight="1" x14ac:dyDescent="0.25">
      <c r="A10" s="54" t="s">
        <v>1020</v>
      </c>
      <c r="B10" s="54" t="s">
        <v>1019</v>
      </c>
      <c r="C10" s="54" t="s">
        <v>1018</v>
      </c>
      <c r="D10" s="54" t="s">
        <v>992</v>
      </c>
      <c r="E10" s="54">
        <v>6</v>
      </c>
      <c r="F10" s="133">
        <v>16699510</v>
      </c>
      <c r="G10" s="133">
        <v>3270500</v>
      </c>
      <c r="H10" s="133">
        <v>13429010</v>
      </c>
      <c r="I10" s="134">
        <v>0.80415593032370403</v>
      </c>
    </row>
    <row r="11" spans="1:9" ht="15" customHeight="1" x14ac:dyDescent="0.25">
      <c r="A11" s="54" t="s">
        <v>1017</v>
      </c>
      <c r="B11" s="54" t="s">
        <v>1598</v>
      </c>
      <c r="C11" s="54" t="s">
        <v>1599</v>
      </c>
      <c r="D11" s="54" t="s">
        <v>992</v>
      </c>
      <c r="E11" s="54">
        <v>13</v>
      </c>
      <c r="F11" s="133">
        <v>13570000</v>
      </c>
      <c r="G11" s="133">
        <v>7463500</v>
      </c>
      <c r="H11" s="133">
        <v>6106500</v>
      </c>
      <c r="I11" s="134">
        <v>0.45</v>
      </c>
    </row>
    <row r="12" spans="1:9" ht="15" customHeight="1" x14ac:dyDescent="0.25">
      <c r="A12" s="54" t="s">
        <v>1014</v>
      </c>
      <c r="B12" s="54" t="s">
        <v>1013</v>
      </c>
      <c r="C12" s="54" t="s">
        <v>1012</v>
      </c>
      <c r="D12" s="54" t="s">
        <v>992</v>
      </c>
      <c r="E12" s="54">
        <v>32</v>
      </c>
      <c r="F12" s="133">
        <v>28038380</v>
      </c>
      <c r="G12" s="133">
        <v>10140400</v>
      </c>
      <c r="H12" s="133">
        <v>17897980</v>
      </c>
      <c r="I12" s="134">
        <v>0.63833859160193995</v>
      </c>
    </row>
    <row r="13" spans="1:9" ht="15" customHeight="1" x14ac:dyDescent="0.25">
      <c r="A13" s="54" t="s">
        <v>1011</v>
      </c>
      <c r="B13" s="54" t="s">
        <v>1010</v>
      </c>
      <c r="C13" s="54" t="s">
        <v>1600</v>
      </c>
      <c r="D13" s="54" t="s">
        <v>1002</v>
      </c>
      <c r="E13" s="54">
        <v>2</v>
      </c>
      <c r="F13" s="133">
        <v>15682458</v>
      </c>
      <c r="G13" s="133">
        <v>3036000</v>
      </c>
      <c r="H13" s="133">
        <v>12646458</v>
      </c>
      <c r="I13" s="134">
        <v>0.80640789855773898</v>
      </c>
    </row>
    <row r="14" spans="1:9" ht="15" customHeight="1" x14ac:dyDescent="0.25">
      <c r="A14" s="54" t="s">
        <v>1008</v>
      </c>
      <c r="B14" s="54" t="s">
        <v>1007</v>
      </c>
      <c r="C14" s="54" t="s">
        <v>1006</v>
      </c>
      <c r="D14" s="54" t="s">
        <v>992</v>
      </c>
      <c r="E14" s="54">
        <v>1</v>
      </c>
      <c r="F14" s="133">
        <v>25300000</v>
      </c>
      <c r="G14" s="133">
        <v>10000000</v>
      </c>
      <c r="H14" s="133">
        <v>15300000</v>
      </c>
      <c r="I14" s="134">
        <v>0.60474308300395296</v>
      </c>
    </row>
    <row r="15" spans="1:9" ht="15" customHeight="1" x14ac:dyDescent="0.25">
      <c r="A15" s="54" t="s">
        <v>1005</v>
      </c>
      <c r="B15" s="54" t="s">
        <v>1004</v>
      </c>
      <c r="C15" s="54" t="s">
        <v>1003</v>
      </c>
      <c r="D15" s="54" t="s">
        <v>1002</v>
      </c>
      <c r="E15" s="54">
        <v>2</v>
      </c>
      <c r="F15" s="133">
        <v>21100000</v>
      </c>
      <c r="G15" s="133">
        <v>9000000</v>
      </c>
      <c r="H15" s="133">
        <v>12100000</v>
      </c>
      <c r="I15" s="134">
        <v>0.57345971563981102</v>
      </c>
    </row>
    <row r="16" spans="1:9" ht="15" customHeight="1" x14ac:dyDescent="0.25">
      <c r="A16" s="54" t="s">
        <v>1001</v>
      </c>
      <c r="B16" s="54" t="s">
        <v>1601</v>
      </c>
      <c r="C16" s="54" t="s">
        <v>999</v>
      </c>
      <c r="D16" s="54" t="s">
        <v>992</v>
      </c>
      <c r="E16" s="54">
        <v>5</v>
      </c>
      <c r="F16" s="133">
        <v>4062030</v>
      </c>
      <c r="G16" s="133">
        <v>1250000</v>
      </c>
      <c r="H16" s="133">
        <v>2812030</v>
      </c>
      <c r="I16" s="134">
        <v>0.69227209055570704</v>
      </c>
    </row>
    <row r="17" spans="1:9" ht="15" customHeight="1" x14ac:dyDescent="0.25">
      <c r="A17" s="54" t="s">
        <v>998</v>
      </c>
      <c r="B17" s="54" t="s">
        <v>1602</v>
      </c>
      <c r="C17" s="54" t="s">
        <v>996</v>
      </c>
      <c r="D17" s="54" t="s">
        <v>992</v>
      </c>
      <c r="E17" s="54">
        <v>4</v>
      </c>
      <c r="F17" s="133">
        <v>18998000</v>
      </c>
      <c r="G17" s="133">
        <v>11398800</v>
      </c>
      <c r="H17" s="133">
        <v>7599200</v>
      </c>
      <c r="I17" s="134">
        <v>0.4</v>
      </c>
    </row>
    <row r="18" spans="1:9" ht="15" customHeight="1" x14ac:dyDescent="0.25">
      <c r="A18" s="54" t="s">
        <v>995</v>
      </c>
      <c r="B18" s="54" t="s">
        <v>1603</v>
      </c>
      <c r="C18" s="54" t="s">
        <v>993</v>
      </c>
      <c r="D18" s="54" t="s">
        <v>992</v>
      </c>
      <c r="E18" s="54">
        <v>1</v>
      </c>
      <c r="F18" s="133">
        <v>17250000</v>
      </c>
      <c r="G18" s="133">
        <v>11000000</v>
      </c>
      <c r="H18" s="133">
        <v>6250000</v>
      </c>
      <c r="I18" s="134">
        <v>0.36231884057970998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EC50E-2D40-4710-876C-D7EEF1A60351}">
  <sheetPr>
    <tabColor rgb="FF833C00"/>
  </sheetPr>
  <dimension ref="A1:H2"/>
  <sheetViews>
    <sheetView workbookViewId="0">
      <selection activeCell="L16" sqref="L16"/>
    </sheetView>
  </sheetViews>
  <sheetFormatPr baseColWidth="10" defaultRowHeight="15" x14ac:dyDescent="0.25"/>
  <cols>
    <col min="1" max="1" width="20.85546875" bestFit="1" customWidth="1"/>
    <col min="2" max="2" width="25.5703125" bestFit="1" customWidth="1"/>
    <col min="3" max="3" width="15.28515625" bestFit="1" customWidth="1"/>
    <col min="4" max="4" width="9.85546875" bestFit="1" customWidth="1"/>
    <col min="5" max="5" width="18.42578125" bestFit="1" customWidth="1"/>
    <col min="6" max="6" width="9.85546875" bestFit="1" customWidth="1"/>
    <col min="7" max="7" width="19.85546875" bestFit="1" customWidth="1"/>
    <col min="8" max="8" width="11.28515625" bestFit="1" customWidth="1"/>
  </cols>
  <sheetData>
    <row r="1" spans="1:8" x14ac:dyDescent="0.25">
      <c r="A1" t="s">
        <v>979</v>
      </c>
      <c r="B1" t="s">
        <v>980</v>
      </c>
      <c r="C1" t="s">
        <v>981</v>
      </c>
      <c r="D1" t="s">
        <v>982</v>
      </c>
      <c r="E1" t="s">
        <v>983</v>
      </c>
      <c r="F1" t="s">
        <v>984</v>
      </c>
      <c r="G1" t="s">
        <v>985</v>
      </c>
      <c r="H1" t="s">
        <v>986</v>
      </c>
    </row>
    <row r="2" spans="1:8" x14ac:dyDescent="0.25">
      <c r="A2" s="261" t="s">
        <v>987</v>
      </c>
      <c r="B2" s="261" t="s">
        <v>988</v>
      </c>
      <c r="C2" s="261" t="s">
        <v>989</v>
      </c>
      <c r="D2" s="261" t="s">
        <v>990</v>
      </c>
      <c r="E2" s="215">
        <v>46023</v>
      </c>
      <c r="F2" s="261" t="s">
        <v>961</v>
      </c>
      <c r="G2" s="261" t="s">
        <v>965</v>
      </c>
      <c r="H2">
        <v>17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FA7-764F-4EAE-BBE2-3EFF3361065B}">
  <sheetPr codeName="Feuil20">
    <tabColor rgb="FF833C00"/>
  </sheetPr>
  <dimension ref="A1:M2"/>
  <sheetViews>
    <sheetView zoomScaleNormal="100" workbookViewId="0">
      <selection activeCell="A2" sqref="A2"/>
    </sheetView>
  </sheetViews>
  <sheetFormatPr baseColWidth="10" defaultColWidth="8.7109375" defaultRowHeight="15" x14ac:dyDescent="0.25"/>
  <cols>
    <col min="1" max="13" width="22" style="1" customWidth="1"/>
    <col min="14" max="16384" width="8.7109375" style="1"/>
  </cols>
  <sheetData>
    <row r="1" spans="1:13" ht="15" customHeight="1" x14ac:dyDescent="0.25">
      <c r="A1" s="79" t="s">
        <v>979</v>
      </c>
      <c r="B1" s="79" t="s">
        <v>980</v>
      </c>
      <c r="C1" s="79" t="s">
        <v>1604</v>
      </c>
      <c r="D1" s="79" t="s">
        <v>1605</v>
      </c>
      <c r="E1" s="79" t="s">
        <v>1606</v>
      </c>
      <c r="F1" s="79" t="s">
        <v>1572</v>
      </c>
      <c r="G1" s="79" t="s">
        <v>1607</v>
      </c>
      <c r="H1" s="79" t="s">
        <v>1589</v>
      </c>
      <c r="I1" s="79" t="s">
        <v>1590</v>
      </c>
      <c r="J1" s="79" t="s">
        <v>1608</v>
      </c>
      <c r="K1" s="79" t="s">
        <v>1609</v>
      </c>
      <c r="L1" s="79" t="s">
        <v>1610</v>
      </c>
      <c r="M1" s="79" t="s">
        <v>1611</v>
      </c>
    </row>
    <row r="2" spans="1:13" ht="15" customHeight="1" x14ac:dyDescent="0.25">
      <c r="A2" s="54" t="s">
        <v>987</v>
      </c>
      <c r="B2" s="54" t="s">
        <v>988</v>
      </c>
      <c r="C2" s="133">
        <v>813605955.23000002</v>
      </c>
      <c r="D2" s="133">
        <v>533930459.32999998</v>
      </c>
      <c r="E2" s="133">
        <v>279675495.89999998</v>
      </c>
      <c r="F2" s="134">
        <v>0.343748093413276</v>
      </c>
      <c r="G2" s="54">
        <v>318</v>
      </c>
      <c r="H2" s="54">
        <v>163</v>
      </c>
      <c r="I2" s="54">
        <v>142</v>
      </c>
      <c r="J2" s="134">
        <v>13</v>
      </c>
      <c r="K2" s="134">
        <v>0.51257861635220103</v>
      </c>
      <c r="L2" s="134">
        <v>1.1336477987421401</v>
      </c>
      <c r="M2" s="134">
        <v>0.26581023952932298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DC68-48FF-4031-91CA-47A014C799C5}">
  <sheetPr>
    <tabColor rgb="FFFF0000"/>
  </sheetPr>
  <dimension ref="A1"/>
  <sheetViews>
    <sheetView workbookViewId="0">
      <selection activeCell="F33" sqref="F33"/>
    </sheetView>
  </sheetViews>
  <sheetFormatPr baseColWidth="10" defaultRowHeight="15" x14ac:dyDescent="0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990C-7A52-4367-86F7-ADE02B5B7390}">
  <sheetPr>
    <tabColor theme="2" tint="-0.499984740745262"/>
  </sheetPr>
  <dimension ref="A1"/>
  <sheetViews>
    <sheetView workbookViewId="0">
      <selection activeCell="Q20" sqref="Q2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DB44A-F6CC-4D86-8601-FA97AA90CCC5}">
  <sheetPr>
    <tabColor theme="2" tint="-0.499984740745262"/>
  </sheetPr>
  <dimension ref="A1:J48"/>
  <sheetViews>
    <sheetView workbookViewId="0"/>
  </sheetViews>
  <sheetFormatPr baseColWidth="10" defaultRowHeight="15" x14ac:dyDescent="0.25"/>
  <cols>
    <col min="1" max="1" width="15.140625" bestFit="1" customWidth="1"/>
    <col min="2" max="2" width="12.85546875" bestFit="1" customWidth="1"/>
    <col min="3" max="3" width="9.5703125" bestFit="1" customWidth="1"/>
    <col min="4" max="4" width="18.42578125" bestFit="1" customWidth="1"/>
    <col min="5" max="5" width="15.7109375" bestFit="1" customWidth="1"/>
    <col min="6" max="6" width="16.7109375" bestFit="1" customWidth="1"/>
    <col min="7" max="7" width="20" bestFit="1" customWidth="1"/>
    <col min="8" max="8" width="12.7109375" bestFit="1" customWidth="1"/>
    <col min="9" max="10" width="21.85546875" bestFit="1" customWidth="1"/>
  </cols>
  <sheetData>
    <row r="1" spans="1:10" x14ac:dyDescent="0.25">
      <c r="A1" t="s">
        <v>1066</v>
      </c>
      <c r="B1" t="s">
        <v>1538</v>
      </c>
      <c r="C1" t="s">
        <v>1573</v>
      </c>
      <c r="D1" t="s">
        <v>1053</v>
      </c>
      <c r="E1" t="s">
        <v>1576</v>
      </c>
      <c r="F1" t="s">
        <v>1577</v>
      </c>
      <c r="G1" t="s">
        <v>1825</v>
      </c>
      <c r="H1" t="s">
        <v>1828</v>
      </c>
      <c r="I1" t="s">
        <v>1844</v>
      </c>
      <c r="J1" t="s">
        <v>1845</v>
      </c>
    </row>
    <row r="2" spans="1:10" x14ac:dyDescent="0.25">
      <c r="A2" s="261" t="s">
        <v>1070</v>
      </c>
      <c r="B2" s="261" t="s">
        <v>1729</v>
      </c>
      <c r="C2" s="261" t="s">
        <v>1558</v>
      </c>
      <c r="D2" s="261" t="s">
        <v>1046</v>
      </c>
      <c r="E2">
        <v>2975625</v>
      </c>
      <c r="F2">
        <v>4065997.5000000005</v>
      </c>
      <c r="J2" s="261"/>
    </row>
    <row r="3" spans="1:10" x14ac:dyDescent="0.25">
      <c r="A3" s="261" t="s">
        <v>1070</v>
      </c>
      <c r="B3" s="261" t="s">
        <v>1729</v>
      </c>
      <c r="C3" s="261" t="s">
        <v>1549</v>
      </c>
      <c r="D3" s="261" t="s">
        <v>1042</v>
      </c>
      <c r="E3">
        <v>1994955.0939999998</v>
      </c>
      <c r="J3" s="261"/>
    </row>
    <row r="4" spans="1:10" x14ac:dyDescent="0.25">
      <c r="A4" s="261" t="s">
        <v>1070</v>
      </c>
      <c r="B4" s="261" t="s">
        <v>1729</v>
      </c>
      <c r="C4" s="261" t="s">
        <v>1551</v>
      </c>
      <c r="D4" s="261" t="s">
        <v>1035</v>
      </c>
      <c r="E4">
        <v>11431756.125</v>
      </c>
      <c r="F4">
        <v>4674877.4435400004</v>
      </c>
      <c r="J4" s="261"/>
    </row>
    <row r="5" spans="1:10" x14ac:dyDescent="0.25">
      <c r="A5" s="261" t="s">
        <v>1070</v>
      </c>
      <c r="B5" s="261" t="s">
        <v>1729</v>
      </c>
      <c r="C5" s="261" t="s">
        <v>1552</v>
      </c>
      <c r="D5" s="261" t="s">
        <v>1032</v>
      </c>
      <c r="E5">
        <v>16287381</v>
      </c>
      <c r="F5">
        <v>5251462.0528500006</v>
      </c>
      <c r="J5" s="261"/>
    </row>
    <row r="6" spans="1:10" x14ac:dyDescent="0.25">
      <c r="A6" s="261" t="s">
        <v>1070</v>
      </c>
      <c r="B6" s="261" t="s">
        <v>1731</v>
      </c>
      <c r="C6" s="261" t="s">
        <v>1558</v>
      </c>
      <c r="D6" s="261" t="s">
        <v>1046</v>
      </c>
      <c r="E6">
        <v>9548383.8749999981</v>
      </c>
      <c r="J6" s="261"/>
    </row>
    <row r="7" spans="1:10" x14ac:dyDescent="0.25">
      <c r="A7" s="261" t="s">
        <v>1070</v>
      </c>
      <c r="B7" s="261" t="s">
        <v>1542</v>
      </c>
      <c r="C7" s="261" t="s">
        <v>1823</v>
      </c>
      <c r="D7" s="261" t="s">
        <v>1039</v>
      </c>
      <c r="E7">
        <v>47019196.124999993</v>
      </c>
      <c r="F7">
        <v>3588366.0700800004</v>
      </c>
      <c r="J7" s="261"/>
    </row>
    <row r="8" spans="1:10" x14ac:dyDescent="0.25">
      <c r="A8" s="261" t="s">
        <v>1070</v>
      </c>
      <c r="B8" s="261" t="s">
        <v>1727</v>
      </c>
      <c r="C8" s="261" t="s">
        <v>1551</v>
      </c>
      <c r="D8" s="261" t="s">
        <v>1035</v>
      </c>
      <c r="E8">
        <v>16747921.7875</v>
      </c>
      <c r="F8">
        <v>5431262.8194000004</v>
      </c>
      <c r="J8" s="261"/>
    </row>
    <row r="9" spans="1:10" x14ac:dyDescent="0.25">
      <c r="A9" s="261" t="s">
        <v>1070</v>
      </c>
      <c r="B9" s="261" t="s">
        <v>1727</v>
      </c>
      <c r="C9" s="261" t="s">
        <v>1552</v>
      </c>
      <c r="D9" s="261" t="s">
        <v>1032</v>
      </c>
      <c r="E9">
        <v>4208724</v>
      </c>
      <c r="F9">
        <v>1461698.9946000003</v>
      </c>
      <c r="J9" s="261"/>
    </row>
    <row r="10" spans="1:10" x14ac:dyDescent="0.25">
      <c r="A10" s="261" t="s">
        <v>1070</v>
      </c>
      <c r="B10" s="261" t="s">
        <v>1727</v>
      </c>
      <c r="C10" s="261" t="s">
        <v>1553</v>
      </c>
      <c r="D10" s="261" t="s">
        <v>1032</v>
      </c>
      <c r="E10">
        <v>4610234.9999999991</v>
      </c>
      <c r="F10">
        <v>742927.27769999998</v>
      </c>
      <c r="J10" s="261"/>
    </row>
    <row r="11" spans="1:10" x14ac:dyDescent="0.25">
      <c r="A11" s="261" t="s">
        <v>1070</v>
      </c>
      <c r="B11" s="261" t="s">
        <v>1766</v>
      </c>
      <c r="C11" s="261" t="s">
        <v>1549</v>
      </c>
      <c r="D11" s="261" t="s">
        <v>1042</v>
      </c>
      <c r="E11">
        <v>8726825.7149999999</v>
      </c>
      <c r="F11">
        <v>6426025.0182000007</v>
      </c>
      <c r="J11" s="261"/>
    </row>
    <row r="12" spans="1:10" x14ac:dyDescent="0.25">
      <c r="A12" s="261" t="s">
        <v>1068</v>
      </c>
      <c r="B12" s="261" t="s">
        <v>1762</v>
      </c>
      <c r="C12" s="261" t="s">
        <v>1558</v>
      </c>
      <c r="D12" s="261" t="s">
        <v>1046</v>
      </c>
      <c r="E12">
        <v>12299858.924999997</v>
      </c>
      <c r="J12" s="261"/>
    </row>
    <row r="13" spans="1:10" x14ac:dyDescent="0.25">
      <c r="A13" s="261" t="s">
        <v>1068</v>
      </c>
      <c r="B13" s="261" t="s">
        <v>1762</v>
      </c>
      <c r="C13" s="261" t="s">
        <v>1822</v>
      </c>
      <c r="D13" s="261" t="s">
        <v>1011</v>
      </c>
      <c r="E13">
        <v>5956804.4999999991</v>
      </c>
      <c r="J13" s="261"/>
    </row>
    <row r="14" spans="1:10" x14ac:dyDescent="0.25">
      <c r="A14" s="261" t="s">
        <v>1068</v>
      </c>
      <c r="B14" s="261" t="s">
        <v>1762</v>
      </c>
      <c r="C14" s="261" t="s">
        <v>1824</v>
      </c>
      <c r="D14" s="261" t="s">
        <v>1005</v>
      </c>
      <c r="E14">
        <v>4737829.7999999989</v>
      </c>
      <c r="F14">
        <v>6473935.4328000005</v>
      </c>
      <c r="J14" s="261"/>
    </row>
    <row r="15" spans="1:10" x14ac:dyDescent="0.25">
      <c r="A15" s="261" t="s">
        <v>1068</v>
      </c>
      <c r="B15" s="261" t="s">
        <v>1762</v>
      </c>
      <c r="C15" s="261" t="s">
        <v>1549</v>
      </c>
      <c r="D15" s="261" t="s">
        <v>1042</v>
      </c>
      <c r="E15">
        <v>21555834.243499998</v>
      </c>
      <c r="F15">
        <v>11204779.7016</v>
      </c>
      <c r="J15" s="261"/>
    </row>
    <row r="16" spans="1:10" x14ac:dyDescent="0.25">
      <c r="A16" s="261" t="s">
        <v>1068</v>
      </c>
      <c r="B16" s="261" t="s">
        <v>1762</v>
      </c>
      <c r="C16" s="261" t="s">
        <v>1551</v>
      </c>
      <c r="D16" s="261" t="s">
        <v>1035</v>
      </c>
      <c r="E16">
        <v>28970777.574999999</v>
      </c>
      <c r="F16">
        <v>11505264.85242</v>
      </c>
      <c r="J16" s="261"/>
    </row>
    <row r="17" spans="1:10" x14ac:dyDescent="0.25">
      <c r="A17" s="261" t="s">
        <v>1068</v>
      </c>
      <c r="B17" s="261" t="s">
        <v>1762</v>
      </c>
      <c r="C17" s="261" t="s">
        <v>1552</v>
      </c>
      <c r="D17" s="261" t="s">
        <v>1032</v>
      </c>
      <c r="E17">
        <v>15612906</v>
      </c>
      <c r="F17">
        <v>4772209.0167000005</v>
      </c>
      <c r="J17" s="261"/>
    </row>
    <row r="18" spans="1:10" x14ac:dyDescent="0.25">
      <c r="A18" s="261" t="s">
        <v>1068</v>
      </c>
      <c r="B18" s="261" t="s">
        <v>1762</v>
      </c>
      <c r="C18" s="261" t="s">
        <v>1553</v>
      </c>
      <c r="D18" s="261" t="s">
        <v>1032</v>
      </c>
      <c r="E18">
        <v>8256367.4999999991</v>
      </c>
      <c r="F18">
        <v>1571740.9938000001</v>
      </c>
      <c r="J18" s="261"/>
    </row>
    <row r="19" spans="1:10" x14ac:dyDescent="0.25">
      <c r="A19" s="261" t="s">
        <v>1068</v>
      </c>
      <c r="B19" s="261" t="s">
        <v>1765</v>
      </c>
      <c r="C19" s="261" t="s">
        <v>1822</v>
      </c>
      <c r="D19" s="261" t="s">
        <v>1011</v>
      </c>
      <c r="E19">
        <v>5956804.4999999991</v>
      </c>
      <c r="J19" s="261"/>
    </row>
    <row r="20" spans="1:10" x14ac:dyDescent="0.25">
      <c r="A20" s="261" t="s">
        <v>1068</v>
      </c>
      <c r="B20" s="261" t="s">
        <v>1765</v>
      </c>
      <c r="C20" s="261" t="s">
        <v>1549</v>
      </c>
      <c r="D20" s="261" t="s">
        <v>1042</v>
      </c>
      <c r="E20">
        <v>1996984.0619999999</v>
      </c>
      <c r="J20" s="261"/>
    </row>
    <row r="21" spans="1:10" x14ac:dyDescent="0.25">
      <c r="A21" s="261" t="s">
        <v>1068</v>
      </c>
      <c r="B21" s="261" t="s">
        <v>1765</v>
      </c>
      <c r="C21" s="261" t="s">
        <v>1551</v>
      </c>
      <c r="D21" s="261" t="s">
        <v>1035</v>
      </c>
      <c r="E21">
        <v>11461823.1625</v>
      </c>
      <c r="F21">
        <v>4481000.3115000008</v>
      </c>
      <c r="J21" s="261"/>
    </row>
    <row r="22" spans="1:10" x14ac:dyDescent="0.25">
      <c r="A22" s="261" t="s">
        <v>1068</v>
      </c>
      <c r="B22" s="261" t="s">
        <v>1765</v>
      </c>
      <c r="C22" s="261" t="s">
        <v>1552</v>
      </c>
      <c r="D22" s="261" t="s">
        <v>1032</v>
      </c>
      <c r="E22">
        <v>10169496</v>
      </c>
      <c r="F22">
        <v>3145399.0956000006</v>
      </c>
      <c r="J22" s="261"/>
    </row>
    <row r="23" spans="1:10" x14ac:dyDescent="0.25">
      <c r="A23" s="261" t="s">
        <v>1068</v>
      </c>
      <c r="B23" s="261" t="s">
        <v>1765</v>
      </c>
      <c r="C23" s="261" t="s">
        <v>1553</v>
      </c>
      <c r="D23" s="261" t="s">
        <v>1032</v>
      </c>
      <c r="E23">
        <v>5062529.9999999991</v>
      </c>
      <c r="F23">
        <v>1179021.4200000002</v>
      </c>
      <c r="J23" s="261"/>
    </row>
    <row r="24" spans="1:10" x14ac:dyDescent="0.25">
      <c r="A24" s="261" t="s">
        <v>1068</v>
      </c>
      <c r="B24" s="261" t="s">
        <v>1729</v>
      </c>
      <c r="C24" s="261" t="s">
        <v>1822</v>
      </c>
      <c r="D24" s="261" t="s">
        <v>1011</v>
      </c>
      <c r="E24">
        <v>2731174.1</v>
      </c>
      <c r="J24" s="261"/>
    </row>
    <row r="25" spans="1:10" x14ac:dyDescent="0.25">
      <c r="A25" s="261" t="s">
        <v>1068</v>
      </c>
      <c r="B25" s="261" t="s">
        <v>1729</v>
      </c>
      <c r="C25" s="261" t="s">
        <v>1824</v>
      </c>
      <c r="D25" s="261" t="s">
        <v>1005</v>
      </c>
      <c r="E25">
        <v>19464554.999999996</v>
      </c>
      <c r="F25">
        <v>26597044.98</v>
      </c>
      <c r="J25" s="261"/>
    </row>
    <row r="26" spans="1:10" x14ac:dyDescent="0.25">
      <c r="A26" s="261" t="s">
        <v>1068</v>
      </c>
      <c r="B26" s="261" t="s">
        <v>1729</v>
      </c>
      <c r="C26" s="261" t="s">
        <v>1549</v>
      </c>
      <c r="D26" s="261" t="s">
        <v>1042</v>
      </c>
      <c r="E26">
        <v>3956230.2759999996</v>
      </c>
      <c r="J26" s="261"/>
    </row>
    <row r="27" spans="1:10" x14ac:dyDescent="0.25">
      <c r="A27" s="261" t="s">
        <v>1068</v>
      </c>
      <c r="B27" s="261" t="s">
        <v>1729</v>
      </c>
      <c r="C27" s="261" t="s">
        <v>1551</v>
      </c>
      <c r="D27" s="261" t="s">
        <v>1035</v>
      </c>
      <c r="E27">
        <v>37828108.912499994</v>
      </c>
      <c r="F27">
        <v>14559074.11332</v>
      </c>
      <c r="J27" s="261"/>
    </row>
    <row r="28" spans="1:10" x14ac:dyDescent="0.25">
      <c r="A28" s="261" t="s">
        <v>1068</v>
      </c>
      <c r="B28" s="261" t="s">
        <v>1729</v>
      </c>
      <c r="C28" s="261" t="s">
        <v>1552</v>
      </c>
      <c r="D28" s="261" t="s">
        <v>1032</v>
      </c>
      <c r="E28">
        <v>27369402</v>
      </c>
      <c r="F28">
        <v>9039595.5692999996</v>
      </c>
      <c r="J28" s="261"/>
    </row>
    <row r="29" spans="1:10" x14ac:dyDescent="0.25">
      <c r="A29" s="261" t="s">
        <v>1068</v>
      </c>
      <c r="B29" s="261" t="s">
        <v>1729</v>
      </c>
      <c r="C29" s="261" t="s">
        <v>1553</v>
      </c>
      <c r="D29" s="261" t="s">
        <v>1032</v>
      </c>
      <c r="E29">
        <v>5237099.9999999991</v>
      </c>
      <c r="F29">
        <v>1437831.0000000002</v>
      </c>
      <c r="J29" s="261"/>
    </row>
    <row r="30" spans="1:10" x14ac:dyDescent="0.25">
      <c r="A30" s="261" t="s">
        <v>1068</v>
      </c>
      <c r="B30" s="261" t="s">
        <v>1730</v>
      </c>
      <c r="C30" s="261" t="s">
        <v>1558</v>
      </c>
      <c r="D30" s="261" t="s">
        <v>1046</v>
      </c>
      <c r="E30">
        <v>1983749.9999999998</v>
      </c>
      <c r="F30">
        <v>2710665</v>
      </c>
      <c r="J30" s="261"/>
    </row>
    <row r="31" spans="1:10" x14ac:dyDescent="0.25">
      <c r="A31" s="261" t="s">
        <v>1068</v>
      </c>
      <c r="B31" s="261" t="s">
        <v>1730</v>
      </c>
      <c r="C31" s="261" t="s">
        <v>1549</v>
      </c>
      <c r="D31" s="261" t="s">
        <v>1042</v>
      </c>
      <c r="E31">
        <v>3561780.4139999999</v>
      </c>
      <c r="J31" s="261"/>
    </row>
    <row r="32" spans="1:10" x14ac:dyDescent="0.25">
      <c r="A32" s="261" t="s">
        <v>1068</v>
      </c>
      <c r="B32" s="261" t="s">
        <v>1730</v>
      </c>
      <c r="C32" s="261" t="s">
        <v>1551</v>
      </c>
      <c r="D32" s="261" t="s">
        <v>1035</v>
      </c>
      <c r="E32">
        <v>34046836.75</v>
      </c>
      <c r="F32">
        <v>13363690.17654</v>
      </c>
      <c r="J32" s="261"/>
    </row>
    <row r="33" spans="1:10" x14ac:dyDescent="0.25">
      <c r="A33" s="261" t="s">
        <v>1068</v>
      </c>
      <c r="B33" s="261" t="s">
        <v>1730</v>
      </c>
      <c r="C33" s="261" t="s">
        <v>1552</v>
      </c>
      <c r="D33" s="261" t="s">
        <v>1032</v>
      </c>
      <c r="E33">
        <v>29077014</v>
      </c>
      <c r="F33">
        <v>9632652.9291000031</v>
      </c>
      <c r="J33" s="261"/>
    </row>
    <row r="34" spans="1:10" x14ac:dyDescent="0.25">
      <c r="A34" s="261" t="s">
        <v>1068</v>
      </c>
      <c r="B34" s="261" t="s">
        <v>1731</v>
      </c>
      <c r="C34" s="261" t="s">
        <v>1558</v>
      </c>
      <c r="D34" s="261" t="s">
        <v>1046</v>
      </c>
      <c r="E34">
        <v>18071924.607499998</v>
      </c>
      <c r="F34">
        <v>4778680.5133200008</v>
      </c>
      <c r="J34" s="261"/>
    </row>
    <row r="35" spans="1:10" x14ac:dyDescent="0.25">
      <c r="A35" s="261" t="s">
        <v>1068</v>
      </c>
      <c r="B35" s="261" t="s">
        <v>1542</v>
      </c>
      <c r="C35" s="261" t="s">
        <v>1558</v>
      </c>
      <c r="D35" s="261" t="s">
        <v>1046</v>
      </c>
      <c r="E35">
        <v>30810705.699999999</v>
      </c>
      <c r="F35">
        <v>42100819.945199996</v>
      </c>
      <c r="J35" s="261"/>
    </row>
    <row r="36" spans="1:10" x14ac:dyDescent="0.25">
      <c r="A36" s="261" t="s">
        <v>1068</v>
      </c>
      <c r="B36" s="261" t="s">
        <v>1542</v>
      </c>
      <c r="C36" s="261" t="s">
        <v>1821</v>
      </c>
      <c r="D36" s="261" t="s">
        <v>1014</v>
      </c>
      <c r="E36">
        <v>73980678.75</v>
      </c>
      <c r="F36">
        <v>3497763.5460000001</v>
      </c>
      <c r="J36" s="261"/>
    </row>
    <row r="37" spans="1:10" x14ac:dyDescent="0.25">
      <c r="A37" s="261" t="s">
        <v>1068</v>
      </c>
      <c r="B37" s="261" t="s">
        <v>1542</v>
      </c>
      <c r="C37" s="261" t="s">
        <v>1823</v>
      </c>
      <c r="D37" s="261" t="s">
        <v>1039</v>
      </c>
      <c r="E37">
        <v>38182874.999999993</v>
      </c>
      <c r="F37">
        <v>2914004.16</v>
      </c>
      <c r="J37" s="261"/>
    </row>
    <row r="38" spans="1:10" x14ac:dyDescent="0.25">
      <c r="A38" s="261" t="s">
        <v>1068</v>
      </c>
      <c r="B38" s="261" t="s">
        <v>1542</v>
      </c>
      <c r="C38" s="261" t="s">
        <v>1564</v>
      </c>
      <c r="D38" s="261" t="s">
        <v>1032</v>
      </c>
      <c r="E38">
        <v>13356853.249999998</v>
      </c>
      <c r="F38">
        <v>4047925.6142999995</v>
      </c>
      <c r="J38" s="261"/>
    </row>
    <row r="39" spans="1:10" x14ac:dyDescent="0.25">
      <c r="A39" s="261" t="s">
        <v>1068</v>
      </c>
      <c r="B39" s="261" t="s">
        <v>1542</v>
      </c>
      <c r="C39" s="261" t="s">
        <v>1554</v>
      </c>
      <c r="D39" s="261" t="s">
        <v>1023</v>
      </c>
      <c r="E39">
        <v>34996282.5</v>
      </c>
      <c r="F39">
        <v>9607068.1800000016</v>
      </c>
      <c r="J39" s="261"/>
    </row>
    <row r="40" spans="1:10" x14ac:dyDescent="0.25">
      <c r="A40" s="261" t="s">
        <v>1068</v>
      </c>
      <c r="B40" s="261" t="s">
        <v>1542</v>
      </c>
      <c r="C40" s="261" t="s">
        <v>1555</v>
      </c>
      <c r="D40" s="261" t="s">
        <v>1020</v>
      </c>
      <c r="E40">
        <v>78728425</v>
      </c>
      <c r="F40">
        <v>15715492.83</v>
      </c>
      <c r="J40" s="261"/>
    </row>
    <row r="41" spans="1:10" x14ac:dyDescent="0.25">
      <c r="A41" s="261" t="s">
        <v>1068</v>
      </c>
      <c r="B41" s="261" t="s">
        <v>1542</v>
      </c>
      <c r="C41" s="261" t="s">
        <v>1820</v>
      </c>
      <c r="D41" s="261" t="s">
        <v>1017</v>
      </c>
      <c r="E41">
        <v>14517082.5</v>
      </c>
      <c r="F41">
        <v>1552378.2029999997</v>
      </c>
      <c r="J41" s="261"/>
    </row>
    <row r="42" spans="1:10" x14ac:dyDescent="0.25">
      <c r="A42" s="261" t="s">
        <v>1068</v>
      </c>
      <c r="B42" s="261" t="s">
        <v>1542</v>
      </c>
      <c r="C42" s="261" t="s">
        <v>1820</v>
      </c>
      <c r="D42" s="261" t="s">
        <v>1001</v>
      </c>
      <c r="E42">
        <v>6273940</v>
      </c>
      <c r="F42">
        <v>733293.81</v>
      </c>
      <c r="J42" s="261"/>
    </row>
    <row r="43" spans="1:10" x14ac:dyDescent="0.25">
      <c r="A43" s="261" t="s">
        <v>1068</v>
      </c>
      <c r="B43" s="261" t="s">
        <v>1727</v>
      </c>
      <c r="C43" s="261" t="s">
        <v>1558</v>
      </c>
      <c r="D43" s="261" t="s">
        <v>1046</v>
      </c>
      <c r="E43">
        <v>25895814.401999995</v>
      </c>
      <c r="F43">
        <v>2740268.6046000002</v>
      </c>
      <c r="J43" s="261"/>
    </row>
    <row r="44" spans="1:10" x14ac:dyDescent="0.25">
      <c r="A44" s="261" t="s">
        <v>1068</v>
      </c>
      <c r="B44" s="261" t="s">
        <v>1727</v>
      </c>
      <c r="C44" s="261" t="s">
        <v>1822</v>
      </c>
      <c r="D44" s="261" t="s">
        <v>1011</v>
      </c>
      <c r="E44">
        <v>17003382.499999996</v>
      </c>
      <c r="J44" s="261"/>
    </row>
    <row r="45" spans="1:10" x14ac:dyDescent="0.25">
      <c r="A45" s="261" t="s">
        <v>1068</v>
      </c>
      <c r="B45" s="261" t="s">
        <v>1727</v>
      </c>
      <c r="C45" s="261" t="s">
        <v>1824</v>
      </c>
      <c r="D45" s="261" t="s">
        <v>1005</v>
      </c>
      <c r="E45">
        <v>15163784.999999998</v>
      </c>
      <c r="F45">
        <v>20720323.260000005</v>
      </c>
      <c r="J45" s="261"/>
    </row>
    <row r="46" spans="1:10" x14ac:dyDescent="0.25">
      <c r="A46" s="261" t="s">
        <v>1068</v>
      </c>
      <c r="B46" s="261" t="s">
        <v>1727</v>
      </c>
      <c r="C46" s="261" t="s">
        <v>1551</v>
      </c>
      <c r="D46" s="261" t="s">
        <v>1035</v>
      </c>
      <c r="E46">
        <v>34770316.987499997</v>
      </c>
      <c r="F46">
        <v>13361159.593979999</v>
      </c>
      <c r="J46" s="261"/>
    </row>
    <row r="47" spans="1:10" x14ac:dyDescent="0.25">
      <c r="A47" s="261" t="s">
        <v>1068</v>
      </c>
      <c r="B47" s="261" t="s">
        <v>1727</v>
      </c>
      <c r="C47" s="261" t="s">
        <v>1552</v>
      </c>
      <c r="D47" s="261" t="s">
        <v>1032</v>
      </c>
      <c r="E47">
        <v>22730601</v>
      </c>
      <c r="F47">
        <v>7894387.1416500006</v>
      </c>
      <c r="J47" s="261"/>
    </row>
    <row r="48" spans="1:10" x14ac:dyDescent="0.25">
      <c r="A48" s="261" t="s">
        <v>1068</v>
      </c>
      <c r="B48" s="261" t="s">
        <v>1766</v>
      </c>
      <c r="C48" s="261" t="s">
        <v>1549</v>
      </c>
      <c r="D48" s="261" t="s">
        <v>1042</v>
      </c>
      <c r="E48">
        <v>2892590.0204999996</v>
      </c>
      <c r="F48">
        <v>2191706.2215</v>
      </c>
      <c r="J48" s="261"/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5F5F-BA53-4238-A795-3C130B2CAA38}">
  <sheetPr>
    <tabColor theme="2" tint="-0.499984740745262"/>
  </sheetPr>
  <dimension ref="A1:H3"/>
  <sheetViews>
    <sheetView workbookViewId="0"/>
  </sheetViews>
  <sheetFormatPr baseColWidth="10" defaultRowHeight="15" x14ac:dyDescent="0.25"/>
  <cols>
    <col min="1" max="1" width="15.140625" bestFit="1" customWidth="1"/>
    <col min="2" max="2" width="15.7109375" bestFit="1" customWidth="1"/>
    <col min="3" max="3" width="16.7109375" bestFit="1" customWidth="1"/>
    <col min="4" max="4" width="20" bestFit="1" customWidth="1"/>
    <col min="5" max="5" width="12.7109375" bestFit="1" customWidth="1"/>
    <col min="6" max="6" width="23.5703125" bestFit="1" customWidth="1"/>
    <col min="7" max="8" width="21.85546875" bestFit="1" customWidth="1"/>
  </cols>
  <sheetData>
    <row r="1" spans="1:8" x14ac:dyDescent="0.25">
      <c r="A1" t="s">
        <v>1066</v>
      </c>
      <c r="B1" t="s">
        <v>1576</v>
      </c>
      <c r="C1" t="s">
        <v>1577</v>
      </c>
      <c r="D1" t="s">
        <v>1825</v>
      </c>
      <c r="E1" t="s">
        <v>1828</v>
      </c>
      <c r="F1" t="s">
        <v>1609</v>
      </c>
      <c r="G1" t="s">
        <v>1844</v>
      </c>
      <c r="H1" t="s">
        <v>1845</v>
      </c>
    </row>
    <row r="2" spans="1:8" x14ac:dyDescent="0.25">
      <c r="A2" s="261" t="s">
        <v>1068</v>
      </c>
      <c r="B2">
        <v>724669224.93799996</v>
      </c>
      <c r="C2">
        <v>253529176.21623003</v>
      </c>
      <c r="F2">
        <v>0.52272727272727271</v>
      </c>
      <c r="H2" s="261"/>
    </row>
    <row r="3" spans="1:8" x14ac:dyDescent="0.25">
      <c r="A3" s="261" t="s">
        <v>1070</v>
      </c>
      <c r="B3">
        <v>123551003.72149999</v>
      </c>
      <c r="C3">
        <v>31642617.176370002</v>
      </c>
      <c r="F3">
        <v>0.80555555555555558</v>
      </c>
      <c r="H3" s="261"/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DAAD-8782-47FE-8659-4E866EBB7FA6}">
  <sheetPr>
    <tabColor theme="2" tint="-0.499984740745262"/>
  </sheetPr>
  <dimension ref="A1:F14"/>
  <sheetViews>
    <sheetView workbookViewId="0">
      <selection sqref="A1:F15"/>
    </sheetView>
  </sheetViews>
  <sheetFormatPr baseColWidth="10" defaultRowHeight="15" x14ac:dyDescent="0.25"/>
  <cols>
    <col min="1" max="1" width="18.42578125" bestFit="1" customWidth="1"/>
    <col min="2" max="2" width="13.42578125" bestFit="1" customWidth="1"/>
    <col min="3" max="3" width="13.7109375" bestFit="1" customWidth="1"/>
    <col min="4" max="4" width="12.7109375" bestFit="1" customWidth="1"/>
    <col min="5" max="5" width="16.85546875" bestFit="1" customWidth="1"/>
    <col min="6" max="6" width="20.42578125" bestFit="1" customWidth="1"/>
  </cols>
  <sheetData>
    <row r="1" spans="1:6" x14ac:dyDescent="0.25">
      <c r="A1" t="s">
        <v>1053</v>
      </c>
      <c r="B1" t="s">
        <v>1827</v>
      </c>
      <c r="C1" t="s">
        <v>1589</v>
      </c>
      <c r="D1" t="s">
        <v>1590</v>
      </c>
      <c r="E1" t="s">
        <v>1608</v>
      </c>
      <c r="F1" t="s">
        <v>1833</v>
      </c>
    </row>
    <row r="2" spans="1:6" x14ac:dyDescent="0.25">
      <c r="A2" t="s">
        <v>1046</v>
      </c>
      <c r="B2">
        <v>56</v>
      </c>
      <c r="C2">
        <v>0</v>
      </c>
      <c r="D2">
        <v>56</v>
      </c>
      <c r="E2">
        <v>0</v>
      </c>
      <c r="F2">
        <v>0.62496847150958712</v>
      </c>
    </row>
    <row r="3" spans="1:6" x14ac:dyDescent="0.25">
      <c r="A3" t="s">
        <v>1042</v>
      </c>
      <c r="B3">
        <v>22</v>
      </c>
      <c r="C3">
        <v>18</v>
      </c>
      <c r="D3">
        <v>0</v>
      </c>
      <c r="E3">
        <v>4</v>
      </c>
      <c r="F3">
        <v>0.65865500676323507</v>
      </c>
    </row>
    <row r="4" spans="1:6" x14ac:dyDescent="0.25">
      <c r="A4" t="s">
        <v>1035</v>
      </c>
      <c r="B4">
        <v>22</v>
      </c>
      <c r="C4">
        <v>22</v>
      </c>
      <c r="D4">
        <v>0</v>
      </c>
      <c r="E4">
        <v>0</v>
      </c>
      <c r="F4">
        <v>0.6328710228841784</v>
      </c>
    </row>
    <row r="5" spans="1:6" x14ac:dyDescent="0.25">
      <c r="A5" t="s">
        <v>1032</v>
      </c>
      <c r="B5">
        <v>84</v>
      </c>
      <c r="C5">
        <v>84</v>
      </c>
      <c r="D5">
        <v>0</v>
      </c>
      <c r="E5">
        <v>0</v>
      </c>
      <c r="F5">
        <v>0.72749433957268328</v>
      </c>
    </row>
    <row r="6" spans="1:6" x14ac:dyDescent="0.25">
      <c r="A6" t="s">
        <v>1023</v>
      </c>
      <c r="B6">
        <v>24</v>
      </c>
      <c r="C6">
        <v>22</v>
      </c>
      <c r="D6">
        <v>0</v>
      </c>
      <c r="E6">
        <v>2</v>
      </c>
      <c r="F6">
        <v>0.70863967684325879</v>
      </c>
    </row>
    <row r="7" spans="1:6" x14ac:dyDescent="0.25">
      <c r="A7" t="s">
        <v>1020</v>
      </c>
      <c r="B7">
        <v>13</v>
      </c>
      <c r="C7">
        <v>13</v>
      </c>
      <c r="D7">
        <v>0</v>
      </c>
      <c r="E7">
        <v>0</v>
      </c>
      <c r="F7">
        <v>0.89200946151035665</v>
      </c>
    </row>
    <row r="8" spans="1:6" x14ac:dyDescent="0.25">
      <c r="A8" t="s">
        <v>1017</v>
      </c>
      <c r="B8">
        <v>17</v>
      </c>
      <c r="C8">
        <v>17</v>
      </c>
      <c r="D8">
        <v>0</v>
      </c>
      <c r="E8">
        <v>0</v>
      </c>
      <c r="F8">
        <v>0.9325086438303879</v>
      </c>
    </row>
    <row r="9" spans="1:6" x14ac:dyDescent="0.25">
      <c r="A9" t="s">
        <v>1001</v>
      </c>
      <c r="B9">
        <v>5</v>
      </c>
      <c r="C9">
        <v>5</v>
      </c>
      <c r="D9">
        <v>0</v>
      </c>
      <c r="E9">
        <v>0</v>
      </c>
      <c r="F9">
        <v>0.85678435427242061</v>
      </c>
    </row>
    <row r="10" spans="1:6" x14ac:dyDescent="0.25">
      <c r="A10" t="s">
        <v>1014</v>
      </c>
      <c r="B10">
        <v>37</v>
      </c>
      <c r="C10">
        <v>37</v>
      </c>
      <c r="D10">
        <v>0</v>
      </c>
      <c r="E10">
        <v>0</v>
      </c>
      <c r="F10">
        <v>0.97178375027845687</v>
      </c>
    </row>
    <row r="11" spans="1:6" x14ac:dyDescent="0.25">
      <c r="A11" t="s">
        <v>1011</v>
      </c>
      <c r="B11">
        <v>6</v>
      </c>
      <c r="C11">
        <v>6</v>
      </c>
      <c r="D11">
        <v>0</v>
      </c>
      <c r="E11">
        <v>0</v>
      </c>
      <c r="F11">
        <v>1</v>
      </c>
    </row>
    <row r="12" spans="1:6" x14ac:dyDescent="0.25">
      <c r="A12" t="s">
        <v>1008</v>
      </c>
      <c r="B12">
        <v>1</v>
      </c>
      <c r="C12">
        <v>1</v>
      </c>
      <c r="D12">
        <v>0</v>
      </c>
      <c r="E12">
        <v>0</v>
      </c>
      <c r="F12">
        <v>1</v>
      </c>
    </row>
    <row r="13" spans="1:6" x14ac:dyDescent="0.25">
      <c r="A13" t="s">
        <v>1039</v>
      </c>
      <c r="B13">
        <v>2</v>
      </c>
      <c r="C13">
        <v>2</v>
      </c>
      <c r="D13">
        <v>0</v>
      </c>
      <c r="E13">
        <v>0</v>
      </c>
      <c r="F13">
        <v>0.93428983019220002</v>
      </c>
    </row>
    <row r="14" spans="1:6" x14ac:dyDescent="0.25">
      <c r="A14" t="s">
        <v>1005</v>
      </c>
      <c r="B14">
        <v>12</v>
      </c>
      <c r="C14">
        <v>0</v>
      </c>
      <c r="D14">
        <v>0</v>
      </c>
      <c r="E14">
        <v>12</v>
      </c>
      <c r="F14">
        <v>-0.17652173913043492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839FD-A0D5-491C-8E2E-63370384FCB0}">
  <sheetPr>
    <tabColor rgb="FFFF0000"/>
  </sheetPr>
  <dimension ref="A1"/>
  <sheetViews>
    <sheetView workbookViewId="0">
      <selection activeCell="K31" sqref="K31"/>
    </sheetView>
  </sheetViews>
  <sheetFormatPr baseColWidth="10" defaultRowHeight="15" x14ac:dyDescent="0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22E9-4993-4C80-A6EB-847E9B1817A5}">
  <sheetPr>
    <tabColor theme="2" tint="-0.249977111117893"/>
  </sheetPr>
  <dimension ref="A1:G14"/>
  <sheetViews>
    <sheetView workbookViewId="0">
      <selection activeCell="K16" sqref="K16"/>
    </sheetView>
  </sheetViews>
  <sheetFormatPr baseColWidth="10" defaultRowHeight="15" x14ac:dyDescent="0.25"/>
  <cols>
    <col min="1" max="1" width="15.140625" bestFit="1" customWidth="1"/>
    <col min="2" max="2" width="12.85546875" bestFit="1" customWidth="1"/>
    <col min="3" max="3" width="15.7109375" bestFit="1" customWidth="1"/>
    <col min="4" max="4" width="16.7109375" bestFit="1" customWidth="1"/>
    <col min="5" max="5" width="20" bestFit="1" customWidth="1"/>
    <col min="6" max="6" width="12.7109375" bestFit="1" customWidth="1"/>
    <col min="7" max="7" width="23.5703125" bestFit="1" customWidth="1"/>
  </cols>
  <sheetData>
    <row r="1" spans="1:7" x14ac:dyDescent="0.25">
      <c r="A1" t="s">
        <v>1066</v>
      </c>
      <c r="B1" t="s">
        <v>1538</v>
      </c>
      <c r="C1" t="s">
        <v>1576</v>
      </c>
      <c r="D1" t="s">
        <v>1577</v>
      </c>
      <c r="E1" t="s">
        <v>1825</v>
      </c>
      <c r="F1" t="s">
        <v>1828</v>
      </c>
      <c r="G1" t="s">
        <v>1609</v>
      </c>
    </row>
    <row r="2" spans="1:7" x14ac:dyDescent="0.25">
      <c r="A2" t="s">
        <v>1070</v>
      </c>
      <c r="B2" t="s">
        <v>1729</v>
      </c>
      <c r="C2">
        <v>32689717.219000001</v>
      </c>
      <c r="D2">
        <v>13992336.996390002</v>
      </c>
      <c r="E2">
        <v>16702425.128609998</v>
      </c>
      <c r="F2">
        <v>0.51093819554065067</v>
      </c>
      <c r="G2">
        <v>0.7857142857142857</v>
      </c>
    </row>
    <row r="3" spans="1:7" x14ac:dyDescent="0.25">
      <c r="A3" t="s">
        <v>1070</v>
      </c>
      <c r="B3" t="s">
        <v>1731</v>
      </c>
      <c r="C3">
        <v>9548383.8749999981</v>
      </c>
      <c r="G3">
        <v>0</v>
      </c>
    </row>
    <row r="4" spans="1:7" x14ac:dyDescent="0.25">
      <c r="A4" t="s">
        <v>1070</v>
      </c>
      <c r="B4" t="s">
        <v>1542</v>
      </c>
      <c r="C4">
        <v>47019196.124999993</v>
      </c>
      <c r="D4">
        <v>3588366.0700800004</v>
      </c>
      <c r="E4">
        <v>43430830.054919995</v>
      </c>
      <c r="F4">
        <v>0.92368295577533122</v>
      </c>
      <c r="G4">
        <v>1</v>
      </c>
    </row>
    <row r="5" spans="1:7" x14ac:dyDescent="0.25">
      <c r="A5" t="s">
        <v>1070</v>
      </c>
      <c r="B5" t="s">
        <v>1727</v>
      </c>
      <c r="C5">
        <v>25566880.787500001</v>
      </c>
      <c r="D5">
        <v>7635889.0917000007</v>
      </c>
      <c r="E5">
        <v>17930991.695799991</v>
      </c>
      <c r="F5">
        <v>0.70133669589317671</v>
      </c>
      <c r="G5">
        <v>1</v>
      </c>
    </row>
    <row r="6" spans="1:7" x14ac:dyDescent="0.25">
      <c r="A6" t="s">
        <v>1070</v>
      </c>
      <c r="B6" t="s">
        <v>1766</v>
      </c>
      <c r="C6">
        <v>8726825.7149999999</v>
      </c>
      <c r="D6">
        <v>6426025.0182000007</v>
      </c>
      <c r="E6">
        <v>2300800.6967999982</v>
      </c>
      <c r="F6">
        <v>0.26364691721129419</v>
      </c>
      <c r="G6">
        <v>0.66666666666666663</v>
      </c>
    </row>
    <row r="7" spans="1:7" x14ac:dyDescent="0.25">
      <c r="A7" t="s">
        <v>1068</v>
      </c>
      <c r="B7" t="s">
        <v>1762</v>
      </c>
      <c r="C7">
        <v>97390378.543500006</v>
      </c>
      <c r="D7">
        <v>35527929.997320004</v>
      </c>
      <c r="E7">
        <v>42552221.890179992</v>
      </c>
      <c r="F7">
        <v>0.43692428889342272</v>
      </c>
      <c r="G7">
        <v>0.5757575757575758</v>
      </c>
    </row>
    <row r="8" spans="1:7" x14ac:dyDescent="0.25">
      <c r="A8" t="s">
        <v>1068</v>
      </c>
      <c r="B8" t="s">
        <v>1765</v>
      </c>
      <c r="C8">
        <v>34647637.7245</v>
      </c>
      <c r="D8">
        <v>8805420.8271000013</v>
      </c>
      <c r="E8">
        <v>17888428.335399996</v>
      </c>
      <c r="F8">
        <v>0.5162957566584907</v>
      </c>
      <c r="G8">
        <v>0.76470588235294112</v>
      </c>
    </row>
    <row r="9" spans="1:7" x14ac:dyDescent="0.25">
      <c r="A9" t="s">
        <v>1068</v>
      </c>
      <c r="B9" t="s">
        <v>1729</v>
      </c>
      <c r="C9">
        <v>96586570.288499981</v>
      </c>
      <c r="D9">
        <v>51633545.662620001</v>
      </c>
      <c r="E9">
        <v>38265620.249879993</v>
      </c>
      <c r="F9">
        <v>0.39617951166070203</v>
      </c>
      <c r="G9">
        <v>0.73076923076923073</v>
      </c>
    </row>
    <row r="10" spans="1:7" x14ac:dyDescent="0.25">
      <c r="A10" t="s">
        <v>1068</v>
      </c>
      <c r="B10" t="s">
        <v>1730</v>
      </c>
      <c r="C10">
        <v>68669381.164000005</v>
      </c>
      <c r="D10">
        <v>25707008.105640002</v>
      </c>
      <c r="E10">
        <v>39400592.644359998</v>
      </c>
      <c r="F10">
        <v>0.57377235641983326</v>
      </c>
      <c r="G10">
        <v>0.8125</v>
      </c>
    </row>
    <row r="11" spans="1:7" x14ac:dyDescent="0.25">
      <c r="A11" t="s">
        <v>1068</v>
      </c>
      <c r="B11" t="s">
        <v>1731</v>
      </c>
      <c r="C11">
        <v>18071924.607499998</v>
      </c>
      <c r="D11">
        <v>4778680.5133200008</v>
      </c>
      <c r="E11">
        <v>-731359.24332000129</v>
      </c>
      <c r="F11">
        <v>-4.0469361133593992E-2</v>
      </c>
      <c r="G11">
        <v>0</v>
      </c>
    </row>
    <row r="12" spans="1:7" x14ac:dyDescent="0.25">
      <c r="A12" t="s">
        <v>1068</v>
      </c>
      <c r="B12" t="s">
        <v>1542</v>
      </c>
      <c r="C12">
        <v>319941842.69999999</v>
      </c>
      <c r="D12">
        <v>80168746.288499966</v>
      </c>
      <c r="E12">
        <v>136748995.16149998</v>
      </c>
      <c r="F12">
        <v>0.42741828954747085</v>
      </c>
      <c r="G12">
        <v>0.51351351351351349</v>
      </c>
    </row>
    <row r="13" spans="1:7" x14ac:dyDescent="0.25">
      <c r="A13" t="s">
        <v>1068</v>
      </c>
      <c r="B13" t="s">
        <v>1727</v>
      </c>
      <c r="C13">
        <v>115563899.88950001</v>
      </c>
      <c r="D13">
        <v>44716138.600230008</v>
      </c>
      <c r="E13">
        <v>29953979.237269983</v>
      </c>
      <c r="F13">
        <v>0.25919841114665915</v>
      </c>
      <c r="G13">
        <v>0.33333333333333331</v>
      </c>
    </row>
    <row r="14" spans="1:7" x14ac:dyDescent="0.25">
      <c r="A14" t="s">
        <v>1068</v>
      </c>
      <c r="B14" t="s">
        <v>1766</v>
      </c>
      <c r="C14">
        <v>2892590.0204999996</v>
      </c>
      <c r="D14">
        <v>2191706.2215</v>
      </c>
      <c r="E14">
        <v>700883.79899999918</v>
      </c>
      <c r="F14">
        <v>0.24230319334326117</v>
      </c>
      <c r="G14">
        <v>0.66666666666666663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C80F-341C-4194-B9A8-915117CC78E7}">
  <sheetPr>
    <tabColor theme="2" tint="-0.499984740745262"/>
  </sheetPr>
  <dimension ref="A1:G14"/>
  <sheetViews>
    <sheetView workbookViewId="0">
      <selection activeCell="F23" sqref="F23"/>
    </sheetView>
  </sheetViews>
  <sheetFormatPr baseColWidth="10" defaultRowHeight="15" x14ac:dyDescent="0.25"/>
  <cols>
    <col min="1" max="1" width="9.5703125" bestFit="1" customWidth="1"/>
    <col min="2" max="2" width="15.7109375" bestFit="1" customWidth="1"/>
    <col min="3" max="3" width="16.7109375" bestFit="1" customWidth="1"/>
    <col min="4" max="4" width="20" bestFit="1" customWidth="1"/>
    <col min="5" max="5" width="12.7109375" bestFit="1" customWidth="1"/>
    <col min="6" max="6" width="23.5703125" bestFit="1" customWidth="1"/>
    <col min="7" max="7" width="24.7109375" bestFit="1" customWidth="1"/>
  </cols>
  <sheetData>
    <row r="1" spans="1:7" x14ac:dyDescent="0.25">
      <c r="A1" t="s">
        <v>1573</v>
      </c>
      <c r="B1" t="s">
        <v>1576</v>
      </c>
      <c r="C1" t="s">
        <v>1577</v>
      </c>
      <c r="D1" t="s">
        <v>1825</v>
      </c>
      <c r="E1" t="s">
        <v>1838</v>
      </c>
      <c r="F1" t="s">
        <v>1609</v>
      </c>
      <c r="G1" t="s">
        <v>1829</v>
      </c>
    </row>
    <row r="2" spans="1:7" x14ac:dyDescent="0.25">
      <c r="A2" s="261" t="s">
        <v>1551</v>
      </c>
      <c r="B2">
        <v>175257541.30000001</v>
      </c>
      <c r="C2">
        <v>67376329.310700014</v>
      </c>
      <c r="D2">
        <v>107881211.98929997</v>
      </c>
      <c r="E2">
        <v>0.61555817335490581</v>
      </c>
      <c r="F2">
        <v>1</v>
      </c>
      <c r="G2" s="261" t="s">
        <v>1832</v>
      </c>
    </row>
    <row r="3" spans="1:7" x14ac:dyDescent="0.25">
      <c r="A3" s="261" t="s">
        <v>1552</v>
      </c>
      <c r="B3">
        <v>125455524</v>
      </c>
      <c r="C3">
        <v>41197404.799799994</v>
      </c>
      <c r="D3">
        <v>84258119.200199991</v>
      </c>
      <c r="E3">
        <v>0.67161745066084133</v>
      </c>
      <c r="F3">
        <v>1</v>
      </c>
      <c r="G3" s="261" t="s">
        <v>1832</v>
      </c>
    </row>
    <row r="4" spans="1:7" x14ac:dyDescent="0.25">
      <c r="A4" s="261" t="s">
        <v>1558</v>
      </c>
      <c r="B4">
        <v>101586062.50950001</v>
      </c>
      <c r="C4">
        <v>56396431.56312</v>
      </c>
      <c r="D4">
        <v>45189630.946379989</v>
      </c>
      <c r="E4">
        <v>0.44484085542890289</v>
      </c>
      <c r="F4">
        <v>3.5714285714285712E-2</v>
      </c>
      <c r="G4" s="261" t="s">
        <v>1832</v>
      </c>
    </row>
    <row r="5" spans="1:7" x14ac:dyDescent="0.25">
      <c r="A5" s="261" t="s">
        <v>1823</v>
      </c>
      <c r="B5">
        <v>85202071.124999985</v>
      </c>
      <c r="C5">
        <v>6502370.2300800011</v>
      </c>
      <c r="D5">
        <v>78699700.894919991</v>
      </c>
      <c r="E5">
        <v>0.92368295577533133</v>
      </c>
      <c r="F5">
        <v>1</v>
      </c>
      <c r="G5" s="261" t="s">
        <v>1832</v>
      </c>
    </row>
    <row r="6" spans="1:7" x14ac:dyDescent="0.25">
      <c r="A6" s="261" t="s">
        <v>1555</v>
      </c>
      <c r="B6">
        <v>78728425</v>
      </c>
      <c r="C6">
        <v>15715492.83</v>
      </c>
      <c r="D6">
        <v>63012932.169999994</v>
      </c>
      <c r="E6">
        <v>0.80038349770111616</v>
      </c>
      <c r="F6">
        <v>0.61538461538461542</v>
      </c>
      <c r="G6" s="261" t="s">
        <v>1832</v>
      </c>
    </row>
    <row r="7" spans="1:7" x14ac:dyDescent="0.25">
      <c r="A7" s="261" t="s">
        <v>1821</v>
      </c>
      <c r="B7">
        <v>73980678.75</v>
      </c>
      <c r="C7">
        <v>3497763.5460000001</v>
      </c>
      <c r="D7">
        <v>70482915.203999996</v>
      </c>
      <c r="E7">
        <v>0.95272058049345754</v>
      </c>
      <c r="F7">
        <v>0.19444444444444445</v>
      </c>
      <c r="G7" s="261" t="s">
        <v>1832</v>
      </c>
    </row>
    <row r="8" spans="1:7" x14ac:dyDescent="0.25">
      <c r="A8" s="261" t="s">
        <v>1549</v>
      </c>
      <c r="B8">
        <v>44685199.824999996</v>
      </c>
      <c r="C8">
        <v>19822510.941300005</v>
      </c>
      <c r="D8">
        <v>24862688.883699991</v>
      </c>
      <c r="E8">
        <v>0.55639650222152703</v>
      </c>
      <c r="F8">
        <v>0.36363636363636365</v>
      </c>
      <c r="G8" s="261" t="s">
        <v>1832</v>
      </c>
    </row>
    <row r="9" spans="1:7" x14ac:dyDescent="0.25">
      <c r="A9" s="261" t="s">
        <v>1824</v>
      </c>
      <c r="B9">
        <v>39366169.799999997</v>
      </c>
      <c r="C9">
        <v>53791303.672799997</v>
      </c>
      <c r="D9">
        <v>-14425133.872800015</v>
      </c>
      <c r="E9">
        <v>-0.36643478260869605</v>
      </c>
      <c r="F9">
        <v>0</v>
      </c>
      <c r="G9" s="261" t="s">
        <v>1831</v>
      </c>
    </row>
    <row r="10" spans="1:7" x14ac:dyDescent="0.25">
      <c r="A10" s="261" t="s">
        <v>1554</v>
      </c>
      <c r="B10">
        <v>34996282.5</v>
      </c>
      <c r="C10">
        <v>9607068.1800000016</v>
      </c>
      <c r="D10">
        <v>25389214.32</v>
      </c>
      <c r="E10">
        <v>0.72548318010634416</v>
      </c>
      <c r="F10">
        <v>0.91666666666666663</v>
      </c>
      <c r="G10" s="261" t="s">
        <v>1832</v>
      </c>
    </row>
    <row r="11" spans="1:7" x14ac:dyDescent="0.25">
      <c r="A11" s="261" t="s">
        <v>1822</v>
      </c>
      <c r="B11">
        <v>31648165.599999994</v>
      </c>
      <c r="C11">
        <v>0</v>
      </c>
      <c r="D11">
        <v>31648165.599999994</v>
      </c>
      <c r="E11">
        <v>1</v>
      </c>
      <c r="F11">
        <v>0</v>
      </c>
      <c r="G11" s="261" t="s">
        <v>1832</v>
      </c>
    </row>
    <row r="12" spans="1:7" x14ac:dyDescent="0.25">
      <c r="A12" s="261" t="s">
        <v>1553</v>
      </c>
      <c r="B12">
        <v>23166232.499999996</v>
      </c>
      <c r="C12">
        <v>4931520.6915000007</v>
      </c>
      <c r="D12">
        <v>18234711.808499996</v>
      </c>
      <c r="E12">
        <v>0.78712461374545895</v>
      </c>
      <c r="F12">
        <v>1</v>
      </c>
      <c r="G12" s="261" t="s">
        <v>1832</v>
      </c>
    </row>
    <row r="13" spans="1:7" x14ac:dyDescent="0.25">
      <c r="A13" s="261" t="s">
        <v>1820</v>
      </c>
      <c r="B13">
        <v>20791022.5</v>
      </c>
      <c r="C13">
        <v>2285672.0129999998</v>
      </c>
      <c r="D13">
        <v>18505350.486999996</v>
      </c>
      <c r="E13">
        <v>0.89006447311574</v>
      </c>
      <c r="F13">
        <v>0.59090909090909094</v>
      </c>
      <c r="G13" s="261" t="s">
        <v>1832</v>
      </c>
    </row>
    <row r="14" spans="1:7" x14ac:dyDescent="0.25">
      <c r="A14" s="261" t="s">
        <v>1564</v>
      </c>
      <c r="B14">
        <v>13356853.249999998</v>
      </c>
      <c r="C14">
        <v>4047925.6142999995</v>
      </c>
      <c r="D14">
        <v>9308927.6356999986</v>
      </c>
      <c r="E14">
        <v>0.69694017456544266</v>
      </c>
      <c r="F14">
        <v>1</v>
      </c>
      <c r="G14" s="261" t="s">
        <v>1832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E7AF-017F-4D31-ABF8-B6CFBB42F9B3}">
  <sheetPr>
    <tabColor theme="2" tint="-0.499984740745262"/>
  </sheetPr>
  <dimension ref="A1:G14"/>
  <sheetViews>
    <sheetView workbookViewId="0">
      <selection activeCell="F28" sqref="F28"/>
    </sheetView>
  </sheetViews>
  <sheetFormatPr baseColWidth="10" defaultRowHeight="15" x14ac:dyDescent="0.25"/>
  <cols>
    <col min="1" max="1" width="18.42578125" bestFit="1" customWidth="1"/>
    <col min="2" max="2" width="15.7109375" bestFit="1" customWidth="1"/>
    <col min="3" max="3" width="16.7109375" bestFit="1" customWidth="1"/>
    <col min="4" max="4" width="12.7109375" bestFit="1" customWidth="1"/>
    <col min="5" max="5" width="17.7109375" bestFit="1" customWidth="1"/>
    <col min="6" max="6" width="24.7109375" bestFit="1" customWidth="1"/>
    <col min="7" max="7" width="29.28515625" bestFit="1" customWidth="1"/>
  </cols>
  <sheetData>
    <row r="1" spans="1:7" x14ac:dyDescent="0.25">
      <c r="A1" t="s">
        <v>1053</v>
      </c>
      <c r="B1" t="s">
        <v>1576</v>
      </c>
      <c r="C1" t="s">
        <v>1577</v>
      </c>
      <c r="D1" t="s">
        <v>1826</v>
      </c>
      <c r="E1" t="s">
        <v>1610</v>
      </c>
      <c r="F1" t="s">
        <v>1829</v>
      </c>
      <c r="G1" t="s">
        <v>1834</v>
      </c>
    </row>
    <row r="2" spans="1:7" x14ac:dyDescent="0.25">
      <c r="A2" t="s">
        <v>1035</v>
      </c>
      <c r="B2">
        <v>175257541.30000001</v>
      </c>
      <c r="C2">
        <v>67376329.310699999</v>
      </c>
      <c r="D2">
        <v>0.61555817335490604</v>
      </c>
      <c r="E2">
        <v>2</v>
      </c>
      <c r="F2" t="s">
        <v>1832</v>
      </c>
      <c r="G2" t="s">
        <v>1837</v>
      </c>
    </row>
    <row r="3" spans="1:7" x14ac:dyDescent="0.25">
      <c r="A3" t="s">
        <v>1032</v>
      </c>
      <c r="B3">
        <v>161978609.75</v>
      </c>
      <c r="C3">
        <v>50176851.105599999</v>
      </c>
      <c r="D3">
        <v>0.69022544900809035</v>
      </c>
      <c r="E3">
        <v>2</v>
      </c>
      <c r="F3" t="s">
        <v>1832</v>
      </c>
      <c r="G3" t="s">
        <v>1837</v>
      </c>
    </row>
    <row r="4" spans="1:7" x14ac:dyDescent="0.25">
      <c r="A4" t="s">
        <v>1046</v>
      </c>
      <c r="B4">
        <v>101586062.50950001</v>
      </c>
      <c r="C4">
        <v>56396431.563120008</v>
      </c>
      <c r="D4">
        <v>-0.14346076994328946</v>
      </c>
      <c r="E4">
        <v>0</v>
      </c>
      <c r="F4" t="s">
        <v>1831</v>
      </c>
      <c r="G4" t="s">
        <v>1836</v>
      </c>
    </row>
    <row r="5" spans="1:7" x14ac:dyDescent="0.25">
      <c r="A5" t="s">
        <v>1039</v>
      </c>
      <c r="B5">
        <v>85202071.124999985</v>
      </c>
      <c r="C5">
        <v>6502370.2300800011</v>
      </c>
      <c r="D5">
        <v>0.92368295577533133</v>
      </c>
      <c r="E5">
        <v>2</v>
      </c>
      <c r="F5" t="s">
        <v>1832</v>
      </c>
      <c r="G5" t="s">
        <v>1837</v>
      </c>
    </row>
    <row r="6" spans="1:7" x14ac:dyDescent="0.25">
      <c r="A6" t="s">
        <v>1020</v>
      </c>
      <c r="B6">
        <v>78728425</v>
      </c>
      <c r="C6">
        <v>15715492.83</v>
      </c>
      <c r="D6">
        <v>0.5341311879413313</v>
      </c>
      <c r="E6">
        <v>2.5</v>
      </c>
      <c r="F6" t="s">
        <v>1832</v>
      </c>
      <c r="G6" t="s">
        <v>1837</v>
      </c>
    </row>
    <row r="7" spans="1:7" x14ac:dyDescent="0.25">
      <c r="A7" t="s">
        <v>1014</v>
      </c>
      <c r="B7">
        <v>73980678.75</v>
      </c>
      <c r="C7">
        <v>3497763.5460000001</v>
      </c>
      <c r="D7">
        <v>0.30684986725672608</v>
      </c>
      <c r="E7">
        <v>1.5</v>
      </c>
      <c r="F7" t="s">
        <v>1831</v>
      </c>
      <c r="G7" t="s">
        <v>1837</v>
      </c>
    </row>
    <row r="8" spans="1:7" x14ac:dyDescent="0.25">
      <c r="A8" t="s">
        <v>1042</v>
      </c>
      <c r="B8">
        <v>44685199.824999996</v>
      </c>
      <c r="C8">
        <v>19822510.941299997</v>
      </c>
      <c r="D8">
        <v>0.27524047905944427</v>
      </c>
      <c r="E8">
        <v>1</v>
      </c>
      <c r="F8" t="s">
        <v>1830</v>
      </c>
      <c r="G8" t="s">
        <v>1837</v>
      </c>
    </row>
    <row r="9" spans="1:7" x14ac:dyDescent="0.25">
      <c r="A9" t="s">
        <v>1005</v>
      </c>
      <c r="B9">
        <v>39366169.79999999</v>
      </c>
      <c r="C9">
        <v>53791303.672800004</v>
      </c>
      <c r="D9">
        <v>-0.36643478260869611</v>
      </c>
      <c r="E9">
        <v>2</v>
      </c>
      <c r="F9" t="s">
        <v>1831</v>
      </c>
      <c r="G9" t="s">
        <v>1835</v>
      </c>
    </row>
    <row r="10" spans="1:7" x14ac:dyDescent="0.25">
      <c r="A10" t="s">
        <v>1023</v>
      </c>
      <c r="B10">
        <v>34996282.5</v>
      </c>
      <c r="C10">
        <v>9607068.1800000016</v>
      </c>
      <c r="D10">
        <v>0.72548318010634394</v>
      </c>
      <c r="E10">
        <v>3</v>
      </c>
      <c r="F10" t="s">
        <v>1832</v>
      </c>
      <c r="G10" t="s">
        <v>1837</v>
      </c>
    </row>
    <row r="11" spans="1:7" x14ac:dyDescent="0.25">
      <c r="A11" t="s">
        <v>1011</v>
      </c>
      <c r="B11">
        <v>31648165.599999998</v>
      </c>
      <c r="E11">
        <v>3.5</v>
      </c>
      <c r="F11" t="s">
        <v>1831</v>
      </c>
    </row>
    <row r="12" spans="1:7" x14ac:dyDescent="0.25">
      <c r="A12" t="s">
        <v>1008</v>
      </c>
      <c r="B12">
        <v>29094999.999999996</v>
      </c>
      <c r="E12">
        <v>2</v>
      </c>
      <c r="F12" t="s">
        <v>1831</v>
      </c>
    </row>
    <row r="13" spans="1:7" x14ac:dyDescent="0.25">
      <c r="A13" t="s">
        <v>1017</v>
      </c>
      <c r="B13">
        <v>14517082.5</v>
      </c>
      <c r="C13">
        <v>1552378.2029999997</v>
      </c>
      <c r="D13">
        <v>0.58141377904272418</v>
      </c>
      <c r="E13">
        <v>2</v>
      </c>
      <c r="F13" t="s">
        <v>1830</v>
      </c>
      <c r="G13" t="s">
        <v>1837</v>
      </c>
    </row>
    <row r="14" spans="1:7" x14ac:dyDescent="0.25">
      <c r="A14" t="s">
        <v>1001</v>
      </c>
      <c r="B14">
        <v>6273940</v>
      </c>
      <c r="C14">
        <v>733293.81</v>
      </c>
      <c r="D14">
        <v>0.77772439487785971</v>
      </c>
      <c r="E14">
        <v>2.5</v>
      </c>
      <c r="F14" t="s">
        <v>1832</v>
      </c>
      <c r="G14" t="s">
        <v>1837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A386-E85C-4AE6-89B0-34FE9AFECD12}">
  <sheetPr>
    <tabColor theme="2" tint="-0.499984740745262"/>
  </sheetPr>
  <dimension ref="A1:H2"/>
  <sheetViews>
    <sheetView workbookViewId="0">
      <selection activeCell="F33" sqref="F33"/>
    </sheetView>
  </sheetViews>
  <sheetFormatPr baseColWidth="10" defaultRowHeight="15" x14ac:dyDescent="0.25"/>
  <cols>
    <col min="1" max="1" width="15.7109375" bestFit="1" customWidth="1"/>
    <col min="2" max="2" width="16.7109375" bestFit="1" customWidth="1"/>
    <col min="3" max="3" width="20" bestFit="1" customWidth="1"/>
    <col min="4" max="4" width="13.140625" bestFit="1" customWidth="1"/>
    <col min="5" max="5" width="17.7109375" bestFit="1" customWidth="1"/>
    <col min="6" max="6" width="23.5703125" bestFit="1" customWidth="1"/>
    <col min="7" max="7" width="23.28515625" bestFit="1" customWidth="1"/>
    <col min="8" max="8" width="19.28515625" bestFit="1" customWidth="1"/>
  </cols>
  <sheetData>
    <row r="1" spans="1:8" x14ac:dyDescent="0.25">
      <c r="A1" t="s">
        <v>1576</v>
      </c>
      <c r="B1" t="s">
        <v>1577</v>
      </c>
      <c r="C1" t="s">
        <v>1825</v>
      </c>
      <c r="D1" t="s">
        <v>1839</v>
      </c>
      <c r="E1" t="s">
        <v>1840</v>
      </c>
      <c r="F1" t="s">
        <v>1609</v>
      </c>
      <c r="G1" t="s">
        <v>1841</v>
      </c>
      <c r="H1" t="s">
        <v>1842</v>
      </c>
    </row>
    <row r="2" spans="1:8" x14ac:dyDescent="0.25">
      <c r="A2">
        <v>848220228.65950012</v>
      </c>
      <c r="B2">
        <v>285171793.39260006</v>
      </c>
      <c r="E2" t="s">
        <v>1843</v>
      </c>
      <c r="F2">
        <v>0.55666666666666664</v>
      </c>
      <c r="G2">
        <v>9</v>
      </c>
      <c r="H2">
        <v>10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3CBF-2AC3-4DDD-8764-51F965E12E31}">
  <sheetPr codeName="Feuil22">
    <tabColor theme="8" tint="0.79998168889431442"/>
  </sheetPr>
  <dimension ref="A1:P19"/>
  <sheetViews>
    <sheetView zoomScaleNormal="100" workbookViewId="0">
      <pane ySplit="2" topLeftCell="A3" activePane="bottomLeft" state="frozen"/>
      <selection pane="bottomLeft" sqref="A1:P1"/>
    </sheetView>
  </sheetViews>
  <sheetFormatPr baseColWidth="10" defaultColWidth="8.7109375" defaultRowHeight="15" x14ac:dyDescent="0.25"/>
  <cols>
    <col min="1" max="1" width="8" style="1" customWidth="1"/>
    <col min="2" max="2" width="26" style="1" customWidth="1"/>
    <col min="3" max="4" width="16" style="1" customWidth="1"/>
    <col min="5" max="6" width="12" style="1" customWidth="1"/>
    <col min="7" max="7" width="10" style="1" customWidth="1"/>
    <col min="8" max="9" width="12" style="1" customWidth="1"/>
    <col min="10" max="10" width="8" style="1" customWidth="1"/>
    <col min="11" max="11" width="10" style="1" customWidth="1"/>
    <col min="12" max="12" width="28" style="1" customWidth="1"/>
    <col min="13" max="13" width="22" style="1" customWidth="1"/>
    <col min="14" max="14" width="16" style="1" customWidth="1"/>
    <col min="15" max="15" width="14" style="1" customWidth="1"/>
    <col min="16" max="16" width="36" style="1" customWidth="1"/>
    <col min="17" max="16384" width="8.7109375" style="1"/>
  </cols>
  <sheetData>
    <row r="1" spans="1:16" ht="30" customHeight="1" x14ac:dyDescent="0.25">
      <c r="A1" s="248" t="s">
        <v>1625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27.75" customHeight="1" x14ac:dyDescent="0.25">
      <c r="A2" s="40" t="s">
        <v>1074</v>
      </c>
      <c r="B2" s="40" t="s">
        <v>1586</v>
      </c>
      <c r="C2" s="40" t="s">
        <v>1612</v>
      </c>
      <c r="D2" s="40" t="s">
        <v>1614</v>
      </c>
      <c r="E2" s="40" t="s">
        <v>1615</v>
      </c>
      <c r="F2" s="40" t="s">
        <v>1626</v>
      </c>
      <c r="G2" s="40" t="s">
        <v>1616</v>
      </c>
      <c r="H2" s="40" t="s">
        <v>1617</v>
      </c>
      <c r="I2" s="40" t="s">
        <v>1627</v>
      </c>
      <c r="J2" s="40" t="s">
        <v>1618</v>
      </c>
      <c r="K2" s="40" t="s">
        <v>1619</v>
      </c>
      <c r="L2" s="40" t="s">
        <v>1628</v>
      </c>
      <c r="M2" s="40" t="s">
        <v>1629</v>
      </c>
      <c r="N2" s="40" t="s">
        <v>1630</v>
      </c>
      <c r="O2" s="40" t="s">
        <v>1631</v>
      </c>
      <c r="P2" s="40" t="s">
        <v>1632</v>
      </c>
    </row>
    <row r="3" spans="1:16" ht="15" customHeight="1" x14ac:dyDescent="0.25">
      <c r="A3" s="80" t="s">
        <v>1541</v>
      </c>
      <c r="B3" s="80" t="s">
        <v>1592</v>
      </c>
      <c r="C3" s="81">
        <v>209451853.22999999</v>
      </c>
      <c r="D3" s="81">
        <v>0</v>
      </c>
      <c r="E3" s="135">
        <v>0</v>
      </c>
      <c r="F3" s="135">
        <v>0</v>
      </c>
      <c r="G3" s="136">
        <v>0</v>
      </c>
      <c r="H3" s="135">
        <v>0.25743648001051</v>
      </c>
      <c r="I3" s="135">
        <v>0</v>
      </c>
      <c r="J3" s="80" t="s">
        <v>1621</v>
      </c>
      <c r="K3" s="135">
        <v>0</v>
      </c>
      <c r="L3" s="80" t="s">
        <v>1633</v>
      </c>
      <c r="M3" s="185" t="s">
        <v>1574</v>
      </c>
      <c r="N3" s="80" t="s">
        <v>1634</v>
      </c>
      <c r="O3" s="80" t="s">
        <v>1635</v>
      </c>
      <c r="P3" s="80" t="s">
        <v>1636</v>
      </c>
    </row>
    <row r="4" spans="1:16" ht="15" customHeight="1" x14ac:dyDescent="0.25">
      <c r="A4" s="83" t="s">
        <v>1543</v>
      </c>
      <c r="B4" s="83" t="s">
        <v>1040</v>
      </c>
      <c r="C4" s="84">
        <v>7302400</v>
      </c>
      <c r="D4" s="84">
        <v>4402300</v>
      </c>
      <c r="E4" s="137">
        <v>0.60285659509202505</v>
      </c>
      <c r="F4" s="137">
        <v>1.5179821385469501</v>
      </c>
      <c r="G4" s="138">
        <v>1</v>
      </c>
      <c r="H4" s="137">
        <v>8.9753521997459704E-3</v>
      </c>
      <c r="I4" s="137">
        <v>0.76198447550350801</v>
      </c>
      <c r="J4" s="83" t="s">
        <v>1622</v>
      </c>
      <c r="K4" s="137">
        <v>5.4108502668905696E-3</v>
      </c>
      <c r="L4" s="83" t="s">
        <v>1637</v>
      </c>
      <c r="M4" s="139" t="s">
        <v>1623</v>
      </c>
      <c r="N4" s="83" t="s">
        <v>1634</v>
      </c>
      <c r="O4" s="83" t="s">
        <v>1635</v>
      </c>
      <c r="P4" s="83" t="s">
        <v>1638</v>
      </c>
    </row>
    <row r="5" spans="1:16" ht="15" customHeight="1" x14ac:dyDescent="0.25">
      <c r="A5" s="86" t="s">
        <v>1544</v>
      </c>
      <c r="B5" s="86" t="s">
        <v>1033</v>
      </c>
      <c r="C5" s="87">
        <v>159290477.75</v>
      </c>
      <c r="D5" s="87">
        <v>40157977.75</v>
      </c>
      <c r="E5" s="140">
        <v>0.25210532554887799</v>
      </c>
      <c r="F5" s="140">
        <v>0.33708667030407302</v>
      </c>
      <c r="G5" s="141">
        <v>1</v>
      </c>
      <c r="H5" s="140">
        <v>0.19578332327345099</v>
      </c>
      <c r="I5" s="140">
        <v>0.35448129628658698</v>
      </c>
      <c r="J5" s="86" t="s">
        <v>1622</v>
      </c>
      <c r="K5" s="140">
        <v>4.9358018450894499E-2</v>
      </c>
      <c r="L5" s="86" t="s">
        <v>1637</v>
      </c>
      <c r="M5" s="142" t="s">
        <v>1623</v>
      </c>
      <c r="N5" s="86" t="s">
        <v>1634</v>
      </c>
      <c r="O5" s="86" t="s">
        <v>1635</v>
      </c>
      <c r="P5" s="86" t="s">
        <v>1639</v>
      </c>
    </row>
    <row r="6" spans="1:16" ht="15" customHeight="1" x14ac:dyDescent="0.25">
      <c r="A6" s="89" t="s">
        <v>1545</v>
      </c>
      <c r="B6" s="89" t="s">
        <v>1624</v>
      </c>
      <c r="C6" s="90">
        <v>43886340</v>
      </c>
      <c r="D6" s="90">
        <v>13162821</v>
      </c>
      <c r="E6" s="143">
        <v>0.29992979592283198</v>
      </c>
      <c r="F6" s="143">
        <v>0.42842816931224598</v>
      </c>
      <c r="G6" s="144">
        <v>2</v>
      </c>
      <c r="H6" s="143">
        <v>5.3940534380176298E-2</v>
      </c>
      <c r="I6" s="143">
        <v>0.365170040854221</v>
      </c>
      <c r="J6" s="89" t="s">
        <v>1622</v>
      </c>
      <c r="K6" s="143">
        <v>1.6178373468614799E-2</v>
      </c>
      <c r="L6" s="89" t="s">
        <v>1637</v>
      </c>
      <c r="M6" s="145" t="s">
        <v>1623</v>
      </c>
      <c r="N6" s="89" t="s">
        <v>1640</v>
      </c>
      <c r="O6" s="89" t="s">
        <v>1641</v>
      </c>
      <c r="P6" s="89" t="s">
        <v>1639</v>
      </c>
    </row>
    <row r="7" spans="1:16" ht="15" customHeight="1" x14ac:dyDescent="0.25">
      <c r="A7" s="92" t="s">
        <v>1546</v>
      </c>
      <c r="B7" s="92" t="s">
        <v>1027</v>
      </c>
      <c r="C7" s="93">
        <v>575000</v>
      </c>
      <c r="D7" s="93">
        <v>172500</v>
      </c>
      <c r="E7" s="146">
        <v>0.3</v>
      </c>
      <c r="F7" s="146">
        <v>0.42857142857142899</v>
      </c>
      <c r="G7" s="147">
        <v>2</v>
      </c>
      <c r="H7" s="146">
        <v>7.0673032357224097E-4</v>
      </c>
      <c r="I7" s="146">
        <v>0.357248866691393</v>
      </c>
      <c r="J7" s="92" t="s">
        <v>1622</v>
      </c>
      <c r="K7" s="146">
        <v>2.1201909707167199E-4</v>
      </c>
      <c r="L7" s="92" t="s">
        <v>1637</v>
      </c>
      <c r="M7" s="148" t="s">
        <v>1623</v>
      </c>
      <c r="N7" s="92" t="s">
        <v>1640</v>
      </c>
      <c r="O7" s="92" t="s">
        <v>1641</v>
      </c>
      <c r="P7" s="92" t="s">
        <v>1642</v>
      </c>
    </row>
    <row r="8" spans="1:16" ht="15" customHeight="1" x14ac:dyDescent="0.25">
      <c r="A8" s="95" t="s">
        <v>1547</v>
      </c>
      <c r="B8" s="95" t="s">
        <v>1024</v>
      </c>
      <c r="C8" s="96">
        <v>4008900</v>
      </c>
      <c r="D8" s="96">
        <v>1403115</v>
      </c>
      <c r="E8" s="149">
        <v>0.35</v>
      </c>
      <c r="F8" s="149">
        <v>0.53846153846153799</v>
      </c>
      <c r="G8" s="150">
        <v>2</v>
      </c>
      <c r="H8" s="149">
        <v>4.9273238159456599E-3</v>
      </c>
      <c r="I8" s="149">
        <v>0.405354483187776</v>
      </c>
      <c r="J8" s="95" t="s">
        <v>1622</v>
      </c>
      <c r="K8" s="149">
        <v>1.72456333558098E-3</v>
      </c>
      <c r="L8" s="95" t="s">
        <v>1637</v>
      </c>
      <c r="M8" s="151" t="s">
        <v>1623</v>
      </c>
      <c r="N8" s="95" t="s">
        <v>1640</v>
      </c>
      <c r="O8" s="95" t="s">
        <v>1641</v>
      </c>
      <c r="P8" s="95" t="s">
        <v>1642</v>
      </c>
    </row>
    <row r="9" spans="1:16" ht="15" customHeight="1" x14ac:dyDescent="0.25">
      <c r="A9" s="98" t="s">
        <v>1548</v>
      </c>
      <c r="B9" s="98" t="s">
        <v>1021</v>
      </c>
      <c r="C9" s="99">
        <v>68801225</v>
      </c>
      <c r="D9" s="99">
        <v>22830225</v>
      </c>
      <c r="E9" s="152">
        <v>0.33182875740947898</v>
      </c>
      <c r="F9" s="152">
        <v>0.49662232711927101</v>
      </c>
      <c r="G9" s="153">
        <v>2</v>
      </c>
      <c r="H9" s="152">
        <v>8.4563325228550507E-2</v>
      </c>
      <c r="I9" s="152">
        <v>0.39957158352789202</v>
      </c>
      <c r="J9" s="98" t="s">
        <v>1622</v>
      </c>
      <c r="K9" s="152">
        <v>2.8060543133003601E-2</v>
      </c>
      <c r="L9" s="98" t="s">
        <v>1637</v>
      </c>
      <c r="M9" s="154" t="s">
        <v>1623</v>
      </c>
      <c r="N9" s="98" t="s">
        <v>1640</v>
      </c>
      <c r="O9" s="98" t="s">
        <v>1641</v>
      </c>
      <c r="P9" s="98" t="s">
        <v>1642</v>
      </c>
    </row>
    <row r="10" spans="1:16" ht="15" customHeight="1" x14ac:dyDescent="0.25">
      <c r="A10" s="101" t="s">
        <v>1550</v>
      </c>
      <c r="B10" s="101" t="s">
        <v>1018</v>
      </c>
      <c r="C10" s="102">
        <v>16699510</v>
      </c>
      <c r="D10" s="102">
        <v>13429010</v>
      </c>
      <c r="E10" s="155">
        <v>0.80415593032370403</v>
      </c>
      <c r="F10" s="155">
        <v>4.1061030423482698</v>
      </c>
      <c r="G10" s="156">
        <v>3</v>
      </c>
      <c r="H10" s="155">
        <v>2.05253045318224E-2</v>
      </c>
      <c r="I10" s="155">
        <v>1.47126692839632</v>
      </c>
      <c r="J10" s="101" t="s">
        <v>1622</v>
      </c>
      <c r="K10" s="155">
        <v>1.6505545360965001E-2</v>
      </c>
      <c r="L10" s="101" t="s">
        <v>1643</v>
      </c>
      <c r="M10" s="157" t="s">
        <v>1623</v>
      </c>
      <c r="N10" s="101" t="s">
        <v>1644</v>
      </c>
      <c r="O10" s="101" t="s">
        <v>1645</v>
      </c>
      <c r="P10" s="101" t="s">
        <v>1638</v>
      </c>
    </row>
    <row r="11" spans="1:16" ht="15" customHeight="1" x14ac:dyDescent="0.25">
      <c r="A11" s="104" t="s">
        <v>1556</v>
      </c>
      <c r="B11" s="104" t="s">
        <v>1015</v>
      </c>
      <c r="C11" s="105">
        <v>13570000</v>
      </c>
      <c r="D11" s="105">
        <v>6106500</v>
      </c>
      <c r="E11" s="158">
        <v>0.45</v>
      </c>
      <c r="F11" s="158">
        <v>0.81818181818181801</v>
      </c>
      <c r="G11" s="159">
        <v>2.5</v>
      </c>
      <c r="H11" s="158">
        <v>1.6678835636304901E-2</v>
      </c>
      <c r="I11" s="158">
        <v>0.51204727989090004</v>
      </c>
      <c r="J11" s="104" t="s">
        <v>1622</v>
      </c>
      <c r="K11" s="158">
        <v>7.5054760363372003E-3</v>
      </c>
      <c r="L11" s="104" t="s">
        <v>1643</v>
      </c>
      <c r="M11" s="160" t="s">
        <v>1623</v>
      </c>
      <c r="N11" s="104" t="s">
        <v>1646</v>
      </c>
      <c r="O11" s="104" t="s">
        <v>1641</v>
      </c>
      <c r="P11" s="104" t="s">
        <v>1642</v>
      </c>
    </row>
    <row r="12" spans="1:16" ht="15" customHeight="1" x14ac:dyDescent="0.25">
      <c r="A12" s="107" t="s">
        <v>1557</v>
      </c>
      <c r="B12" s="107" t="s">
        <v>1012</v>
      </c>
      <c r="C12" s="108">
        <v>28038380</v>
      </c>
      <c r="D12" s="108">
        <v>17897980</v>
      </c>
      <c r="E12" s="161">
        <v>0.63833859160193995</v>
      </c>
      <c r="F12" s="161">
        <v>1.7650171590864301</v>
      </c>
      <c r="G12" s="162">
        <v>2</v>
      </c>
      <c r="H12" s="161">
        <v>3.4461866730159003E-2</v>
      </c>
      <c r="I12" s="161">
        <v>0.83175900642190703</v>
      </c>
      <c r="J12" s="107" t="s">
        <v>1622</v>
      </c>
      <c r="K12" s="161">
        <v>2.19983394725035E-2</v>
      </c>
      <c r="L12" s="107" t="s">
        <v>1637</v>
      </c>
      <c r="M12" s="163" t="s">
        <v>1623</v>
      </c>
      <c r="N12" s="107" t="s">
        <v>1640</v>
      </c>
      <c r="O12" s="107" t="s">
        <v>1641</v>
      </c>
      <c r="P12" s="107" t="s">
        <v>1638</v>
      </c>
    </row>
    <row r="13" spans="1:16" ht="15" customHeight="1" x14ac:dyDescent="0.25">
      <c r="A13" s="110" t="s">
        <v>1559</v>
      </c>
      <c r="B13" s="110" t="s">
        <v>1009</v>
      </c>
      <c r="C13" s="111">
        <v>15682458</v>
      </c>
      <c r="D13" s="111">
        <v>12646458</v>
      </c>
      <c r="E13" s="164">
        <v>0.80640789855773898</v>
      </c>
      <c r="F13" s="164">
        <v>4.1654999999999998</v>
      </c>
      <c r="G13" s="165">
        <v>1.5</v>
      </c>
      <c r="H13" s="164">
        <v>1.9275249768257501E-2</v>
      </c>
      <c r="I13" s="164">
        <v>1.50182944688833</v>
      </c>
      <c r="J13" s="110" t="s">
        <v>1622</v>
      </c>
      <c r="K13" s="164">
        <v>1.55437136597961E-2</v>
      </c>
      <c r="L13" s="110" t="s">
        <v>1637</v>
      </c>
      <c r="M13" s="166" t="s">
        <v>1623</v>
      </c>
      <c r="N13" s="110" t="s">
        <v>1640</v>
      </c>
      <c r="O13" s="110" t="s">
        <v>1635</v>
      </c>
      <c r="P13" s="110" t="s">
        <v>1638</v>
      </c>
    </row>
    <row r="14" spans="1:16" ht="15" customHeight="1" x14ac:dyDescent="0.25">
      <c r="A14" s="113" t="s">
        <v>1560</v>
      </c>
      <c r="B14" s="113" t="s">
        <v>1006</v>
      </c>
      <c r="C14" s="114">
        <v>25300000</v>
      </c>
      <c r="D14" s="114">
        <v>15300000</v>
      </c>
      <c r="E14" s="167">
        <v>0.60474308300395296</v>
      </c>
      <c r="F14" s="167">
        <v>1.53</v>
      </c>
      <c r="G14" s="168">
        <v>3.5</v>
      </c>
      <c r="H14" s="167">
        <v>3.1096134237178601E-2</v>
      </c>
      <c r="I14" s="167">
        <v>0.74406165333715801</v>
      </c>
      <c r="J14" s="113" t="s">
        <v>1622</v>
      </c>
      <c r="K14" s="167">
        <v>1.8805172088096199E-2</v>
      </c>
      <c r="L14" s="113" t="s">
        <v>1643</v>
      </c>
      <c r="M14" s="169" t="s">
        <v>1623</v>
      </c>
      <c r="N14" s="113" t="s">
        <v>1644</v>
      </c>
      <c r="O14" s="113" t="s">
        <v>1645</v>
      </c>
      <c r="P14" s="113" t="s">
        <v>1638</v>
      </c>
    </row>
    <row r="15" spans="1:16" ht="15" customHeight="1" x14ac:dyDescent="0.25">
      <c r="A15" s="116" t="s">
        <v>1561</v>
      </c>
      <c r="B15" s="116" t="s">
        <v>1037</v>
      </c>
      <c r="C15" s="117">
        <v>159589381.25</v>
      </c>
      <c r="D15" s="117">
        <v>103405379.15000001</v>
      </c>
      <c r="E15" s="170">
        <v>0.647946488294314</v>
      </c>
      <c r="F15" s="170">
        <v>1.84047727618179</v>
      </c>
      <c r="G15" s="171">
        <v>2</v>
      </c>
      <c r="H15" s="170">
        <v>0.19615070443392399</v>
      </c>
      <c r="I15" s="170">
        <v>0.87872052002826195</v>
      </c>
      <c r="J15" s="116" t="s">
        <v>1622</v>
      </c>
      <c r="K15" s="170">
        <v>0.12709516011441699</v>
      </c>
      <c r="L15" s="116" t="s">
        <v>1637</v>
      </c>
      <c r="M15" s="172" t="s">
        <v>1623</v>
      </c>
      <c r="N15" s="116" t="s">
        <v>1640</v>
      </c>
      <c r="O15" s="116" t="s">
        <v>1641</v>
      </c>
      <c r="P15" s="116" t="s">
        <v>1638</v>
      </c>
    </row>
    <row r="16" spans="1:16" ht="15" customHeight="1" x14ac:dyDescent="0.25">
      <c r="A16" s="119" t="s">
        <v>1562</v>
      </c>
      <c r="B16" s="119" t="s">
        <v>1003</v>
      </c>
      <c r="C16" s="120">
        <v>21100000</v>
      </c>
      <c r="D16" s="120">
        <v>12100000</v>
      </c>
      <c r="E16" s="173">
        <v>0.57345971563981102</v>
      </c>
      <c r="F16" s="173">
        <v>1.3444444444444501</v>
      </c>
      <c r="G16" s="174">
        <v>2</v>
      </c>
      <c r="H16" s="173">
        <v>2.5933930134564E-2</v>
      </c>
      <c r="I16" s="173">
        <v>0.69938508688722001</v>
      </c>
      <c r="J16" s="119" t="s">
        <v>1622</v>
      </c>
      <c r="K16" s="173">
        <v>1.4872064200389799E-2</v>
      </c>
      <c r="L16" s="119" t="s">
        <v>1637</v>
      </c>
      <c r="M16" s="175" t="s">
        <v>1623</v>
      </c>
      <c r="N16" s="119" t="s">
        <v>1640</v>
      </c>
      <c r="O16" s="119" t="s">
        <v>1641</v>
      </c>
      <c r="P16" s="119" t="s">
        <v>1642</v>
      </c>
    </row>
    <row r="17" spans="1:16" ht="15" customHeight="1" x14ac:dyDescent="0.25">
      <c r="A17" s="122" t="s">
        <v>1563</v>
      </c>
      <c r="B17" s="122" t="s">
        <v>999</v>
      </c>
      <c r="C17" s="123">
        <v>4062030</v>
      </c>
      <c r="D17" s="123">
        <v>2812030</v>
      </c>
      <c r="E17" s="176">
        <v>0.69227209055570704</v>
      </c>
      <c r="F17" s="176">
        <v>2.2496239999999998</v>
      </c>
      <c r="G17" s="177">
        <v>2.5</v>
      </c>
      <c r="H17" s="176">
        <v>4.9926256978437399E-3</v>
      </c>
      <c r="I17" s="176">
        <v>0.965063730076959</v>
      </c>
      <c r="J17" s="122" t="s">
        <v>1622</v>
      </c>
      <c r="K17" s="176">
        <v>3.4562554292084302E-3</v>
      </c>
      <c r="L17" s="122" t="s">
        <v>1643</v>
      </c>
      <c r="M17" s="178" t="s">
        <v>1623</v>
      </c>
      <c r="N17" s="122" t="s">
        <v>1646</v>
      </c>
      <c r="O17" s="122" t="s">
        <v>1641</v>
      </c>
      <c r="P17" s="122" t="s">
        <v>1638</v>
      </c>
    </row>
    <row r="18" spans="1:16" ht="15" customHeight="1" x14ac:dyDescent="0.25">
      <c r="A18" s="125" t="s">
        <v>1565</v>
      </c>
      <c r="B18" s="125" t="s">
        <v>996</v>
      </c>
      <c r="C18" s="126">
        <v>18998000</v>
      </c>
      <c r="D18" s="126">
        <v>7599200</v>
      </c>
      <c r="E18" s="179">
        <v>0.4</v>
      </c>
      <c r="F18" s="179">
        <v>0.66666666666666696</v>
      </c>
      <c r="G18" s="180">
        <v>2</v>
      </c>
      <c r="H18" s="179">
        <v>2.3350369890826801E-2</v>
      </c>
      <c r="I18" s="179">
        <v>0.46016922215029099</v>
      </c>
      <c r="J18" s="125" t="s">
        <v>1622</v>
      </c>
      <c r="K18" s="179">
        <v>9.3401479563307403E-3</v>
      </c>
      <c r="L18" s="125" t="s">
        <v>1637</v>
      </c>
      <c r="M18" s="181" t="s">
        <v>1623</v>
      </c>
      <c r="N18" s="125" t="s">
        <v>1640</v>
      </c>
      <c r="O18" s="125" t="s">
        <v>1641</v>
      </c>
      <c r="P18" s="125" t="s">
        <v>1642</v>
      </c>
    </row>
    <row r="19" spans="1:16" ht="15" customHeight="1" x14ac:dyDescent="0.25">
      <c r="A19" s="128" t="s">
        <v>1566</v>
      </c>
      <c r="B19" s="128" t="s">
        <v>993</v>
      </c>
      <c r="C19" s="129">
        <v>17250000</v>
      </c>
      <c r="D19" s="129">
        <v>6250000</v>
      </c>
      <c r="E19" s="182">
        <v>0.36231884057970998</v>
      </c>
      <c r="F19" s="182">
        <v>0.56818181818181801</v>
      </c>
      <c r="G19" s="183">
        <v>3</v>
      </c>
      <c r="H19" s="182">
        <v>2.1201909707167201E-2</v>
      </c>
      <c r="I19" s="182">
        <v>0.41015327723341399</v>
      </c>
      <c r="J19" s="128" t="s">
        <v>1622</v>
      </c>
      <c r="K19" s="182">
        <v>7.6818513431765297E-3</v>
      </c>
      <c r="L19" s="128" t="s">
        <v>1643</v>
      </c>
      <c r="M19" s="184" t="s">
        <v>1623</v>
      </c>
      <c r="N19" s="128" t="s">
        <v>1644</v>
      </c>
      <c r="O19" s="128" t="s">
        <v>1645</v>
      </c>
      <c r="P19" s="128" t="s">
        <v>1642</v>
      </c>
    </row>
  </sheetData>
  <autoFilter ref="A2:P2" xr:uid="{00000000-0009-0000-0000-000015000000}"/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3D822-33AA-432D-A435-74E2254B2EC1}">
  <sheetPr codeName="Feuil23">
    <tabColor rgb="FF843C0C"/>
  </sheetPr>
  <dimension ref="A1:D25"/>
  <sheetViews>
    <sheetView zoomScaleNormal="100" workbookViewId="0">
      <selection activeCell="C28" sqref="C28"/>
    </sheetView>
  </sheetViews>
  <sheetFormatPr baseColWidth="10" defaultColWidth="8.7109375" defaultRowHeight="15" x14ac:dyDescent="0.25"/>
  <cols>
    <col min="1" max="1" width="71.7109375" style="1" customWidth="1"/>
    <col min="2" max="2" width="22" style="1" customWidth="1"/>
    <col min="3" max="3" width="13.7109375" style="1" customWidth="1"/>
    <col min="4" max="4" width="50" style="1" customWidth="1"/>
    <col min="5" max="16384" width="8.7109375" style="1"/>
  </cols>
  <sheetData>
    <row r="1" spans="1:4" ht="30" customHeight="1" x14ac:dyDescent="0.25">
      <c r="A1" s="218" t="s">
        <v>1647</v>
      </c>
      <c r="B1" s="218" t="s">
        <v>977</v>
      </c>
      <c r="C1" s="218" t="s">
        <v>976</v>
      </c>
      <c r="D1" s="218" t="s">
        <v>975</v>
      </c>
    </row>
    <row r="2" spans="1:4" ht="21.75" customHeight="1" x14ac:dyDescent="0.25">
      <c r="A2" s="186" t="s">
        <v>1648</v>
      </c>
      <c r="B2" s="186" t="s">
        <v>1649</v>
      </c>
      <c r="C2" s="186" t="s">
        <v>1650</v>
      </c>
      <c r="D2" s="186" t="s">
        <v>970</v>
      </c>
    </row>
    <row r="3" spans="1:4" ht="18" customHeight="1" x14ac:dyDescent="0.25">
      <c r="A3" s="219" t="s">
        <v>1651</v>
      </c>
      <c r="B3" s="219"/>
      <c r="C3" s="219"/>
      <c r="D3" s="219"/>
    </row>
    <row r="4" spans="1:4" ht="18" customHeight="1" x14ac:dyDescent="0.25">
      <c r="A4" s="187" t="s">
        <v>1652</v>
      </c>
      <c r="B4" s="188">
        <v>813605955.23000002</v>
      </c>
      <c r="D4" s="3" t="s">
        <v>1653</v>
      </c>
    </row>
    <row r="5" spans="1:4" ht="18" customHeight="1" x14ac:dyDescent="0.25">
      <c r="A5" s="187" t="s">
        <v>1654</v>
      </c>
      <c r="B5" s="188">
        <v>533930459.32999998</v>
      </c>
      <c r="D5" s="3" t="s">
        <v>1655</v>
      </c>
    </row>
    <row r="6" spans="1:4" ht="18" customHeight="1" x14ac:dyDescent="0.25">
      <c r="A6" s="187" t="s">
        <v>1656</v>
      </c>
      <c r="B6" s="188">
        <v>279675495.89999998</v>
      </c>
      <c r="D6" s="3" t="s">
        <v>1657</v>
      </c>
    </row>
    <row r="7" spans="1:4" ht="18" customHeight="1" x14ac:dyDescent="0.25">
      <c r="A7" s="187" t="s">
        <v>1658</v>
      </c>
      <c r="B7" s="189">
        <v>0.343748093413276</v>
      </c>
      <c r="D7" s="3" t="s">
        <v>1659</v>
      </c>
    </row>
    <row r="8" spans="1:4" ht="18" customHeight="1" x14ac:dyDescent="0.25">
      <c r="A8" s="187" t="s">
        <v>1660</v>
      </c>
      <c r="B8" s="189">
        <v>0.52380509673665998</v>
      </c>
      <c r="D8" s="3" t="s">
        <v>1661</v>
      </c>
    </row>
    <row r="9" spans="1:4" ht="18" customHeight="1" x14ac:dyDescent="0.25">
      <c r="A9" s="187" t="s">
        <v>1662</v>
      </c>
      <c r="B9" s="189">
        <v>0.26581023952932298</v>
      </c>
      <c r="D9" s="3" t="s">
        <v>1663</v>
      </c>
    </row>
    <row r="10" spans="1:4" ht="18" customHeight="1" x14ac:dyDescent="0.25">
      <c r="A10" s="219" t="s">
        <v>1664</v>
      </c>
      <c r="B10" s="219"/>
      <c r="C10" s="219"/>
      <c r="D10" s="219"/>
    </row>
    <row r="11" spans="1:4" ht="18" customHeight="1" x14ac:dyDescent="0.25">
      <c r="A11" s="187" t="s">
        <v>1665</v>
      </c>
      <c r="B11" s="188">
        <v>318</v>
      </c>
      <c r="D11" s="3" t="s">
        <v>1666</v>
      </c>
    </row>
    <row r="12" spans="1:4" ht="18" customHeight="1" x14ac:dyDescent="0.25">
      <c r="A12" s="187" t="s">
        <v>1667</v>
      </c>
      <c r="B12" s="188">
        <v>163</v>
      </c>
      <c r="D12" s="3" t="s">
        <v>1668</v>
      </c>
    </row>
    <row r="13" spans="1:4" ht="18" customHeight="1" x14ac:dyDescent="0.25">
      <c r="A13" s="187" t="s">
        <v>1669</v>
      </c>
      <c r="B13" s="188">
        <v>142</v>
      </c>
      <c r="D13" s="3" t="s">
        <v>1670</v>
      </c>
    </row>
    <row r="14" spans="1:4" ht="18" customHeight="1" x14ac:dyDescent="0.25">
      <c r="A14" s="187" t="s">
        <v>1671</v>
      </c>
      <c r="B14" s="188">
        <v>13</v>
      </c>
      <c r="D14" s="3" t="s">
        <v>1672</v>
      </c>
    </row>
    <row r="15" spans="1:4" ht="18" customHeight="1" x14ac:dyDescent="0.25">
      <c r="A15" s="187" t="s">
        <v>1673</v>
      </c>
      <c r="B15" s="189">
        <v>0.51257861635220103</v>
      </c>
      <c r="D15" s="3" t="s">
        <v>1674</v>
      </c>
    </row>
    <row r="16" spans="1:4" ht="18" customHeight="1" x14ac:dyDescent="0.25">
      <c r="A16" s="219" t="s">
        <v>1675</v>
      </c>
      <c r="B16" s="219"/>
      <c r="C16" s="219"/>
      <c r="D16" s="219"/>
    </row>
    <row r="17" spans="1:4" ht="18" customHeight="1" x14ac:dyDescent="0.25">
      <c r="A17" s="187" t="s">
        <v>1676</v>
      </c>
      <c r="B17" s="190">
        <v>1.1336477987421401</v>
      </c>
      <c r="D17" s="3" t="s">
        <v>1677</v>
      </c>
    </row>
    <row r="18" spans="1:4" ht="18" customHeight="1" x14ac:dyDescent="0.25">
      <c r="A18" s="187" t="s">
        <v>1678</v>
      </c>
      <c r="B18" s="188">
        <v>3</v>
      </c>
      <c r="D18" s="3" t="s">
        <v>1679</v>
      </c>
    </row>
    <row r="19" spans="1:4" ht="18" customHeight="1" x14ac:dyDescent="0.25">
      <c r="A19" s="187" t="s">
        <v>1680</v>
      </c>
      <c r="B19" s="188">
        <v>16</v>
      </c>
      <c r="D19" s="3" t="s">
        <v>1681</v>
      </c>
    </row>
    <row r="20" spans="1:4" ht="18" customHeight="1" x14ac:dyDescent="0.25">
      <c r="A20" s="187" t="s">
        <v>1682</v>
      </c>
      <c r="B20" s="191">
        <v>1.50182944688833</v>
      </c>
      <c r="D20" s="3" t="s">
        <v>1683</v>
      </c>
    </row>
    <row r="21" spans="1:4" ht="18" customHeight="1" x14ac:dyDescent="0.25">
      <c r="A21" s="187" t="s">
        <v>1684</v>
      </c>
      <c r="B21" s="191">
        <v>0.12709516011441699</v>
      </c>
      <c r="D21" s="3" t="s">
        <v>1685</v>
      </c>
    </row>
    <row r="22" spans="1:4" ht="18" customHeight="1" x14ac:dyDescent="0.25">
      <c r="A22" s="219" t="s">
        <v>1686</v>
      </c>
      <c r="B22" s="219"/>
      <c r="C22" s="219"/>
      <c r="D22" s="219"/>
    </row>
    <row r="23" spans="1:4" ht="18" customHeight="1" x14ac:dyDescent="0.25">
      <c r="A23" s="187" t="s">
        <v>1687</v>
      </c>
      <c r="B23" s="189">
        <v>0.80640789855773898</v>
      </c>
      <c r="D23" s="3" t="s">
        <v>1688</v>
      </c>
    </row>
    <row r="24" spans="1:4" ht="18" customHeight="1" x14ac:dyDescent="0.25">
      <c r="A24" s="187" t="s">
        <v>1689</v>
      </c>
      <c r="B24" s="188">
        <v>103405379.15000001</v>
      </c>
      <c r="D24" s="3" t="s">
        <v>1690</v>
      </c>
    </row>
    <row r="25" spans="1:4" ht="18" customHeight="1" x14ac:dyDescent="0.25">
      <c r="A25" s="187" t="s">
        <v>1691</v>
      </c>
      <c r="B25" s="192" t="s">
        <v>1559</v>
      </c>
      <c r="D25" s="3" t="s">
        <v>1692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08402-F777-4477-AC19-112AEFCE7E77}">
  <sheetPr codeName="Feuil24">
    <tabColor rgb="FF833C00"/>
  </sheetPr>
  <dimension ref="A1:J19"/>
  <sheetViews>
    <sheetView zoomScaleNormal="100" workbookViewId="0">
      <pane ySplit="2" topLeftCell="A3" activePane="bottomLeft" state="frozen"/>
      <selection pane="bottomLeft" sqref="A1:J1"/>
    </sheetView>
  </sheetViews>
  <sheetFormatPr baseColWidth="10" defaultColWidth="8.7109375" defaultRowHeight="15" x14ac:dyDescent="0.25"/>
  <cols>
    <col min="1" max="1" width="8" style="1" customWidth="1"/>
    <col min="2" max="2" width="26" style="1" customWidth="1"/>
    <col min="3" max="4" width="16" style="1" customWidth="1"/>
    <col min="5" max="9" width="12" style="1" customWidth="1"/>
    <col min="10" max="10" width="30" style="1" customWidth="1"/>
    <col min="11" max="16384" width="8.7109375" style="1"/>
  </cols>
  <sheetData>
    <row r="1" spans="1:10" ht="30" customHeight="1" x14ac:dyDescent="0.25">
      <c r="A1" s="249" t="s">
        <v>1693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0" ht="23.25" customHeight="1" x14ac:dyDescent="0.25">
      <c r="A2" s="79" t="s">
        <v>1074</v>
      </c>
      <c r="B2" s="79" t="s">
        <v>1586</v>
      </c>
      <c r="C2" s="79" t="s">
        <v>1612</v>
      </c>
      <c r="D2" s="79" t="s">
        <v>1614</v>
      </c>
      <c r="E2" s="79" t="s">
        <v>1615</v>
      </c>
      <c r="F2" s="79" t="s">
        <v>1626</v>
      </c>
      <c r="G2" s="79" t="s">
        <v>1694</v>
      </c>
      <c r="H2" s="79" t="s">
        <v>1617</v>
      </c>
      <c r="I2" s="79" t="s">
        <v>1627</v>
      </c>
      <c r="J2" s="79" t="s">
        <v>1628</v>
      </c>
    </row>
    <row r="3" spans="1:10" ht="15" customHeight="1" x14ac:dyDescent="0.25">
      <c r="A3" s="80" t="s">
        <v>1541</v>
      </c>
      <c r="B3" s="80" t="s">
        <v>1592</v>
      </c>
      <c r="C3" s="81">
        <v>209451853.22999999</v>
      </c>
      <c r="D3" s="81">
        <v>0</v>
      </c>
      <c r="E3" s="135">
        <v>0</v>
      </c>
      <c r="F3" s="135">
        <v>0</v>
      </c>
      <c r="G3" s="136">
        <v>0</v>
      </c>
      <c r="H3" s="135">
        <v>0.25743648001051</v>
      </c>
      <c r="I3" s="135">
        <v>0</v>
      </c>
      <c r="J3" s="80" t="s">
        <v>1633</v>
      </c>
    </row>
    <row r="4" spans="1:10" ht="15" customHeight="1" x14ac:dyDescent="0.25">
      <c r="A4" s="83" t="s">
        <v>1543</v>
      </c>
      <c r="B4" s="83" t="s">
        <v>1040</v>
      </c>
      <c r="C4" s="84">
        <v>7302400</v>
      </c>
      <c r="D4" s="84">
        <v>4402300</v>
      </c>
      <c r="E4" s="137">
        <v>0.60285659509202505</v>
      </c>
      <c r="F4" s="137">
        <v>1.5179821385469501</v>
      </c>
      <c r="G4" s="138">
        <v>1</v>
      </c>
      <c r="H4" s="137">
        <v>8.9753521997459704E-3</v>
      </c>
      <c r="I4" s="137">
        <v>0.76198447550350801</v>
      </c>
      <c r="J4" s="83" t="s">
        <v>1637</v>
      </c>
    </row>
    <row r="5" spans="1:10" ht="15" customHeight="1" x14ac:dyDescent="0.25">
      <c r="A5" s="86" t="s">
        <v>1544</v>
      </c>
      <c r="B5" s="86" t="s">
        <v>1033</v>
      </c>
      <c r="C5" s="87">
        <v>159290477.75</v>
      </c>
      <c r="D5" s="87">
        <v>40157977.75</v>
      </c>
      <c r="E5" s="140">
        <v>0.25210532554887799</v>
      </c>
      <c r="F5" s="140">
        <v>0.33708667030407302</v>
      </c>
      <c r="G5" s="141">
        <v>1</v>
      </c>
      <c r="H5" s="140">
        <v>0.19578332327345099</v>
      </c>
      <c r="I5" s="140">
        <v>0.35448129628658698</v>
      </c>
      <c r="J5" s="86" t="s">
        <v>1637</v>
      </c>
    </row>
    <row r="6" spans="1:10" ht="15" customHeight="1" x14ac:dyDescent="0.25">
      <c r="A6" s="89" t="s">
        <v>1545</v>
      </c>
      <c r="B6" s="89" t="s">
        <v>1624</v>
      </c>
      <c r="C6" s="90">
        <v>43886340</v>
      </c>
      <c r="D6" s="90">
        <v>13162821</v>
      </c>
      <c r="E6" s="143">
        <v>0.29992979592283198</v>
      </c>
      <c r="F6" s="143">
        <v>0.42842816931224598</v>
      </c>
      <c r="G6" s="144">
        <v>2</v>
      </c>
      <c r="H6" s="143">
        <v>5.3940534380176298E-2</v>
      </c>
      <c r="I6" s="143">
        <v>0.365170040854221</v>
      </c>
      <c r="J6" s="89" t="s">
        <v>1637</v>
      </c>
    </row>
    <row r="7" spans="1:10" ht="15" customHeight="1" x14ac:dyDescent="0.25">
      <c r="A7" s="92" t="s">
        <v>1546</v>
      </c>
      <c r="B7" s="92" t="s">
        <v>1027</v>
      </c>
      <c r="C7" s="93">
        <v>575000</v>
      </c>
      <c r="D7" s="93">
        <v>172500</v>
      </c>
      <c r="E7" s="146">
        <v>0.3</v>
      </c>
      <c r="F7" s="146">
        <v>0.42857142857142899</v>
      </c>
      <c r="G7" s="147">
        <v>2</v>
      </c>
      <c r="H7" s="146">
        <v>7.0673032357224097E-4</v>
      </c>
      <c r="I7" s="146">
        <v>0.357248866691393</v>
      </c>
      <c r="J7" s="92" t="s">
        <v>1637</v>
      </c>
    </row>
    <row r="8" spans="1:10" ht="15" customHeight="1" x14ac:dyDescent="0.25">
      <c r="A8" s="95" t="s">
        <v>1547</v>
      </c>
      <c r="B8" s="95" t="s">
        <v>1024</v>
      </c>
      <c r="C8" s="96">
        <v>4008900</v>
      </c>
      <c r="D8" s="96">
        <v>1403115</v>
      </c>
      <c r="E8" s="149">
        <v>0.35</v>
      </c>
      <c r="F8" s="149">
        <v>0.53846153846153799</v>
      </c>
      <c r="G8" s="150">
        <v>2</v>
      </c>
      <c r="H8" s="149">
        <v>4.9273238159456599E-3</v>
      </c>
      <c r="I8" s="149">
        <v>0.405354483187776</v>
      </c>
      <c r="J8" s="95" t="s">
        <v>1637</v>
      </c>
    </row>
    <row r="9" spans="1:10" ht="15" customHeight="1" x14ac:dyDescent="0.25">
      <c r="A9" s="98" t="s">
        <v>1548</v>
      </c>
      <c r="B9" s="98" t="s">
        <v>1021</v>
      </c>
      <c r="C9" s="99">
        <v>68801225</v>
      </c>
      <c r="D9" s="99">
        <v>22830225</v>
      </c>
      <c r="E9" s="152">
        <v>0.33182875740947898</v>
      </c>
      <c r="F9" s="152">
        <v>0.49662232711927101</v>
      </c>
      <c r="G9" s="153">
        <v>2</v>
      </c>
      <c r="H9" s="152">
        <v>8.4563325228550507E-2</v>
      </c>
      <c r="I9" s="152">
        <v>0.39957158352789202</v>
      </c>
      <c r="J9" s="98" t="s">
        <v>1637</v>
      </c>
    </row>
    <row r="10" spans="1:10" ht="15" customHeight="1" x14ac:dyDescent="0.25">
      <c r="A10" s="101" t="s">
        <v>1550</v>
      </c>
      <c r="B10" s="101" t="s">
        <v>1018</v>
      </c>
      <c r="C10" s="102">
        <v>16699510</v>
      </c>
      <c r="D10" s="102">
        <v>13429010</v>
      </c>
      <c r="E10" s="155">
        <v>0.80415593032370403</v>
      </c>
      <c r="F10" s="155">
        <v>4.1061030423482698</v>
      </c>
      <c r="G10" s="156">
        <v>3</v>
      </c>
      <c r="H10" s="155">
        <v>2.05253045318224E-2</v>
      </c>
      <c r="I10" s="155">
        <v>1.47126692839632</v>
      </c>
      <c r="J10" s="101" t="s">
        <v>1643</v>
      </c>
    </row>
    <row r="11" spans="1:10" ht="15" customHeight="1" x14ac:dyDescent="0.25">
      <c r="A11" s="104" t="s">
        <v>1556</v>
      </c>
      <c r="B11" s="104" t="s">
        <v>1015</v>
      </c>
      <c r="C11" s="105">
        <v>13570000</v>
      </c>
      <c r="D11" s="105">
        <v>6106500</v>
      </c>
      <c r="E11" s="158">
        <v>0.45</v>
      </c>
      <c r="F11" s="158">
        <v>0.81818181818181801</v>
      </c>
      <c r="G11" s="159">
        <v>2.5</v>
      </c>
      <c r="H11" s="158">
        <v>1.6678835636304901E-2</v>
      </c>
      <c r="I11" s="158">
        <v>0.51204727989090004</v>
      </c>
      <c r="J11" s="104" t="s">
        <v>1643</v>
      </c>
    </row>
    <row r="12" spans="1:10" ht="15" customHeight="1" x14ac:dyDescent="0.25">
      <c r="A12" s="107" t="s">
        <v>1557</v>
      </c>
      <c r="B12" s="107" t="s">
        <v>1012</v>
      </c>
      <c r="C12" s="108">
        <v>28038380</v>
      </c>
      <c r="D12" s="108">
        <v>17897980</v>
      </c>
      <c r="E12" s="161">
        <v>0.63833859160193995</v>
      </c>
      <c r="F12" s="161">
        <v>1.7650171590864301</v>
      </c>
      <c r="G12" s="162">
        <v>2</v>
      </c>
      <c r="H12" s="161">
        <v>3.4461866730159003E-2</v>
      </c>
      <c r="I12" s="161">
        <v>0.83175900642190703</v>
      </c>
      <c r="J12" s="107" t="s">
        <v>1637</v>
      </c>
    </row>
    <row r="13" spans="1:10" ht="15" customHeight="1" x14ac:dyDescent="0.25">
      <c r="A13" s="110" t="s">
        <v>1559</v>
      </c>
      <c r="B13" s="110" t="s">
        <v>1009</v>
      </c>
      <c r="C13" s="111">
        <v>15682458</v>
      </c>
      <c r="D13" s="111">
        <v>12646458</v>
      </c>
      <c r="E13" s="164">
        <v>0.80640789855773898</v>
      </c>
      <c r="F13" s="164">
        <v>4.1654999999999998</v>
      </c>
      <c r="G13" s="165">
        <v>1.5</v>
      </c>
      <c r="H13" s="164">
        <v>1.9275249768257501E-2</v>
      </c>
      <c r="I13" s="164">
        <v>1.50182944688833</v>
      </c>
      <c r="J13" s="110" t="s">
        <v>1637</v>
      </c>
    </row>
    <row r="14" spans="1:10" ht="15" customHeight="1" x14ac:dyDescent="0.25">
      <c r="A14" s="113" t="s">
        <v>1560</v>
      </c>
      <c r="B14" s="113" t="s">
        <v>1006</v>
      </c>
      <c r="C14" s="114">
        <v>25300000</v>
      </c>
      <c r="D14" s="114">
        <v>15300000</v>
      </c>
      <c r="E14" s="167">
        <v>0.60474308300395296</v>
      </c>
      <c r="F14" s="167">
        <v>1.53</v>
      </c>
      <c r="G14" s="168">
        <v>3.5</v>
      </c>
      <c r="H14" s="167">
        <v>3.1096134237178601E-2</v>
      </c>
      <c r="I14" s="167">
        <v>0.74406165333715801</v>
      </c>
      <c r="J14" s="113" t="s">
        <v>1643</v>
      </c>
    </row>
    <row r="15" spans="1:10" ht="15" customHeight="1" x14ac:dyDescent="0.25">
      <c r="A15" s="116" t="s">
        <v>1561</v>
      </c>
      <c r="B15" s="116" t="s">
        <v>1037</v>
      </c>
      <c r="C15" s="117">
        <v>159589381.25</v>
      </c>
      <c r="D15" s="117">
        <v>103405379.15000001</v>
      </c>
      <c r="E15" s="170">
        <v>0.647946488294314</v>
      </c>
      <c r="F15" s="170">
        <v>1.84047727618179</v>
      </c>
      <c r="G15" s="171">
        <v>2</v>
      </c>
      <c r="H15" s="170">
        <v>0.19615070443392399</v>
      </c>
      <c r="I15" s="170">
        <v>0.87872052002826195</v>
      </c>
      <c r="J15" s="116" t="s">
        <v>1637</v>
      </c>
    </row>
    <row r="16" spans="1:10" ht="15" customHeight="1" x14ac:dyDescent="0.25">
      <c r="A16" s="119" t="s">
        <v>1562</v>
      </c>
      <c r="B16" s="119" t="s">
        <v>1003</v>
      </c>
      <c r="C16" s="120">
        <v>21100000</v>
      </c>
      <c r="D16" s="120">
        <v>12100000</v>
      </c>
      <c r="E16" s="173">
        <v>0.57345971563981102</v>
      </c>
      <c r="F16" s="173">
        <v>1.3444444444444501</v>
      </c>
      <c r="G16" s="174">
        <v>2</v>
      </c>
      <c r="H16" s="173">
        <v>2.5933930134564E-2</v>
      </c>
      <c r="I16" s="173">
        <v>0.69938508688722001</v>
      </c>
      <c r="J16" s="119" t="s">
        <v>1637</v>
      </c>
    </row>
    <row r="17" spans="1:10" ht="15" customHeight="1" x14ac:dyDescent="0.25">
      <c r="A17" s="122" t="s">
        <v>1563</v>
      </c>
      <c r="B17" s="122" t="s">
        <v>999</v>
      </c>
      <c r="C17" s="123">
        <v>4062030</v>
      </c>
      <c r="D17" s="123">
        <v>2812030</v>
      </c>
      <c r="E17" s="176">
        <v>0.69227209055570704</v>
      </c>
      <c r="F17" s="176">
        <v>2.2496239999999998</v>
      </c>
      <c r="G17" s="177">
        <v>2.5</v>
      </c>
      <c r="H17" s="176">
        <v>4.9926256978437399E-3</v>
      </c>
      <c r="I17" s="176">
        <v>0.965063730076959</v>
      </c>
      <c r="J17" s="122" t="s">
        <v>1643</v>
      </c>
    </row>
    <row r="18" spans="1:10" ht="15" customHeight="1" x14ac:dyDescent="0.25">
      <c r="A18" s="125" t="s">
        <v>1565</v>
      </c>
      <c r="B18" s="125" t="s">
        <v>996</v>
      </c>
      <c r="C18" s="126">
        <v>18998000</v>
      </c>
      <c r="D18" s="126">
        <v>7599200</v>
      </c>
      <c r="E18" s="179">
        <v>0.4</v>
      </c>
      <c r="F18" s="179">
        <v>0.66666666666666696</v>
      </c>
      <c r="G18" s="180">
        <v>2</v>
      </c>
      <c r="H18" s="179">
        <v>2.3350369890826801E-2</v>
      </c>
      <c r="I18" s="179">
        <v>0.46016922215029099</v>
      </c>
      <c r="J18" s="125" t="s">
        <v>1637</v>
      </c>
    </row>
    <row r="19" spans="1:10" ht="15" customHeight="1" x14ac:dyDescent="0.25">
      <c r="A19" s="128" t="s">
        <v>1566</v>
      </c>
      <c r="B19" s="128" t="s">
        <v>993</v>
      </c>
      <c r="C19" s="129">
        <v>17250000</v>
      </c>
      <c r="D19" s="129">
        <v>6250000</v>
      </c>
      <c r="E19" s="182">
        <v>0.36231884057970998</v>
      </c>
      <c r="F19" s="182">
        <v>0.56818181818181801</v>
      </c>
      <c r="G19" s="183">
        <v>3</v>
      </c>
      <c r="H19" s="182">
        <v>2.1201909707167201E-2</v>
      </c>
      <c r="I19" s="182">
        <v>0.41015327723341399</v>
      </c>
      <c r="J19" s="128" t="s">
        <v>1643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D7B8B-6858-472E-A602-5829C3934439}">
  <sheetPr codeName="Feuil25">
    <tabColor rgb="FF00B050"/>
  </sheetPr>
  <dimension ref="B1:H51"/>
  <sheetViews>
    <sheetView zoomScaleNormal="100" workbookViewId="0"/>
  </sheetViews>
  <sheetFormatPr baseColWidth="10" defaultColWidth="8.7109375" defaultRowHeight="15" x14ac:dyDescent="0.25"/>
  <cols>
    <col min="1" max="1" width="3" style="1" customWidth="1"/>
    <col min="2" max="2" width="26" style="1" customWidth="1"/>
    <col min="3" max="5" width="20" style="1" customWidth="1"/>
    <col min="6" max="6" width="13" style="1" customWidth="1"/>
    <col min="7" max="7" width="25" style="1" customWidth="1"/>
    <col min="8" max="16384" width="8.7109375" style="1"/>
  </cols>
  <sheetData>
    <row r="1" spans="2:8" ht="48" customHeight="1" x14ac:dyDescent="0.25">
      <c r="B1" s="252" t="s">
        <v>1695</v>
      </c>
      <c r="C1" s="252"/>
      <c r="D1" s="252"/>
      <c r="E1" s="252"/>
      <c r="F1" s="252"/>
      <c r="G1" s="252"/>
    </row>
    <row r="2" spans="2:8" ht="15" customHeight="1" x14ac:dyDescent="0.25">
      <c r="B2" s="253" t="s">
        <v>1696</v>
      </c>
      <c r="C2" s="253"/>
      <c r="D2" s="253"/>
      <c r="E2" s="253"/>
      <c r="F2" s="253"/>
      <c r="G2" s="253"/>
    </row>
    <row r="4" spans="2:8" ht="19.5" customHeight="1" x14ac:dyDescent="0.25">
      <c r="B4" s="254" t="s">
        <v>1697</v>
      </c>
      <c r="C4" s="254"/>
      <c r="D4" s="255" t="s">
        <v>1698</v>
      </c>
      <c r="E4" s="255"/>
      <c r="F4" s="256" t="s">
        <v>1699</v>
      </c>
      <c r="G4" s="256"/>
    </row>
    <row r="5" spans="2:8" ht="31.5" customHeight="1" x14ac:dyDescent="0.25">
      <c r="B5" s="257" t="s">
        <v>1700</v>
      </c>
      <c r="C5" s="257"/>
      <c r="D5" s="258" t="s">
        <v>1701</v>
      </c>
      <c r="E5" s="258"/>
      <c r="F5" s="259" t="s">
        <v>1702</v>
      </c>
      <c r="G5" s="259"/>
    </row>
    <row r="6" spans="2:8" ht="18" customHeight="1" x14ac:dyDescent="0.25">
      <c r="B6" s="250" t="s">
        <v>1703</v>
      </c>
      <c r="C6" s="250"/>
      <c r="D6" s="250" t="s">
        <v>1704</v>
      </c>
      <c r="E6" s="250"/>
      <c r="F6" s="250" t="s">
        <v>1705</v>
      </c>
      <c r="G6" s="250"/>
    </row>
    <row r="7" spans="2:8" ht="6" customHeight="1" x14ac:dyDescent="0.25"/>
    <row r="8" spans="2:8" ht="21.75" customHeight="1" x14ac:dyDescent="0.25">
      <c r="B8" s="226" t="s">
        <v>1706</v>
      </c>
      <c r="C8" s="226"/>
      <c r="D8" s="226"/>
      <c r="E8" s="226"/>
      <c r="F8" s="226"/>
      <c r="G8" s="226"/>
    </row>
    <row r="9" spans="2:8" ht="15" customHeight="1" x14ac:dyDescent="0.25">
      <c r="B9" s="193" t="s">
        <v>1074</v>
      </c>
      <c r="C9" s="193" t="s">
        <v>1707</v>
      </c>
      <c r="D9" s="193" t="s">
        <v>1612</v>
      </c>
      <c r="E9" s="193" t="s">
        <v>1613</v>
      </c>
      <c r="F9" s="193" t="s">
        <v>1614</v>
      </c>
      <c r="G9" s="193" t="s">
        <v>1708</v>
      </c>
      <c r="H9" s="193" t="s">
        <v>1620</v>
      </c>
    </row>
    <row r="10" spans="2:8" ht="15" customHeight="1" x14ac:dyDescent="0.25">
      <c r="B10" s="80" t="s">
        <v>1541</v>
      </c>
      <c r="C10" s="80" t="s">
        <v>1592</v>
      </c>
      <c r="D10" s="81">
        <v>209451853.22999999</v>
      </c>
      <c r="E10" s="81">
        <v>209451853.22999999</v>
      </c>
      <c r="F10" s="81">
        <v>0</v>
      </c>
      <c r="G10" s="82">
        <v>0</v>
      </c>
      <c r="H10" s="80" t="s">
        <v>1574</v>
      </c>
    </row>
    <row r="11" spans="2:8" ht="15" customHeight="1" x14ac:dyDescent="0.25">
      <c r="B11" s="83" t="s">
        <v>1543</v>
      </c>
      <c r="C11" s="83" t="s">
        <v>1040</v>
      </c>
      <c r="D11" s="84">
        <v>7302400</v>
      </c>
      <c r="E11" s="84">
        <v>2900100</v>
      </c>
      <c r="F11" s="84">
        <v>4402300</v>
      </c>
      <c r="G11" s="85">
        <v>0.60285659509202505</v>
      </c>
      <c r="H11" s="139" t="s">
        <v>1623</v>
      </c>
    </row>
    <row r="12" spans="2:8" ht="15" customHeight="1" x14ac:dyDescent="0.25">
      <c r="B12" s="86" t="s">
        <v>1544</v>
      </c>
      <c r="C12" s="86" t="s">
        <v>1033</v>
      </c>
      <c r="D12" s="87">
        <v>159290477.75</v>
      </c>
      <c r="E12" s="87">
        <v>119132500</v>
      </c>
      <c r="F12" s="87">
        <v>40157977.75</v>
      </c>
      <c r="G12" s="88">
        <v>0.25210532554887799</v>
      </c>
      <c r="H12" s="142" t="s">
        <v>1623</v>
      </c>
    </row>
    <row r="13" spans="2:8" ht="15" customHeight="1" x14ac:dyDescent="0.25">
      <c r="B13" s="89" t="s">
        <v>1545</v>
      </c>
      <c r="C13" s="89" t="s">
        <v>1593</v>
      </c>
      <c r="D13" s="90">
        <v>43886340</v>
      </c>
      <c r="E13" s="90">
        <v>30723519</v>
      </c>
      <c r="F13" s="90">
        <v>13162821</v>
      </c>
      <c r="G13" s="91">
        <v>0.29992979592283198</v>
      </c>
      <c r="H13" s="145" t="s">
        <v>1623</v>
      </c>
    </row>
    <row r="14" spans="2:8" ht="15" customHeight="1" x14ac:dyDescent="0.25">
      <c r="B14" s="92" t="s">
        <v>1546</v>
      </c>
      <c r="C14" s="92" t="s">
        <v>1709</v>
      </c>
      <c r="D14" s="93">
        <v>575000</v>
      </c>
      <c r="E14" s="93">
        <v>402500</v>
      </c>
      <c r="F14" s="93">
        <v>172500</v>
      </c>
      <c r="G14" s="94">
        <v>0.3</v>
      </c>
      <c r="H14" s="148" t="s">
        <v>1623</v>
      </c>
    </row>
    <row r="15" spans="2:8" ht="15" customHeight="1" x14ac:dyDescent="0.25">
      <c r="B15" s="95" t="s">
        <v>1547</v>
      </c>
      <c r="C15" s="95" t="s">
        <v>1024</v>
      </c>
      <c r="D15" s="96">
        <v>4008900</v>
      </c>
      <c r="E15" s="96">
        <v>2605785</v>
      </c>
      <c r="F15" s="96">
        <v>1403115</v>
      </c>
      <c r="G15" s="97">
        <v>0.35</v>
      </c>
      <c r="H15" s="151" t="s">
        <v>1623</v>
      </c>
    </row>
    <row r="16" spans="2:8" ht="15" customHeight="1" x14ac:dyDescent="0.25">
      <c r="B16" s="98" t="s">
        <v>1548</v>
      </c>
      <c r="C16" s="98" t="s">
        <v>1021</v>
      </c>
      <c r="D16" s="99">
        <v>68801225</v>
      </c>
      <c r="E16" s="99">
        <v>45971000</v>
      </c>
      <c r="F16" s="99">
        <v>22830225</v>
      </c>
      <c r="G16" s="100">
        <v>0.33182875740947898</v>
      </c>
      <c r="H16" s="154" t="s">
        <v>1623</v>
      </c>
    </row>
    <row r="17" spans="2:8" ht="15" customHeight="1" x14ac:dyDescent="0.25">
      <c r="B17" s="101" t="s">
        <v>1550</v>
      </c>
      <c r="C17" s="101" t="s">
        <v>1018</v>
      </c>
      <c r="D17" s="102">
        <v>16699510</v>
      </c>
      <c r="E17" s="102">
        <v>3270500</v>
      </c>
      <c r="F17" s="102">
        <v>13429010</v>
      </c>
      <c r="G17" s="103">
        <v>0.80415593032370403</v>
      </c>
      <c r="H17" s="157" t="s">
        <v>1623</v>
      </c>
    </row>
    <row r="18" spans="2:8" ht="15" customHeight="1" x14ac:dyDescent="0.25">
      <c r="B18" s="104" t="s">
        <v>1556</v>
      </c>
      <c r="C18" s="104" t="s">
        <v>1710</v>
      </c>
      <c r="D18" s="105">
        <v>13570000</v>
      </c>
      <c r="E18" s="105">
        <v>7463500</v>
      </c>
      <c r="F18" s="105">
        <v>6106500</v>
      </c>
      <c r="G18" s="106">
        <v>0.45</v>
      </c>
      <c r="H18" s="160" t="s">
        <v>1623</v>
      </c>
    </row>
    <row r="19" spans="2:8" ht="15" customHeight="1" x14ac:dyDescent="0.25">
      <c r="B19" s="107" t="s">
        <v>1557</v>
      </c>
      <c r="C19" s="107" t="s">
        <v>1012</v>
      </c>
      <c r="D19" s="108">
        <v>28038380</v>
      </c>
      <c r="E19" s="108">
        <v>10140400</v>
      </c>
      <c r="F19" s="108">
        <v>17897980</v>
      </c>
      <c r="G19" s="109">
        <v>0.63833859160193995</v>
      </c>
      <c r="H19" s="163" t="s">
        <v>1623</v>
      </c>
    </row>
    <row r="20" spans="2:8" ht="15" customHeight="1" x14ac:dyDescent="0.25">
      <c r="B20" s="110" t="s">
        <v>1559</v>
      </c>
      <c r="C20" s="110" t="s">
        <v>1711</v>
      </c>
      <c r="D20" s="111">
        <v>15682458</v>
      </c>
      <c r="E20" s="111">
        <v>3036000</v>
      </c>
      <c r="F20" s="111">
        <v>12646458</v>
      </c>
      <c r="G20" s="112">
        <v>0.80640789855773898</v>
      </c>
      <c r="H20" s="166" t="s">
        <v>1623</v>
      </c>
    </row>
    <row r="21" spans="2:8" ht="15" customHeight="1" x14ac:dyDescent="0.25">
      <c r="B21" s="113" t="s">
        <v>1560</v>
      </c>
      <c r="C21" s="113" t="s">
        <v>1006</v>
      </c>
      <c r="D21" s="114">
        <v>25300000</v>
      </c>
      <c r="E21" s="114">
        <v>10000000</v>
      </c>
      <c r="F21" s="114">
        <v>15300000</v>
      </c>
      <c r="G21" s="115">
        <v>0.60474308300395296</v>
      </c>
      <c r="H21" s="169" t="s">
        <v>1623</v>
      </c>
    </row>
    <row r="22" spans="2:8" ht="15" customHeight="1" x14ac:dyDescent="0.25">
      <c r="B22" s="116" t="s">
        <v>1561</v>
      </c>
      <c r="C22" s="116" t="s">
        <v>1037</v>
      </c>
      <c r="D22" s="117">
        <v>159589381.25</v>
      </c>
      <c r="E22" s="117">
        <v>56184002.100000001</v>
      </c>
      <c r="F22" s="117">
        <v>103405379.15000001</v>
      </c>
      <c r="G22" s="118">
        <v>0.647946488294314</v>
      </c>
      <c r="H22" s="172" t="s">
        <v>1623</v>
      </c>
    </row>
    <row r="23" spans="2:8" ht="15" customHeight="1" x14ac:dyDescent="0.25">
      <c r="B23" s="119" t="s">
        <v>1562</v>
      </c>
      <c r="C23" s="119" t="s">
        <v>1003</v>
      </c>
      <c r="D23" s="120">
        <v>21100000</v>
      </c>
      <c r="E23" s="120">
        <v>9000000</v>
      </c>
      <c r="F23" s="120">
        <v>12100000</v>
      </c>
      <c r="G23" s="121">
        <v>0.57345971563981102</v>
      </c>
      <c r="H23" s="175" t="s">
        <v>1623</v>
      </c>
    </row>
    <row r="24" spans="2:8" ht="15" customHeight="1" x14ac:dyDescent="0.25">
      <c r="B24" s="122" t="s">
        <v>1563</v>
      </c>
      <c r="C24" s="122" t="s">
        <v>999</v>
      </c>
      <c r="D24" s="123">
        <v>4062030</v>
      </c>
      <c r="E24" s="123">
        <v>1250000</v>
      </c>
      <c r="F24" s="123">
        <v>2812030</v>
      </c>
      <c r="G24" s="124">
        <v>0.69227209055570704</v>
      </c>
      <c r="H24" s="178" t="s">
        <v>1623</v>
      </c>
    </row>
    <row r="25" spans="2:8" ht="15" customHeight="1" x14ac:dyDescent="0.25">
      <c r="B25" s="125" t="s">
        <v>1565</v>
      </c>
      <c r="C25" s="125" t="s">
        <v>996</v>
      </c>
      <c r="D25" s="126">
        <v>18998000</v>
      </c>
      <c r="E25" s="126">
        <v>11398800</v>
      </c>
      <c r="F25" s="126">
        <v>7599200</v>
      </c>
      <c r="G25" s="127">
        <v>0.4</v>
      </c>
      <c r="H25" s="181" t="s">
        <v>1623</v>
      </c>
    </row>
    <row r="26" spans="2:8" ht="15" customHeight="1" x14ac:dyDescent="0.25">
      <c r="B26" s="128" t="s">
        <v>1566</v>
      </c>
      <c r="C26" s="128" t="s">
        <v>993</v>
      </c>
      <c r="D26" s="129">
        <v>17250000</v>
      </c>
      <c r="E26" s="129">
        <v>11000000</v>
      </c>
      <c r="F26" s="129">
        <v>6250000</v>
      </c>
      <c r="G26" s="130">
        <v>0.36231884057970998</v>
      </c>
      <c r="H26" s="184" t="s">
        <v>1623</v>
      </c>
    </row>
    <row r="27" spans="2:8" ht="19.5" customHeight="1" x14ac:dyDescent="0.25">
      <c r="B27" s="131" t="s">
        <v>1594</v>
      </c>
      <c r="C27" s="131"/>
      <c r="D27" s="132">
        <f>SUM(D10:D26)</f>
        <v>813605955.23000002</v>
      </c>
      <c r="E27" s="132">
        <f>SUM(E10:E26)</f>
        <v>533930459.33000004</v>
      </c>
      <c r="F27" s="132">
        <f>SUM(F10:F26)</f>
        <v>279675495.89999998</v>
      </c>
      <c r="G27" s="131"/>
      <c r="H27" s="131"/>
    </row>
    <row r="29" spans="2:8" ht="15" customHeight="1" x14ac:dyDescent="0.25">
      <c r="B29" s="251" t="s">
        <v>1712</v>
      </c>
      <c r="C29" s="251"/>
      <c r="D29" s="251"/>
      <c r="E29" s="251"/>
      <c r="F29" s="251"/>
      <c r="G29" s="251"/>
    </row>
    <row r="30" spans="2:8" ht="15" customHeight="1" x14ac:dyDescent="0.25">
      <c r="B30" s="194" t="s">
        <v>1074</v>
      </c>
      <c r="C30" s="194" t="s">
        <v>1586</v>
      </c>
      <c r="D30" s="194" t="s">
        <v>1615</v>
      </c>
      <c r="E30" s="194" t="s">
        <v>1713</v>
      </c>
      <c r="F30" s="194" t="s">
        <v>1618</v>
      </c>
      <c r="G30" s="194" t="s">
        <v>1620</v>
      </c>
    </row>
    <row r="31" spans="2:8" ht="15" customHeight="1" x14ac:dyDescent="0.25">
      <c r="B31" s="110" t="s">
        <v>1559</v>
      </c>
      <c r="C31" s="110" t="s">
        <v>1009</v>
      </c>
      <c r="D31" s="112">
        <v>0.80640789855773898</v>
      </c>
      <c r="E31" s="111">
        <v>12646458</v>
      </c>
      <c r="F31" s="110" t="s">
        <v>1622</v>
      </c>
      <c r="G31" s="166" t="s">
        <v>1623</v>
      </c>
    </row>
    <row r="32" spans="2:8" ht="15" customHeight="1" x14ac:dyDescent="0.25">
      <c r="B32" s="101" t="s">
        <v>1550</v>
      </c>
      <c r="C32" s="101" t="s">
        <v>1018</v>
      </c>
      <c r="D32" s="103">
        <v>0.80415593032370403</v>
      </c>
      <c r="E32" s="102">
        <v>13429010</v>
      </c>
      <c r="F32" s="101" t="s">
        <v>1622</v>
      </c>
      <c r="G32" s="157" t="s">
        <v>1623</v>
      </c>
    </row>
    <row r="33" spans="2:8" ht="15" customHeight="1" x14ac:dyDescent="0.25">
      <c r="B33" s="122" t="s">
        <v>1563</v>
      </c>
      <c r="C33" s="122" t="s">
        <v>999</v>
      </c>
      <c r="D33" s="124">
        <v>0.69227209055570704</v>
      </c>
      <c r="E33" s="123">
        <v>2812030</v>
      </c>
      <c r="F33" s="122" t="s">
        <v>1622</v>
      </c>
      <c r="G33" s="178" t="s">
        <v>1623</v>
      </c>
    </row>
    <row r="34" spans="2:8" ht="15" customHeight="1" x14ac:dyDescent="0.25">
      <c r="B34" s="116" t="s">
        <v>1561</v>
      </c>
      <c r="C34" s="116" t="s">
        <v>1037</v>
      </c>
      <c r="D34" s="118">
        <v>0.647946488294314</v>
      </c>
      <c r="E34" s="117">
        <v>103405379.15000001</v>
      </c>
      <c r="F34" s="116" t="s">
        <v>1622</v>
      </c>
      <c r="G34" s="172" t="s">
        <v>1623</v>
      </c>
    </row>
    <row r="35" spans="2:8" ht="15" customHeight="1" x14ac:dyDescent="0.25">
      <c r="B35" s="107" t="s">
        <v>1557</v>
      </c>
      <c r="C35" s="107" t="s">
        <v>1012</v>
      </c>
      <c r="D35" s="109">
        <v>0.63833859160193995</v>
      </c>
      <c r="E35" s="108">
        <v>17897980</v>
      </c>
      <c r="F35" s="107" t="s">
        <v>1622</v>
      </c>
      <c r="G35" s="163" t="s">
        <v>1623</v>
      </c>
    </row>
    <row r="37" spans="2:8" ht="15" customHeight="1" x14ac:dyDescent="0.25">
      <c r="B37" s="229" t="s">
        <v>1714</v>
      </c>
      <c r="C37" s="229"/>
      <c r="D37" s="229"/>
      <c r="E37" s="229"/>
      <c r="F37" s="229"/>
      <c r="G37" s="229"/>
    </row>
    <row r="38" spans="2:8" ht="32.25" customHeight="1" x14ac:dyDescent="0.25">
      <c r="B38" s="195" t="s">
        <v>1074</v>
      </c>
      <c r="C38" s="195" t="s">
        <v>1586</v>
      </c>
      <c r="D38" s="195" t="s">
        <v>1694</v>
      </c>
      <c r="E38" s="195" t="s">
        <v>1628</v>
      </c>
      <c r="F38" s="195" t="s">
        <v>1715</v>
      </c>
      <c r="G38" s="195" t="s">
        <v>1716</v>
      </c>
      <c r="H38" s="195" t="s">
        <v>1632</v>
      </c>
    </row>
    <row r="39" spans="2:8" ht="15" customHeight="1" x14ac:dyDescent="0.25">
      <c r="B39" s="113" t="s">
        <v>1560</v>
      </c>
      <c r="C39" s="113" t="s">
        <v>1006</v>
      </c>
      <c r="D39" s="196">
        <v>3.5</v>
      </c>
      <c r="E39" s="113" t="s">
        <v>1643</v>
      </c>
      <c r="F39" s="113" t="s">
        <v>1644</v>
      </c>
      <c r="G39" s="113" t="s">
        <v>1645</v>
      </c>
      <c r="H39" s="113" t="s">
        <v>1638</v>
      </c>
    </row>
    <row r="40" spans="2:8" ht="15" customHeight="1" x14ac:dyDescent="0.25">
      <c r="B40" s="128" t="s">
        <v>1566</v>
      </c>
      <c r="C40" s="128" t="s">
        <v>993</v>
      </c>
      <c r="D40" s="197">
        <v>3</v>
      </c>
      <c r="E40" s="128" t="s">
        <v>1643</v>
      </c>
      <c r="F40" s="128" t="s">
        <v>1644</v>
      </c>
      <c r="G40" s="128" t="s">
        <v>1645</v>
      </c>
      <c r="H40" s="128" t="s">
        <v>1642</v>
      </c>
    </row>
    <row r="41" spans="2:8" ht="15" customHeight="1" x14ac:dyDescent="0.25">
      <c r="B41" s="101" t="s">
        <v>1550</v>
      </c>
      <c r="C41" s="101" t="s">
        <v>1018</v>
      </c>
      <c r="D41" s="198">
        <v>3</v>
      </c>
      <c r="E41" s="101" t="s">
        <v>1643</v>
      </c>
      <c r="F41" s="101" t="s">
        <v>1644</v>
      </c>
      <c r="G41" s="101" t="s">
        <v>1645</v>
      </c>
      <c r="H41" s="101" t="s">
        <v>1638</v>
      </c>
    </row>
    <row r="42" spans="2:8" ht="15" customHeight="1" x14ac:dyDescent="0.25">
      <c r="B42" s="104" t="s">
        <v>1556</v>
      </c>
      <c r="C42" s="104" t="s">
        <v>1015</v>
      </c>
      <c r="D42" s="199">
        <v>2.5</v>
      </c>
      <c r="E42" s="104" t="s">
        <v>1643</v>
      </c>
      <c r="F42" s="104" t="s">
        <v>1646</v>
      </c>
      <c r="G42" s="104" t="s">
        <v>1641</v>
      </c>
      <c r="H42" s="104" t="s">
        <v>1642</v>
      </c>
    </row>
    <row r="43" spans="2:8" ht="15" customHeight="1" x14ac:dyDescent="0.25">
      <c r="B43" s="122" t="s">
        <v>1563</v>
      </c>
      <c r="C43" s="122" t="s">
        <v>999</v>
      </c>
      <c r="D43" s="200">
        <v>2.5</v>
      </c>
      <c r="E43" s="122" t="s">
        <v>1643</v>
      </c>
      <c r="F43" s="122" t="s">
        <v>1646</v>
      </c>
      <c r="G43" s="122" t="s">
        <v>1641</v>
      </c>
      <c r="H43" s="122" t="s">
        <v>1638</v>
      </c>
    </row>
    <row r="44" spans="2:8" ht="15" customHeight="1" x14ac:dyDescent="0.25">
      <c r="B44" s="98" t="s">
        <v>1548</v>
      </c>
      <c r="C44" s="98" t="s">
        <v>1021</v>
      </c>
      <c r="D44" s="201">
        <v>2</v>
      </c>
      <c r="E44" s="98" t="s">
        <v>1637</v>
      </c>
      <c r="F44" s="98" t="s">
        <v>1640</v>
      </c>
      <c r="G44" s="98" t="s">
        <v>1641</v>
      </c>
      <c r="H44" s="98" t="s">
        <v>1642</v>
      </c>
    </row>
    <row r="45" spans="2:8" ht="15" customHeight="1" x14ac:dyDescent="0.25">
      <c r="B45" s="95" t="s">
        <v>1547</v>
      </c>
      <c r="C45" s="95" t="s">
        <v>1024</v>
      </c>
      <c r="D45" s="202">
        <v>2</v>
      </c>
      <c r="E45" s="95" t="s">
        <v>1637</v>
      </c>
      <c r="F45" s="95" t="s">
        <v>1640</v>
      </c>
      <c r="G45" s="95" t="s">
        <v>1641</v>
      </c>
      <c r="H45" s="95" t="s">
        <v>1642</v>
      </c>
    </row>
    <row r="46" spans="2:8" ht="15" customHeight="1" x14ac:dyDescent="0.25">
      <c r="B46" s="92" t="s">
        <v>1546</v>
      </c>
      <c r="C46" s="92" t="s">
        <v>1027</v>
      </c>
      <c r="D46" s="203">
        <v>2</v>
      </c>
      <c r="E46" s="92" t="s">
        <v>1637</v>
      </c>
      <c r="F46" s="92" t="s">
        <v>1640</v>
      </c>
      <c r="G46" s="92" t="s">
        <v>1641</v>
      </c>
      <c r="H46" s="92" t="s">
        <v>1642</v>
      </c>
    </row>
    <row r="47" spans="2:8" ht="15" customHeight="1" x14ac:dyDescent="0.25">
      <c r="B47" s="89" t="s">
        <v>1545</v>
      </c>
      <c r="C47" s="89" t="s">
        <v>1624</v>
      </c>
      <c r="D47" s="204">
        <v>2</v>
      </c>
      <c r="E47" s="89" t="s">
        <v>1637</v>
      </c>
      <c r="F47" s="89" t="s">
        <v>1640</v>
      </c>
      <c r="G47" s="89" t="s">
        <v>1641</v>
      </c>
      <c r="H47" s="89" t="s">
        <v>1639</v>
      </c>
    </row>
    <row r="48" spans="2:8" ht="15" customHeight="1" x14ac:dyDescent="0.25">
      <c r="B48" s="116" t="s">
        <v>1561</v>
      </c>
      <c r="C48" s="116" t="s">
        <v>1037</v>
      </c>
      <c r="D48" s="205">
        <v>2</v>
      </c>
      <c r="E48" s="116" t="s">
        <v>1637</v>
      </c>
      <c r="F48" s="116" t="s">
        <v>1640</v>
      </c>
      <c r="G48" s="116" t="s">
        <v>1641</v>
      </c>
      <c r="H48" s="116" t="s">
        <v>1638</v>
      </c>
    </row>
    <row r="49" spans="2:8" ht="15" customHeight="1" x14ac:dyDescent="0.25">
      <c r="B49" s="107" t="s">
        <v>1557</v>
      </c>
      <c r="C49" s="107" t="s">
        <v>1012</v>
      </c>
      <c r="D49" s="206">
        <v>2</v>
      </c>
      <c r="E49" s="107" t="s">
        <v>1637</v>
      </c>
      <c r="F49" s="107" t="s">
        <v>1640</v>
      </c>
      <c r="G49" s="107" t="s">
        <v>1641</v>
      </c>
      <c r="H49" s="107" t="s">
        <v>1638</v>
      </c>
    </row>
    <row r="50" spans="2:8" ht="15" customHeight="1" x14ac:dyDescent="0.25">
      <c r="B50" s="119" t="s">
        <v>1562</v>
      </c>
      <c r="C50" s="119" t="s">
        <v>1003</v>
      </c>
      <c r="D50" s="207">
        <v>2</v>
      </c>
      <c r="E50" s="119" t="s">
        <v>1637</v>
      </c>
      <c r="F50" s="119" t="s">
        <v>1640</v>
      </c>
      <c r="G50" s="119" t="s">
        <v>1641</v>
      </c>
      <c r="H50" s="119" t="s">
        <v>1642</v>
      </c>
    </row>
    <row r="51" spans="2:8" ht="15" customHeight="1" x14ac:dyDescent="0.25">
      <c r="B51" s="125" t="s">
        <v>1565</v>
      </c>
      <c r="C51" s="125" t="s">
        <v>996</v>
      </c>
      <c r="D51" s="208">
        <v>2</v>
      </c>
      <c r="E51" s="125" t="s">
        <v>1637</v>
      </c>
      <c r="F51" s="125" t="s">
        <v>1640</v>
      </c>
      <c r="G51" s="125" t="s">
        <v>1641</v>
      </c>
      <c r="H51" s="125" t="s">
        <v>1642</v>
      </c>
    </row>
  </sheetData>
  <mergeCells count="14">
    <mergeCell ref="B37:G37"/>
    <mergeCell ref="B1:G1"/>
    <mergeCell ref="B2:G2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8:G8"/>
    <mergeCell ref="B29:G29"/>
  </mergeCells>
  <pageMargins left="0.75" right="0.75" top="1" bottom="1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D5A6-E6EF-418B-B8DC-54CE9B7BB13A}">
  <sheetPr codeName="Feuil26">
    <tabColor rgb="FF843C0C"/>
  </sheetPr>
  <dimension ref="B1:G29"/>
  <sheetViews>
    <sheetView zoomScaleNormal="100" workbookViewId="0">
      <selection activeCell="F5" sqref="F5"/>
    </sheetView>
  </sheetViews>
  <sheetFormatPr baseColWidth="10" defaultColWidth="8.7109375" defaultRowHeight="15" x14ac:dyDescent="0.25"/>
  <cols>
    <col min="1" max="1" width="4" style="1" customWidth="1"/>
    <col min="2" max="2" width="28" style="1" customWidth="1"/>
    <col min="3" max="5" width="18" style="1" customWidth="1"/>
    <col min="6" max="6" width="12" style="1" customWidth="1"/>
    <col min="7" max="7" width="18" style="1" customWidth="1"/>
    <col min="8" max="16384" width="8.7109375" style="1"/>
  </cols>
  <sheetData>
    <row r="1" spans="2:7" ht="39.75" customHeight="1" x14ac:dyDescent="0.25">
      <c r="B1" s="260" t="s">
        <v>1717</v>
      </c>
      <c r="C1" s="260"/>
      <c r="D1" s="260"/>
      <c r="E1" s="260"/>
      <c r="F1" s="260"/>
      <c r="G1" s="260"/>
    </row>
    <row r="3" spans="2:7" ht="15" customHeight="1" x14ac:dyDescent="0.25">
      <c r="B3" s="209" t="s">
        <v>1718</v>
      </c>
      <c r="C3" s="210">
        <v>813605955.23000002</v>
      </c>
    </row>
    <row r="4" spans="2:7" ht="15" customHeight="1" x14ac:dyDescent="0.25">
      <c r="B4" s="209" t="s">
        <v>1719</v>
      </c>
      <c r="C4" s="210">
        <v>533930459.32999998</v>
      </c>
    </row>
    <row r="5" spans="2:7" ht="15" customHeight="1" x14ac:dyDescent="0.25">
      <c r="B5" s="209" t="s">
        <v>1720</v>
      </c>
      <c r="C5" s="210">
        <v>279675495.89999998</v>
      </c>
    </row>
    <row r="6" spans="2:7" ht="15" customHeight="1" x14ac:dyDescent="0.25">
      <c r="B6" s="209" t="s">
        <v>1721</v>
      </c>
      <c r="C6" s="211">
        <v>0.343748093413276</v>
      </c>
    </row>
    <row r="7" spans="2:7" ht="15" customHeight="1" x14ac:dyDescent="0.25">
      <c r="B7" s="209" t="s">
        <v>1722</v>
      </c>
      <c r="C7" s="210">
        <v>318</v>
      </c>
    </row>
    <row r="8" spans="2:7" ht="15" customHeight="1" x14ac:dyDescent="0.25">
      <c r="B8" s="209" t="s">
        <v>1723</v>
      </c>
      <c r="C8" s="210">
        <v>163</v>
      </c>
    </row>
    <row r="9" spans="2:7" ht="15" customHeight="1" x14ac:dyDescent="0.25">
      <c r="B9" s="209" t="s">
        <v>1724</v>
      </c>
      <c r="C9" s="212">
        <v>1.1336477987421401</v>
      </c>
    </row>
    <row r="11" spans="2:7" ht="15" customHeight="1" x14ac:dyDescent="0.25">
      <c r="B11" s="213" t="s">
        <v>1074</v>
      </c>
      <c r="C11" s="213" t="s">
        <v>1707</v>
      </c>
      <c r="D11" s="213" t="s">
        <v>1612</v>
      </c>
      <c r="E11" s="213" t="s">
        <v>1613</v>
      </c>
      <c r="F11" s="213" t="s">
        <v>1578</v>
      </c>
      <c r="G11" s="213" t="s">
        <v>1708</v>
      </c>
    </row>
    <row r="12" spans="2:7" ht="15" customHeight="1" x14ac:dyDescent="0.25">
      <c r="B12" s="80" t="s">
        <v>1541</v>
      </c>
      <c r="C12" s="80" t="s">
        <v>1592</v>
      </c>
      <c r="D12" s="81">
        <v>209451853.22999999</v>
      </c>
      <c r="E12" s="81">
        <v>209451853.22999999</v>
      </c>
      <c r="F12" s="81">
        <v>0</v>
      </c>
      <c r="G12" s="82">
        <v>0</v>
      </c>
    </row>
    <row r="13" spans="2:7" ht="15" customHeight="1" x14ac:dyDescent="0.25">
      <c r="B13" s="83" t="s">
        <v>1543</v>
      </c>
      <c r="C13" s="83" t="s">
        <v>1040</v>
      </c>
      <c r="D13" s="84">
        <v>7302400</v>
      </c>
      <c r="E13" s="84">
        <v>2900100</v>
      </c>
      <c r="F13" s="84">
        <v>4402300</v>
      </c>
      <c r="G13" s="85">
        <v>0.60285659509202505</v>
      </c>
    </row>
    <row r="14" spans="2:7" ht="15" customHeight="1" x14ac:dyDescent="0.25">
      <c r="B14" s="86" t="s">
        <v>1544</v>
      </c>
      <c r="C14" s="86" t="s">
        <v>1033</v>
      </c>
      <c r="D14" s="87">
        <v>159290477.75</v>
      </c>
      <c r="E14" s="87">
        <v>119132500</v>
      </c>
      <c r="F14" s="87">
        <v>40157977.75</v>
      </c>
      <c r="G14" s="88">
        <v>0.25210532554887799</v>
      </c>
    </row>
    <row r="15" spans="2:7" ht="15" customHeight="1" x14ac:dyDescent="0.25">
      <c r="B15" s="89" t="s">
        <v>1545</v>
      </c>
      <c r="C15" s="89" t="s">
        <v>1593</v>
      </c>
      <c r="D15" s="90">
        <v>43886340</v>
      </c>
      <c r="E15" s="90">
        <v>30723519</v>
      </c>
      <c r="F15" s="90">
        <v>13162821</v>
      </c>
      <c r="G15" s="91">
        <v>0.29992979592283198</v>
      </c>
    </row>
    <row r="16" spans="2:7" ht="15" customHeight="1" x14ac:dyDescent="0.25">
      <c r="B16" s="92" t="s">
        <v>1546</v>
      </c>
      <c r="C16" s="92" t="s">
        <v>1027</v>
      </c>
      <c r="D16" s="93">
        <v>575000</v>
      </c>
      <c r="E16" s="93">
        <v>402500</v>
      </c>
      <c r="F16" s="93">
        <v>172500</v>
      </c>
      <c r="G16" s="94">
        <v>0.3</v>
      </c>
    </row>
    <row r="17" spans="2:7" ht="15" customHeight="1" x14ac:dyDescent="0.25">
      <c r="B17" s="95" t="s">
        <v>1547</v>
      </c>
      <c r="C17" s="95" t="s">
        <v>1024</v>
      </c>
      <c r="D17" s="96">
        <v>4008900</v>
      </c>
      <c r="E17" s="96">
        <v>2605785</v>
      </c>
      <c r="F17" s="96">
        <v>1403115</v>
      </c>
      <c r="G17" s="97">
        <v>0.35</v>
      </c>
    </row>
    <row r="18" spans="2:7" ht="15" customHeight="1" x14ac:dyDescent="0.25">
      <c r="B18" s="98" t="s">
        <v>1548</v>
      </c>
      <c r="C18" s="98" t="s">
        <v>1021</v>
      </c>
      <c r="D18" s="99">
        <v>68801225</v>
      </c>
      <c r="E18" s="99">
        <v>45971000</v>
      </c>
      <c r="F18" s="99">
        <v>22830225</v>
      </c>
      <c r="G18" s="100">
        <v>0.33182875740947898</v>
      </c>
    </row>
    <row r="19" spans="2:7" ht="15" customHeight="1" x14ac:dyDescent="0.25">
      <c r="B19" s="101" t="s">
        <v>1550</v>
      </c>
      <c r="C19" s="101" t="s">
        <v>1018</v>
      </c>
      <c r="D19" s="102">
        <v>16699510</v>
      </c>
      <c r="E19" s="102">
        <v>3270500</v>
      </c>
      <c r="F19" s="102">
        <v>13429010</v>
      </c>
      <c r="G19" s="103">
        <v>0.80415593032370403</v>
      </c>
    </row>
    <row r="20" spans="2:7" ht="15" customHeight="1" x14ac:dyDescent="0.25">
      <c r="B20" s="104" t="s">
        <v>1556</v>
      </c>
      <c r="C20" s="104" t="s">
        <v>1015</v>
      </c>
      <c r="D20" s="105">
        <v>13570000</v>
      </c>
      <c r="E20" s="105">
        <v>7463500</v>
      </c>
      <c r="F20" s="105">
        <v>6106500</v>
      </c>
      <c r="G20" s="106">
        <v>0.45</v>
      </c>
    </row>
    <row r="21" spans="2:7" ht="15" customHeight="1" x14ac:dyDescent="0.25">
      <c r="B21" s="107" t="s">
        <v>1557</v>
      </c>
      <c r="C21" s="107" t="s">
        <v>1012</v>
      </c>
      <c r="D21" s="108">
        <v>28038380</v>
      </c>
      <c r="E21" s="108">
        <v>10140400</v>
      </c>
      <c r="F21" s="108">
        <v>17897980</v>
      </c>
      <c r="G21" s="109">
        <v>0.63833859160193995</v>
      </c>
    </row>
    <row r="22" spans="2:7" ht="15" customHeight="1" x14ac:dyDescent="0.25">
      <c r="B22" s="110" t="s">
        <v>1559</v>
      </c>
      <c r="C22" s="110" t="s">
        <v>1009</v>
      </c>
      <c r="D22" s="111">
        <v>15682458</v>
      </c>
      <c r="E22" s="111">
        <v>3036000</v>
      </c>
      <c r="F22" s="111">
        <v>12646458</v>
      </c>
      <c r="G22" s="112">
        <v>0.80640789855773898</v>
      </c>
    </row>
    <row r="23" spans="2:7" ht="15" customHeight="1" x14ac:dyDescent="0.25">
      <c r="B23" s="113" t="s">
        <v>1560</v>
      </c>
      <c r="C23" s="113" t="s">
        <v>1006</v>
      </c>
      <c r="D23" s="114">
        <v>25300000</v>
      </c>
      <c r="E23" s="114">
        <v>10000000</v>
      </c>
      <c r="F23" s="114">
        <v>15300000</v>
      </c>
      <c r="G23" s="115">
        <v>0.60474308300395296</v>
      </c>
    </row>
    <row r="24" spans="2:7" ht="15" customHeight="1" x14ac:dyDescent="0.25">
      <c r="B24" s="116" t="s">
        <v>1561</v>
      </c>
      <c r="C24" s="116" t="s">
        <v>1037</v>
      </c>
      <c r="D24" s="117">
        <v>159589381.25</v>
      </c>
      <c r="E24" s="117">
        <v>56184002.100000001</v>
      </c>
      <c r="F24" s="117">
        <v>103405379.15000001</v>
      </c>
      <c r="G24" s="118">
        <v>0.647946488294314</v>
      </c>
    </row>
    <row r="25" spans="2:7" ht="15" customHeight="1" x14ac:dyDescent="0.25">
      <c r="B25" s="119" t="s">
        <v>1562</v>
      </c>
      <c r="C25" s="119" t="s">
        <v>1003</v>
      </c>
      <c r="D25" s="120">
        <v>21100000</v>
      </c>
      <c r="E25" s="120">
        <v>9000000</v>
      </c>
      <c r="F25" s="120">
        <v>12100000</v>
      </c>
      <c r="G25" s="121">
        <v>0.57345971563981102</v>
      </c>
    </row>
    <row r="26" spans="2:7" ht="15" customHeight="1" x14ac:dyDescent="0.25">
      <c r="B26" s="122" t="s">
        <v>1563</v>
      </c>
      <c r="C26" s="122" t="s">
        <v>999</v>
      </c>
      <c r="D26" s="123">
        <v>4062030</v>
      </c>
      <c r="E26" s="123">
        <v>1250000</v>
      </c>
      <c r="F26" s="123">
        <v>2812030</v>
      </c>
      <c r="G26" s="124">
        <v>0.69227209055570704</v>
      </c>
    </row>
    <row r="27" spans="2:7" ht="15" customHeight="1" x14ac:dyDescent="0.25">
      <c r="B27" s="125" t="s">
        <v>1565</v>
      </c>
      <c r="C27" s="125" t="s">
        <v>996</v>
      </c>
      <c r="D27" s="126">
        <v>18998000</v>
      </c>
      <c r="E27" s="126">
        <v>11398800</v>
      </c>
      <c r="F27" s="126">
        <v>7599200</v>
      </c>
      <c r="G27" s="127">
        <v>0.4</v>
      </c>
    </row>
    <row r="28" spans="2:7" ht="15" customHeight="1" x14ac:dyDescent="0.25">
      <c r="B28" s="128" t="s">
        <v>1566</v>
      </c>
      <c r="C28" s="128" t="s">
        <v>993</v>
      </c>
      <c r="D28" s="129">
        <v>17250000</v>
      </c>
      <c r="E28" s="129">
        <v>11000000</v>
      </c>
      <c r="F28" s="129">
        <v>6250000</v>
      </c>
      <c r="G28" s="130">
        <v>0.36231884057970998</v>
      </c>
    </row>
    <row r="29" spans="2:7" ht="15" customHeight="1" x14ac:dyDescent="0.25">
      <c r="B29" s="213" t="s">
        <v>1594</v>
      </c>
      <c r="C29" s="213"/>
      <c r="D29" s="214">
        <f>SUM(C12:C28)</f>
        <v>0</v>
      </c>
      <c r="E29" s="214">
        <f>SUM(D12:D28)</f>
        <v>813605955.23000002</v>
      </c>
      <c r="F29" s="214">
        <f>SUM(E12:E28)</f>
        <v>533930459.33000004</v>
      </c>
      <c r="G29" s="213"/>
    </row>
  </sheetData>
  <mergeCells count="1">
    <mergeCell ref="B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2952-5E13-48CE-A97C-2C113AF5EB87}">
  <dimension ref="A1:D87"/>
  <sheetViews>
    <sheetView workbookViewId="0">
      <selection activeCell="D7" sqref="D7"/>
    </sheetView>
  </sheetViews>
  <sheetFormatPr baseColWidth="10" defaultRowHeight="15" x14ac:dyDescent="0.25"/>
  <cols>
    <col min="1" max="1" width="66.7109375" customWidth="1"/>
    <col min="2" max="3" width="22.85546875" customWidth="1"/>
    <col min="4" max="4" width="76.140625" customWidth="1"/>
  </cols>
  <sheetData>
    <row r="1" spans="1:4" ht="39.950000000000003" customHeight="1" x14ac:dyDescent="0.35">
      <c r="A1" s="265" t="s">
        <v>1865</v>
      </c>
      <c r="B1" s="266"/>
      <c r="C1" s="266"/>
      <c r="D1" s="266"/>
    </row>
    <row r="2" spans="1:4" x14ac:dyDescent="0.25">
      <c r="A2" s="267" t="s">
        <v>1866</v>
      </c>
      <c r="B2" s="268"/>
      <c r="C2" s="268"/>
      <c r="D2" s="268"/>
    </row>
    <row r="3" spans="1:4" ht="24.95" customHeight="1" x14ac:dyDescent="0.25">
      <c r="A3" s="269" t="s">
        <v>1867</v>
      </c>
      <c r="B3" s="269" t="s">
        <v>982</v>
      </c>
      <c r="C3" s="269" t="s">
        <v>1868</v>
      </c>
      <c r="D3" s="269" t="s">
        <v>1869</v>
      </c>
    </row>
    <row r="4" spans="1:4" x14ac:dyDescent="0.25">
      <c r="A4" s="270" t="s">
        <v>1870</v>
      </c>
      <c r="B4" s="270"/>
      <c r="C4" s="270"/>
      <c r="D4" s="270"/>
    </row>
    <row r="5" spans="1:4" ht="30" x14ac:dyDescent="0.25">
      <c r="A5" s="271" t="s">
        <v>2005</v>
      </c>
      <c r="B5" s="272" t="s">
        <v>1872</v>
      </c>
      <c r="C5" s="272" t="s">
        <v>1621</v>
      </c>
      <c r="D5" s="271" t="s">
        <v>2006</v>
      </c>
    </row>
    <row r="6" spans="1:4" ht="30" x14ac:dyDescent="0.25">
      <c r="A6" s="271" t="s">
        <v>2007</v>
      </c>
      <c r="B6" s="272" t="s">
        <v>1635</v>
      </c>
      <c r="C6" s="272" t="s">
        <v>1621</v>
      </c>
      <c r="D6" s="271" t="s">
        <v>2008</v>
      </c>
    </row>
    <row r="7" spans="1:4" ht="30" x14ac:dyDescent="0.25">
      <c r="A7" s="271" t="s">
        <v>1876</v>
      </c>
      <c r="B7" s="273" t="s">
        <v>1877</v>
      </c>
      <c r="C7" s="273" t="s">
        <v>1640</v>
      </c>
      <c r="D7" s="271" t="s">
        <v>2009</v>
      </c>
    </row>
    <row r="8" spans="1:4" x14ac:dyDescent="0.25">
      <c r="A8" s="271" t="s">
        <v>1879</v>
      </c>
      <c r="B8" s="272" t="s">
        <v>1635</v>
      </c>
      <c r="C8" s="272" t="s">
        <v>1621</v>
      </c>
      <c r="D8" s="271" t="s">
        <v>2010</v>
      </c>
    </row>
    <row r="9" spans="1:4" x14ac:dyDescent="0.25">
      <c r="A9" s="271" t="s">
        <v>1881</v>
      </c>
      <c r="B9" s="272" t="s">
        <v>1635</v>
      </c>
      <c r="C9" s="272" t="s">
        <v>1621</v>
      </c>
      <c r="D9" s="271" t="s">
        <v>2011</v>
      </c>
    </row>
    <row r="10" spans="1:4" x14ac:dyDescent="0.25">
      <c r="A10" s="271" t="s">
        <v>1883</v>
      </c>
      <c r="B10" s="272" t="s">
        <v>1635</v>
      </c>
      <c r="C10" s="272" t="s">
        <v>1621</v>
      </c>
      <c r="D10" s="271" t="s">
        <v>2012</v>
      </c>
    </row>
    <row r="11" spans="1:4" x14ac:dyDescent="0.25">
      <c r="A11" s="271" t="s">
        <v>1885</v>
      </c>
      <c r="B11" s="273" t="s">
        <v>1877</v>
      </c>
      <c r="C11" s="273" t="s">
        <v>1640</v>
      </c>
      <c r="D11" s="271" t="s">
        <v>2013</v>
      </c>
    </row>
    <row r="12" spans="1:4" x14ac:dyDescent="0.25">
      <c r="A12" s="271" t="s">
        <v>1887</v>
      </c>
      <c r="B12" s="271"/>
      <c r="C12" s="271"/>
      <c r="D12" s="271"/>
    </row>
    <row r="13" spans="1:4" x14ac:dyDescent="0.25">
      <c r="A13" s="271" t="s">
        <v>1888</v>
      </c>
      <c r="B13" s="271" t="s">
        <v>2014</v>
      </c>
      <c r="C13" s="271" t="s">
        <v>1644</v>
      </c>
      <c r="D13" s="271" t="s">
        <v>2015</v>
      </c>
    </row>
    <row r="14" spans="1:4" x14ac:dyDescent="0.25">
      <c r="A14" s="271" t="s">
        <v>1891</v>
      </c>
      <c r="B14" s="274" t="s">
        <v>1892</v>
      </c>
      <c r="C14" s="274" t="s">
        <v>1621</v>
      </c>
      <c r="D14" s="271" t="s">
        <v>2016</v>
      </c>
    </row>
    <row r="15" spans="1:4" x14ac:dyDescent="0.25">
      <c r="A15" s="271" t="s">
        <v>1894</v>
      </c>
      <c r="B15" s="272" t="s">
        <v>1892</v>
      </c>
      <c r="C15" s="272" t="s">
        <v>1621</v>
      </c>
      <c r="D15" s="271" t="s">
        <v>2017</v>
      </c>
    </row>
    <row r="16" spans="1:4" x14ac:dyDescent="0.25">
      <c r="A16" s="271" t="s">
        <v>2018</v>
      </c>
      <c r="B16" s="272" t="s">
        <v>1892</v>
      </c>
      <c r="C16" s="272" t="s">
        <v>1621</v>
      </c>
      <c r="D16" s="271" t="s">
        <v>2019</v>
      </c>
    </row>
    <row r="17" spans="1:4" x14ac:dyDescent="0.25">
      <c r="A17" s="271" t="s">
        <v>1898</v>
      </c>
      <c r="B17" s="271" t="s">
        <v>1899</v>
      </c>
      <c r="C17" s="271" t="s">
        <v>1640</v>
      </c>
      <c r="D17" s="271" t="s">
        <v>2020</v>
      </c>
    </row>
    <row r="18" spans="1:4" x14ac:dyDescent="0.25">
      <c r="A18" s="271" t="s">
        <v>1901</v>
      </c>
      <c r="B18" s="273"/>
      <c r="C18" s="273"/>
      <c r="D18" s="271"/>
    </row>
    <row r="19" spans="1:4" x14ac:dyDescent="0.25">
      <c r="A19" s="271" t="s">
        <v>2021</v>
      </c>
      <c r="B19" s="272" t="s">
        <v>1903</v>
      </c>
      <c r="C19" s="272" t="s">
        <v>1621</v>
      </c>
      <c r="D19" s="271" t="s">
        <v>2022</v>
      </c>
    </row>
    <row r="20" spans="1:4" x14ac:dyDescent="0.25">
      <c r="A20" s="271" t="s">
        <v>2023</v>
      </c>
      <c r="B20" s="272" t="s">
        <v>1906</v>
      </c>
      <c r="C20" s="272" t="s">
        <v>1640</v>
      </c>
      <c r="D20" s="271" t="s">
        <v>2024</v>
      </c>
    </row>
    <row r="21" spans="1:4" ht="30" x14ac:dyDescent="0.25">
      <c r="A21" s="271" t="s">
        <v>1908</v>
      </c>
      <c r="B21" s="274" t="s">
        <v>1909</v>
      </c>
      <c r="C21" s="274" t="s">
        <v>1644</v>
      </c>
      <c r="D21" s="275" t="s">
        <v>2025</v>
      </c>
    </row>
    <row r="22" spans="1:4" x14ac:dyDescent="0.25">
      <c r="A22" s="271"/>
      <c r="B22" s="271"/>
      <c r="C22" s="271"/>
      <c r="D22" s="271"/>
    </row>
    <row r="23" spans="1:4" x14ac:dyDescent="0.25">
      <c r="A23" s="270" t="s">
        <v>1911</v>
      </c>
      <c r="B23" s="270"/>
      <c r="C23" s="270"/>
      <c r="D23" s="270"/>
    </row>
    <row r="24" spans="1:4" x14ac:dyDescent="0.25">
      <c r="A24" s="271" t="s">
        <v>1912</v>
      </c>
      <c r="B24" s="272" t="s">
        <v>1635</v>
      </c>
      <c r="C24" s="272" t="s">
        <v>1621</v>
      </c>
      <c r="D24" s="271" t="s">
        <v>2026</v>
      </c>
    </row>
    <row r="25" spans="1:4" ht="30" x14ac:dyDescent="0.25">
      <c r="A25" s="271" t="s">
        <v>1914</v>
      </c>
      <c r="B25" s="273" t="s">
        <v>1877</v>
      </c>
      <c r="C25" s="273" t="s">
        <v>1640</v>
      </c>
      <c r="D25" s="271" t="s">
        <v>2027</v>
      </c>
    </row>
    <row r="26" spans="1:4" ht="30" x14ac:dyDescent="0.25">
      <c r="A26" s="271" t="s">
        <v>1916</v>
      </c>
      <c r="B26" s="273" t="s">
        <v>1917</v>
      </c>
      <c r="C26" s="273" t="s">
        <v>1640</v>
      </c>
      <c r="D26" s="271" t="s">
        <v>2028</v>
      </c>
    </row>
    <row r="27" spans="1:4" x14ac:dyDescent="0.25">
      <c r="A27" s="271" t="s">
        <v>1919</v>
      </c>
      <c r="B27" s="273" t="s">
        <v>1635</v>
      </c>
      <c r="C27" s="273" t="s">
        <v>1621</v>
      </c>
      <c r="D27" s="271" t="e" cm="1">
        <f t="array" ref="D27" xml:space="preserve"> ECONOMIE / MONTANT_LOCAL. Négatif si import plus cher. Logique correcte.</f>
        <v>#NAME?</v>
      </c>
    </row>
    <row r="28" spans="1:4" x14ac:dyDescent="0.25">
      <c r="A28" s="271" t="s">
        <v>2029</v>
      </c>
      <c r="B28" s="272" t="s">
        <v>1635</v>
      </c>
      <c r="C28" s="272" t="s">
        <v>1621</v>
      </c>
      <c r="D28" s="271" t="s">
        <v>2030</v>
      </c>
    </row>
    <row r="29" spans="1:4" x14ac:dyDescent="0.25">
      <c r="A29" s="271" t="s">
        <v>2031</v>
      </c>
      <c r="B29" s="274" t="s">
        <v>1644</v>
      </c>
      <c r="C29" s="274" t="s">
        <v>1644</v>
      </c>
      <c r="D29" s="271" t="s">
        <v>2032</v>
      </c>
    </row>
    <row r="30" spans="1:4" x14ac:dyDescent="0.25">
      <c r="A30" s="271" t="s">
        <v>2033</v>
      </c>
      <c r="B30" s="271"/>
      <c r="C30" s="271"/>
      <c r="D30" s="271" t="s">
        <v>2034</v>
      </c>
    </row>
    <row r="31" spans="1:4" x14ac:dyDescent="0.25">
      <c r="A31" s="271" t="s">
        <v>2035</v>
      </c>
      <c r="B31" s="271"/>
      <c r="C31" s="271"/>
      <c r="D31" s="271" t="s">
        <v>2036</v>
      </c>
    </row>
    <row r="32" spans="1:4" x14ac:dyDescent="0.25">
      <c r="A32" s="271" t="s">
        <v>1929</v>
      </c>
      <c r="B32" s="273" t="s">
        <v>1877</v>
      </c>
      <c r="C32" s="273" t="s">
        <v>1640</v>
      </c>
      <c r="D32" s="271" t="s">
        <v>2037</v>
      </c>
    </row>
    <row r="33" spans="1:4" x14ac:dyDescent="0.25">
      <c r="A33" s="271" t="s">
        <v>2038</v>
      </c>
      <c r="B33" s="272" t="s">
        <v>1635</v>
      </c>
      <c r="C33" s="272" t="s">
        <v>1621</v>
      </c>
      <c r="D33" s="271" t="s">
        <v>2039</v>
      </c>
    </row>
    <row r="34" spans="1:4" x14ac:dyDescent="0.25">
      <c r="A34" s="271" t="s">
        <v>2040</v>
      </c>
      <c r="B34" s="273" t="s">
        <v>1906</v>
      </c>
      <c r="C34" s="273" t="s">
        <v>1640</v>
      </c>
      <c r="D34" s="271" t="s">
        <v>2041</v>
      </c>
    </row>
    <row r="35" spans="1:4" x14ac:dyDescent="0.25">
      <c r="A35" s="271"/>
      <c r="B35" s="271"/>
      <c r="C35" s="271"/>
      <c r="D35" s="271"/>
    </row>
    <row r="36" spans="1:4" x14ac:dyDescent="0.25">
      <c r="A36" s="270" t="s">
        <v>1935</v>
      </c>
      <c r="B36" s="270"/>
      <c r="C36" s="270"/>
      <c r="D36" s="270"/>
    </row>
    <row r="37" spans="1:4" x14ac:dyDescent="0.25">
      <c r="A37" s="271" t="s">
        <v>1936</v>
      </c>
      <c r="B37" s="272" t="s">
        <v>1937</v>
      </c>
      <c r="C37" s="272" t="s">
        <v>1621</v>
      </c>
      <c r="D37" s="271" t="s">
        <v>2042</v>
      </c>
    </row>
    <row r="38" spans="1:4" x14ac:dyDescent="0.25">
      <c r="A38" s="271" t="s">
        <v>1939</v>
      </c>
      <c r="B38" s="272" t="s">
        <v>1937</v>
      </c>
      <c r="C38" s="272" t="s">
        <v>1621</v>
      </c>
      <c r="D38" s="271" t="s">
        <v>2043</v>
      </c>
    </row>
    <row r="39" spans="1:4" x14ac:dyDescent="0.25">
      <c r="A39" s="271" t="s">
        <v>1941</v>
      </c>
      <c r="B39" s="272" t="s">
        <v>1937</v>
      </c>
      <c r="C39" s="272" t="s">
        <v>1621</v>
      </c>
      <c r="D39" s="271" t="s">
        <v>2044</v>
      </c>
    </row>
    <row r="40" spans="1:4" x14ac:dyDescent="0.25">
      <c r="A40" s="271" t="s">
        <v>1943</v>
      </c>
      <c r="B40" s="272" t="s">
        <v>1937</v>
      </c>
      <c r="C40" s="272" t="s">
        <v>1621</v>
      </c>
      <c r="D40" s="271" t="s">
        <v>2045</v>
      </c>
    </row>
    <row r="41" spans="1:4" ht="30" x14ac:dyDescent="0.25">
      <c r="A41" s="271" t="s">
        <v>2046</v>
      </c>
      <c r="B41" s="271" t="s">
        <v>1946</v>
      </c>
      <c r="C41" s="271" t="s">
        <v>1644</v>
      </c>
      <c r="D41" s="271" t="s">
        <v>2047</v>
      </c>
    </row>
    <row r="42" spans="1:4" ht="30" x14ac:dyDescent="0.25">
      <c r="A42" s="271" t="s">
        <v>2048</v>
      </c>
      <c r="B42" s="274" t="s">
        <v>1951</v>
      </c>
      <c r="C42" s="274" t="s">
        <v>1640</v>
      </c>
      <c r="D42" s="271" t="s">
        <v>2049</v>
      </c>
    </row>
    <row r="43" spans="1:4" x14ac:dyDescent="0.25">
      <c r="A43" s="271" t="s">
        <v>2050</v>
      </c>
      <c r="B43" s="273" t="s">
        <v>1954</v>
      </c>
      <c r="C43" s="273" t="s">
        <v>1621</v>
      </c>
      <c r="D43" s="271" t="s">
        <v>2051</v>
      </c>
    </row>
    <row r="44" spans="1:4" x14ac:dyDescent="0.25">
      <c r="A44" s="271" t="s">
        <v>2052</v>
      </c>
      <c r="B44" s="272" t="s">
        <v>1635</v>
      </c>
      <c r="C44" s="272" t="s">
        <v>1621</v>
      </c>
      <c r="D44" s="271" t="s">
        <v>2053</v>
      </c>
    </row>
    <row r="45" spans="1:4" x14ac:dyDescent="0.25">
      <c r="A45" s="271"/>
      <c r="B45" s="271"/>
      <c r="C45" s="271"/>
      <c r="D45" s="271"/>
    </row>
    <row r="46" spans="1:4" x14ac:dyDescent="0.25">
      <c r="A46" s="270" t="s">
        <v>2054</v>
      </c>
      <c r="B46" s="270"/>
      <c r="C46" s="270"/>
      <c r="D46" s="270"/>
    </row>
    <row r="47" spans="1:4" x14ac:dyDescent="0.25">
      <c r="A47" s="271" t="s">
        <v>1959</v>
      </c>
      <c r="B47" s="271" t="s">
        <v>1960</v>
      </c>
      <c r="C47" s="271" t="s">
        <v>1640</v>
      </c>
      <c r="D47" s="271" t="s">
        <v>2055</v>
      </c>
    </row>
    <row r="48" spans="1:4" ht="30" x14ac:dyDescent="0.25">
      <c r="A48" s="271" t="s">
        <v>2056</v>
      </c>
      <c r="B48" s="273"/>
      <c r="C48" s="273"/>
      <c r="D48" s="271" t="s">
        <v>2057</v>
      </c>
    </row>
    <row r="49" spans="1:4" x14ac:dyDescent="0.25">
      <c r="A49" s="271" t="s">
        <v>2058</v>
      </c>
      <c r="B49" s="271" t="s">
        <v>1967</v>
      </c>
      <c r="C49" s="271" t="s">
        <v>1621</v>
      </c>
      <c r="D49" s="271" t="s">
        <v>2059</v>
      </c>
    </row>
    <row r="50" spans="1:4" x14ac:dyDescent="0.25">
      <c r="A50" s="271" t="s">
        <v>2060</v>
      </c>
      <c r="B50" s="272"/>
      <c r="C50" s="272"/>
      <c r="D50" s="271" t="s">
        <v>2061</v>
      </c>
    </row>
    <row r="51" spans="1:4" ht="30" x14ac:dyDescent="0.25">
      <c r="A51" s="271" t="s">
        <v>1971</v>
      </c>
      <c r="B51" s="271" t="s">
        <v>1967</v>
      </c>
      <c r="C51" s="271" t="s">
        <v>1621</v>
      </c>
      <c r="D51" s="271" t="s">
        <v>2062</v>
      </c>
    </row>
    <row r="52" spans="1:4" x14ac:dyDescent="0.25">
      <c r="A52" s="271" t="s">
        <v>2063</v>
      </c>
      <c r="B52" s="272"/>
      <c r="C52" s="272"/>
      <c r="D52" s="271" t="s">
        <v>2064</v>
      </c>
    </row>
    <row r="53" spans="1:4" ht="30" x14ac:dyDescent="0.25">
      <c r="A53" s="271" t="s">
        <v>2065</v>
      </c>
      <c r="B53" s="271" t="s">
        <v>1976</v>
      </c>
      <c r="C53" s="271" t="s">
        <v>1640</v>
      </c>
      <c r="D53" s="271" t="s">
        <v>2066</v>
      </c>
    </row>
    <row r="54" spans="1:4" x14ac:dyDescent="0.25">
      <c r="A54" s="271" t="s">
        <v>2067</v>
      </c>
      <c r="B54" s="273"/>
      <c r="C54" s="273"/>
      <c r="D54" s="271" t="s">
        <v>2068</v>
      </c>
    </row>
    <row r="55" spans="1:4" x14ac:dyDescent="0.25">
      <c r="A55" s="271" t="s">
        <v>2069</v>
      </c>
      <c r="B55" s="271"/>
      <c r="C55" s="271"/>
      <c r="D55" s="271" t="s">
        <v>2070</v>
      </c>
    </row>
    <row r="56" spans="1:4" x14ac:dyDescent="0.25">
      <c r="A56" s="271"/>
      <c r="B56" s="271"/>
      <c r="C56" s="271"/>
      <c r="D56" s="271"/>
    </row>
    <row r="57" spans="1:4" x14ac:dyDescent="0.25">
      <c r="A57" s="270" t="s">
        <v>2084</v>
      </c>
      <c r="B57" s="270"/>
      <c r="C57" s="270"/>
      <c r="D57" s="270"/>
    </row>
    <row r="58" spans="1:4" x14ac:dyDescent="0.25">
      <c r="A58" s="271" t="s">
        <v>2085</v>
      </c>
      <c r="B58" s="274" t="s">
        <v>1984</v>
      </c>
      <c r="C58" s="274" t="s">
        <v>2086</v>
      </c>
      <c r="D58" s="271" t="s">
        <v>2087</v>
      </c>
    </row>
    <row r="59" spans="1:4" x14ac:dyDescent="0.25">
      <c r="A59" s="271" t="s">
        <v>2088</v>
      </c>
      <c r="B59" s="274" t="s">
        <v>1984</v>
      </c>
      <c r="C59" s="274" t="s">
        <v>2086</v>
      </c>
      <c r="D59" s="271" t="s">
        <v>2089</v>
      </c>
    </row>
    <row r="60" spans="1:4" x14ac:dyDescent="0.25">
      <c r="A60" s="271" t="s">
        <v>2090</v>
      </c>
      <c r="B60" s="274" t="s">
        <v>1984</v>
      </c>
      <c r="C60" s="274" t="s">
        <v>2086</v>
      </c>
      <c r="D60" s="271" t="s">
        <v>2091</v>
      </c>
    </row>
    <row r="61" spans="1:4" x14ac:dyDescent="0.25">
      <c r="A61" s="271" t="s">
        <v>2092</v>
      </c>
      <c r="B61" s="271" t="s">
        <v>1992</v>
      </c>
      <c r="C61" s="271" t="s">
        <v>2093</v>
      </c>
      <c r="D61" s="271" t="s">
        <v>2094</v>
      </c>
    </row>
    <row r="62" spans="1:4" x14ac:dyDescent="0.25">
      <c r="A62" s="271" t="s">
        <v>2095</v>
      </c>
      <c r="B62" s="271" t="s">
        <v>1992</v>
      </c>
      <c r="C62" s="271" t="s">
        <v>2093</v>
      </c>
      <c r="D62" s="271" t="s">
        <v>2096</v>
      </c>
    </row>
    <row r="63" spans="1:4" x14ac:dyDescent="0.25">
      <c r="A63" s="271" t="s">
        <v>2097</v>
      </c>
      <c r="B63" s="271" t="s">
        <v>1992</v>
      </c>
      <c r="C63" s="271" t="s">
        <v>2093</v>
      </c>
      <c r="D63" s="271" t="s">
        <v>2098</v>
      </c>
    </row>
    <row r="64" spans="1:4" x14ac:dyDescent="0.25">
      <c r="A64" s="271" t="s">
        <v>2099</v>
      </c>
      <c r="B64" s="271" t="s">
        <v>1992</v>
      </c>
      <c r="C64" s="271" t="s">
        <v>2093</v>
      </c>
      <c r="D64" s="271" t="s">
        <v>2100</v>
      </c>
    </row>
    <row r="65" spans="1:4" x14ac:dyDescent="0.25">
      <c r="A65" s="271" t="s">
        <v>2101</v>
      </c>
      <c r="B65" s="271" t="s">
        <v>2102</v>
      </c>
      <c r="C65" s="271" t="s">
        <v>2103</v>
      </c>
      <c r="D65" s="271"/>
    </row>
    <row r="66" spans="1:4" x14ac:dyDescent="0.25">
      <c r="A66" s="271" t="s">
        <v>2104</v>
      </c>
      <c r="B66" s="271"/>
      <c r="C66" s="271"/>
      <c r="D66" s="271" t="s">
        <v>2105</v>
      </c>
    </row>
    <row r="67" spans="1:4" x14ac:dyDescent="0.25">
      <c r="A67" s="271" t="s">
        <v>2106</v>
      </c>
      <c r="B67" s="271"/>
      <c r="C67" s="271"/>
      <c r="D67" s="271" t="s">
        <v>2107</v>
      </c>
    </row>
    <row r="68" spans="1:4" x14ac:dyDescent="0.25">
      <c r="A68" s="271" t="s">
        <v>2108</v>
      </c>
      <c r="B68" s="271"/>
      <c r="C68" s="271"/>
      <c r="D68" s="271" t="s">
        <v>2109</v>
      </c>
    </row>
    <row r="69" spans="1:4" x14ac:dyDescent="0.25">
      <c r="A69" s="271" t="s">
        <v>2110</v>
      </c>
      <c r="B69" s="271"/>
      <c r="C69" s="271"/>
      <c r="D69" s="271" t="s">
        <v>2111</v>
      </c>
    </row>
    <row r="70" spans="1:4" x14ac:dyDescent="0.25">
      <c r="A70" s="271" t="s">
        <v>2112</v>
      </c>
      <c r="B70" s="271"/>
      <c r="C70" s="271"/>
      <c r="D70" s="271" t="s">
        <v>2113</v>
      </c>
    </row>
    <row r="71" spans="1:4" x14ac:dyDescent="0.25">
      <c r="A71" s="271" t="s">
        <v>2114</v>
      </c>
      <c r="B71" s="271" t="s">
        <v>2102</v>
      </c>
      <c r="C71" s="271" t="s">
        <v>2103</v>
      </c>
      <c r="D71" s="271"/>
    </row>
    <row r="72" spans="1:4" x14ac:dyDescent="0.25">
      <c r="A72" s="271" t="s">
        <v>2115</v>
      </c>
      <c r="B72" s="271"/>
      <c r="C72" s="271"/>
      <c r="D72" s="271" t="s">
        <v>2116</v>
      </c>
    </row>
    <row r="73" spans="1:4" x14ac:dyDescent="0.25">
      <c r="A73" s="271" t="s">
        <v>2117</v>
      </c>
      <c r="B73" s="271"/>
      <c r="C73" s="271"/>
      <c r="D73" s="271" t="s">
        <v>2118</v>
      </c>
    </row>
    <row r="74" spans="1:4" x14ac:dyDescent="0.25">
      <c r="A74" s="271" t="s">
        <v>2119</v>
      </c>
      <c r="B74" s="271"/>
      <c r="C74" s="271"/>
      <c r="D74" s="271" t="s">
        <v>2120</v>
      </c>
    </row>
    <row r="75" spans="1:4" x14ac:dyDescent="0.25">
      <c r="A75" s="271" t="s">
        <v>2121</v>
      </c>
      <c r="B75" s="271"/>
      <c r="C75" s="271"/>
      <c r="D75" s="271" t="s">
        <v>2122</v>
      </c>
    </row>
    <row r="76" spans="1:4" x14ac:dyDescent="0.25">
      <c r="A76" s="271" t="s">
        <v>2123</v>
      </c>
      <c r="B76" s="271" t="s">
        <v>2102</v>
      </c>
      <c r="C76" s="271" t="s">
        <v>2103</v>
      </c>
      <c r="D76" s="271"/>
    </row>
    <row r="77" spans="1:4" x14ac:dyDescent="0.25">
      <c r="A77" s="271" t="s">
        <v>2124</v>
      </c>
      <c r="B77" s="271"/>
      <c r="C77" s="271"/>
      <c r="D77" s="271" t="s">
        <v>2125</v>
      </c>
    </row>
    <row r="78" spans="1:4" x14ac:dyDescent="0.25">
      <c r="A78" s="271" t="s">
        <v>2126</v>
      </c>
      <c r="B78" s="271"/>
      <c r="C78" s="271"/>
      <c r="D78" s="271" t="s">
        <v>2127</v>
      </c>
    </row>
    <row r="79" spans="1:4" x14ac:dyDescent="0.25">
      <c r="A79" s="271" t="s">
        <v>2128</v>
      </c>
      <c r="B79" s="271"/>
      <c r="C79" s="271"/>
      <c r="D79" s="271" t="s">
        <v>2129</v>
      </c>
    </row>
    <row r="80" spans="1:4" x14ac:dyDescent="0.25">
      <c r="A80" s="271" t="s">
        <v>2130</v>
      </c>
      <c r="B80" s="271"/>
      <c r="C80" s="271"/>
      <c r="D80" s="271" t="s">
        <v>2131</v>
      </c>
    </row>
    <row r="81" spans="1:4" x14ac:dyDescent="0.25">
      <c r="A81" s="271"/>
      <c r="B81" s="271"/>
      <c r="C81" s="271"/>
      <c r="D81" s="271"/>
    </row>
    <row r="82" spans="1:4" x14ac:dyDescent="0.25">
      <c r="A82" s="270" t="s">
        <v>2132</v>
      </c>
      <c r="B82" s="270"/>
      <c r="C82" s="270"/>
      <c r="D82" s="270"/>
    </row>
    <row r="83" spans="1:4" x14ac:dyDescent="0.25">
      <c r="A83" s="271" t="s">
        <v>2133</v>
      </c>
      <c r="B83" s="271" t="s">
        <v>2134</v>
      </c>
      <c r="C83" s="271"/>
      <c r="D83" s="271" t="s">
        <v>2135</v>
      </c>
    </row>
    <row r="84" spans="1:4" x14ac:dyDescent="0.25">
      <c r="A84" s="271" t="s">
        <v>2136</v>
      </c>
      <c r="B84" s="271" t="s">
        <v>2137</v>
      </c>
      <c r="C84" s="271"/>
      <c r="D84" s="271" t="s">
        <v>2138</v>
      </c>
    </row>
    <row r="85" spans="1:4" x14ac:dyDescent="0.25">
      <c r="A85" s="271" t="s">
        <v>2139</v>
      </c>
      <c r="B85" s="271" t="s">
        <v>2140</v>
      </c>
      <c r="C85" s="271"/>
      <c r="D85" s="271" t="s">
        <v>2141</v>
      </c>
    </row>
    <row r="86" spans="1:4" x14ac:dyDescent="0.25">
      <c r="A86" s="271" t="s">
        <v>2142</v>
      </c>
      <c r="B86" s="271" t="s">
        <v>2143</v>
      </c>
      <c r="C86" s="271"/>
      <c r="D86" s="271" t="s">
        <v>2144</v>
      </c>
    </row>
    <row r="87" spans="1:4" ht="15.75" x14ac:dyDescent="0.25">
      <c r="A87" s="276" t="s">
        <v>2145</v>
      </c>
      <c r="B87" s="276" t="s">
        <v>2137</v>
      </c>
      <c r="C87" s="276" t="s">
        <v>2146</v>
      </c>
      <c r="D87" s="276" t="s">
        <v>2147</v>
      </c>
    </row>
  </sheetData>
  <mergeCells count="2">
    <mergeCell ref="A1:D1"/>
    <mergeCell ref="A2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1CF52D-AB68-4791-B001-3077E801BC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62</vt:i4>
      </vt:variant>
      <vt:variant>
        <vt:lpstr>Plages nommées</vt:lpstr>
      </vt:variant>
      <vt:variant>
        <vt:i4>1</vt:i4>
      </vt:variant>
    </vt:vector>
  </HeadingPairs>
  <TitlesOfParts>
    <vt:vector size="63" baseType="lpstr">
      <vt:lpstr>DIM_FAM_METIER</vt:lpstr>
      <vt:lpstr>00_ARCHITECTURE</vt:lpstr>
      <vt:lpstr>---01_CONFIGURATION ---</vt:lpstr>
      <vt:lpstr>PARAM_GLOBAL</vt:lpstr>
      <vt:lpstr>T_PARAM_IMPORT</vt:lpstr>
      <vt:lpstr>00_POWER_QUERY</vt:lpstr>
      <vt:lpstr>CONFIG__MOTEUR_FORMULES</vt:lpstr>
      <vt:lpstr>00_CONFIG__T_PARAMETRES_ACTIVE</vt:lpstr>
      <vt:lpstr>00_CONFIG__T_PARAMETRES</vt:lpstr>
      <vt:lpstr>PARAM_PROJET_ID</vt:lpstr>
      <vt:lpstr>T_PROJET</vt:lpstr>
      <vt:lpstr>T_FAM_ARTICLE</vt:lpstr>
      <vt:lpstr>T_FAM_METIER</vt:lpstr>
      <vt:lpstr>T_BATIMENT</vt:lpstr>
      <vt:lpstr>T_MAPPING_DOMAINE_FAM</vt:lpstr>
      <vt:lpstr>---02_RAW---</vt:lpstr>
      <vt:lpstr>ANALYTICS_PARETO_IMPORT</vt:lpstr>
      <vt:lpstr>CLEAN_METRE_AGG</vt:lpstr>
      <vt:lpstr>RAW__METRE</vt:lpstr>
      <vt:lpstr>CLEAN__LOT</vt:lpstr>
      <vt:lpstr>RAW__LOT</vt:lpstr>
      <vt:lpstr>T_LOT</vt:lpstr>
      <vt:lpstr>T_RAW__LOT</vt:lpstr>
      <vt:lpstr>RAW_BPU_LOCAL</vt:lpstr>
      <vt:lpstr>TEST_COHERENCE_PRIX</vt:lpstr>
      <vt:lpstr>RAW_BPU_CHINE</vt:lpstr>
      <vt:lpstr>---03_CLEAN---</vt:lpstr>
      <vt:lpstr>CLEAN_METRE</vt:lpstr>
      <vt:lpstr>DIM_ARTICLE_BPU</vt:lpstr>
      <vt:lpstr>CLEAN_BPU_LOCAL</vt:lpstr>
      <vt:lpstr>CLEAN_BPU_CHINE</vt:lpstr>
      <vt:lpstr>---04_STAGING---</vt:lpstr>
      <vt:lpstr>STAGING</vt:lpstr>
      <vt:lpstr>Fonction appelée</vt:lpstr>
      <vt:lpstr>---05_FACT---</vt:lpstr>
      <vt:lpstr>DIM_LOT</vt:lpstr>
      <vt:lpstr>FACT_METRE</vt:lpstr>
      <vt:lpstr>--------06_DIM---------</vt:lpstr>
      <vt:lpstr>DIM_FAM_METIER </vt:lpstr>
      <vt:lpstr>DIM_FAM_ARTICLE</vt:lpstr>
      <vt:lpstr>DIM_NIVEAU</vt:lpstr>
      <vt:lpstr>DIM_BATIMENT</vt:lpstr>
      <vt:lpstr>05_DM_LOT</vt:lpstr>
      <vt:lpstr>05_DM_FAM_ARTICLE</vt:lpstr>
      <vt:lpstr>DIM_PROJET</vt:lpstr>
      <vt:lpstr>05_DM_PROJET</vt:lpstr>
      <vt:lpstr>-----06_ANALYTICS-------</vt:lpstr>
      <vt:lpstr>DOCUMENTATION_ANALYTCS</vt:lpstr>
      <vt:lpstr>DASHBOARD_HIERARCHIE</vt:lpstr>
      <vt:lpstr>DASHBOARD_BATIMENT</vt:lpstr>
      <vt:lpstr>FACT_METRE_AUDIT</vt:lpstr>
      <vt:lpstr>------------07_DASHOARD--------</vt:lpstr>
      <vt:lpstr>DASHBOARD_CHANTIER</vt:lpstr>
      <vt:lpstr>DASHBOARD_LOTS</vt:lpstr>
      <vt:lpstr>DASHBOARD_FAMILLES</vt:lpstr>
      <vt:lpstr>DASHBOARD_DIRECTION</vt:lpstr>
      <vt:lpstr>07_INTELLIGENCE__DECISION</vt:lpstr>
      <vt:lpstr>08_KPI__PROJET</vt:lpstr>
      <vt:lpstr>09_DM_MATRICE_GAIN_RISQUE</vt:lpstr>
      <vt:lpstr>10_DASHBOARD__DIRECTION</vt:lpstr>
      <vt:lpstr>RECAP_DASHBOARD</vt:lpstr>
      <vt:lpstr>AUDIT_04_ANALYSE_CHANTIER</vt:lpstr>
      <vt:lpstr>SCENARIO_ACTIF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paterne gankama</dc:creator>
  <cp:lastModifiedBy>paterne gankama</cp:lastModifiedBy>
  <dcterms:created xsi:type="dcterms:W3CDTF">2026-03-03T15:03:53Z</dcterms:created>
  <dcterms:modified xsi:type="dcterms:W3CDTF">2026-03-13T20:11:52Z</dcterms:modified>
</cp:coreProperties>
</file>